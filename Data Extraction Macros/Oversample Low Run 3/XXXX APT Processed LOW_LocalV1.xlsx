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/Users/carly/Library/CloudStorage/OneDrive-McMasterUniversity/NeuroimagingStudies/NEUROALC/NEUROALC_fMRI/N.APT_GitHub/Data Extraction Macros/Oversample Low Run 3/"/>
    </mc:Choice>
  </mc:AlternateContent>
  <xr:revisionPtr revIDLastSave="0" documentId="13_ncr:1_{4FA9DEC6-0724-B54E-A00F-0D1BE1F44F5C}" xr6:coauthVersionLast="47" xr6:coauthVersionMax="47" xr10:uidLastSave="{00000000-0000-0000-0000-000000000000}"/>
  <bookViews>
    <workbookView xWindow="20" yWindow="660" windowWidth="30240" windowHeight="17480" tabRatio="757" firstSheet="1" activeTab="12" xr2:uid="{00000000-000D-0000-FFFF-FFFF00000000}"/>
  </bookViews>
  <sheets>
    <sheet name="Paste Run 1" sheetId="1" r:id="rId1"/>
    <sheet name="Paste Run 2" sheetId="3" r:id="rId2"/>
    <sheet name="Paste Run 3" sheetId="4" r:id="rId3"/>
    <sheet name="Run 1" sheetId="27" r:id="rId4"/>
    <sheet name="Run 2" sheetId="28" r:id="rId5"/>
    <sheet name="Run 3" sheetId="29" r:id="rId6"/>
    <sheet name="Average Figure" sheetId="12" r:id="rId7"/>
    <sheet name="Combined R1-R3" sheetId="2" r:id="rId8"/>
    <sheet name="FMRI Paradigm Specs" sheetId="20" r:id="rId9"/>
    <sheet name="ResponseTimes" sheetId="23" r:id="rId10"/>
    <sheet name="Timing-Actual" sheetId="24" r:id="rId11"/>
    <sheet name="ChoiceCoding" sheetId="25" r:id="rId12"/>
    <sheet name="AFNI STIM FILES" sheetId="26" r:id="rId13"/>
    <sheet name="CONN Files" sheetId="36" r:id="rId14"/>
    <sheet name="Behavioural Information" sheetId="35" r:id="rId15"/>
  </sheets>
  <externalReferences>
    <externalReference r:id="rId16"/>
  </externalReferenc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P64" i="26" l="1"/>
  <c r="AS36" i="25" l="1"/>
  <c r="AS49" i="25" s="1"/>
  <c r="AG36" i="25" l="1"/>
  <c r="P108" i="36" l="1"/>
  <c r="O108" i="36"/>
  <c r="P73" i="36"/>
  <c r="O73" i="36"/>
  <c r="P38" i="36"/>
  <c r="O38" i="36"/>
  <c r="C4" i="35" l="1"/>
  <c r="A4" i="35" l="1"/>
  <c r="B4" i="35" s="1"/>
  <c r="T35" i="23" l="1"/>
  <c r="K35" i="23"/>
  <c r="T34" i="23"/>
  <c r="K34" i="23"/>
  <c r="B35" i="23"/>
  <c r="B34" i="23"/>
  <c r="G14" i="2"/>
  <c r="K20" i="2"/>
  <c r="K69" i="2" s="1"/>
  <c r="AZ17" i="2" s="1"/>
  <c r="K8" i="2"/>
  <c r="K68" i="2" s="1"/>
  <c r="AX17" i="2" s="1"/>
  <c r="AX35" i="2" s="1"/>
  <c r="G20" i="2"/>
  <c r="G68" i="2" s="1"/>
  <c r="AX11" i="2" s="1"/>
  <c r="G34" i="2"/>
  <c r="C31" i="25" s="1"/>
  <c r="K24" i="2"/>
  <c r="K67" i="2" s="1"/>
  <c r="AW17" i="2" s="1"/>
  <c r="O14" i="2"/>
  <c r="O69" i="2" s="1"/>
  <c r="AY23" i="2" s="1"/>
  <c r="O32" i="2"/>
  <c r="O70" i="2" s="1"/>
  <c r="AZ23" i="2" s="1"/>
  <c r="G24" i="2"/>
  <c r="G66" i="2" s="1"/>
  <c r="AV11" i="2" s="1"/>
  <c r="AV13" i="2" s="1"/>
  <c r="G32" i="2"/>
  <c r="C29" i="25" s="1"/>
  <c r="K34" i="2"/>
  <c r="K66" i="2" s="1"/>
  <c r="AV17" i="2" s="1"/>
  <c r="O8" i="2"/>
  <c r="O67" i="2" s="1"/>
  <c r="AW23" i="2" s="1"/>
  <c r="AW25" i="2" s="1"/>
  <c r="O16" i="2"/>
  <c r="O68" i="2" s="1"/>
  <c r="AX23" i="2" s="1"/>
  <c r="G8" i="2"/>
  <c r="G65" i="2" s="1"/>
  <c r="AU11" i="2" s="1"/>
  <c r="AU31" i="2" s="1"/>
  <c r="K14" i="2"/>
  <c r="K65" i="2" s="1"/>
  <c r="AU17" i="2" s="1"/>
  <c r="K12" i="2"/>
  <c r="O20" i="2"/>
  <c r="O66" i="2" s="1"/>
  <c r="AV23" i="2" s="1"/>
  <c r="G12" i="2"/>
  <c r="G63" i="2" s="1"/>
  <c r="AS11" i="2" s="1"/>
  <c r="AS31" i="2" s="1"/>
  <c r="G26" i="2"/>
  <c r="G64" i="2" s="1"/>
  <c r="AT11" i="2" s="1"/>
  <c r="K32" i="2"/>
  <c r="K63" i="2" s="1"/>
  <c r="AS17" i="2" s="1"/>
  <c r="G16" i="2"/>
  <c r="G61" i="2" s="1"/>
  <c r="AQ11" i="2" s="1"/>
  <c r="G30" i="2"/>
  <c r="C27" i="25" s="1"/>
  <c r="K16" i="2"/>
  <c r="K61" i="2" s="1"/>
  <c r="AQ17" i="2" s="1"/>
  <c r="K26" i="2"/>
  <c r="K62" i="2" s="1"/>
  <c r="AR17" i="2" s="1"/>
  <c r="AR35" i="2" s="1"/>
  <c r="O34" i="2"/>
  <c r="O65" i="2" s="1"/>
  <c r="AU23" i="2" s="1"/>
  <c r="G10" i="2"/>
  <c r="G59" i="2" s="1"/>
  <c r="AO11" i="2" s="1"/>
  <c r="AO13" i="2" s="1"/>
  <c r="G35" i="2"/>
  <c r="G60" i="2" s="1"/>
  <c r="AP11" i="2" s="1"/>
  <c r="K13" i="2"/>
  <c r="K60" i="2" s="1"/>
  <c r="AP17" i="2" s="1"/>
  <c r="AP35" i="2" s="1"/>
  <c r="O10" i="2"/>
  <c r="O63" i="2" s="1"/>
  <c r="AS23" i="2" s="1"/>
  <c r="O25" i="2"/>
  <c r="O64" i="2" s="1"/>
  <c r="AT23" i="2" s="1"/>
  <c r="G13" i="2"/>
  <c r="G57" i="2" s="1"/>
  <c r="AM11" i="2" s="1"/>
  <c r="G21" i="2"/>
  <c r="G58" i="2" s="1"/>
  <c r="AN11" i="2" s="1"/>
  <c r="AN13" i="2" s="1"/>
  <c r="K18" i="2"/>
  <c r="K58" i="2" s="1"/>
  <c r="AN17" i="2" s="1"/>
  <c r="AN35" i="2" s="1"/>
  <c r="K23" i="2"/>
  <c r="O29" i="2"/>
  <c r="O62" i="2" s="1"/>
  <c r="AR23" i="2" s="1"/>
  <c r="G29" i="2"/>
  <c r="K25" i="2"/>
  <c r="K56" i="2" s="1"/>
  <c r="AL17" i="2" s="1"/>
  <c r="K29" i="2"/>
  <c r="K57" i="2" s="1"/>
  <c r="AM17" i="2" s="1"/>
  <c r="O13" i="2"/>
  <c r="O60" i="2" s="1"/>
  <c r="AP23" i="2" s="1"/>
  <c r="O21" i="2"/>
  <c r="O61" i="2" s="1"/>
  <c r="AQ23" i="2" s="1"/>
  <c r="G18" i="2"/>
  <c r="G54" i="2" s="1"/>
  <c r="AJ11" i="2" s="1"/>
  <c r="G23" i="2"/>
  <c r="G55" i="2" s="1"/>
  <c r="AK11" i="2" s="1"/>
  <c r="AK13" i="2" s="1"/>
  <c r="K21" i="2"/>
  <c r="J18" i="25" s="1"/>
  <c r="K27" i="2"/>
  <c r="O27" i="2"/>
  <c r="O59" i="2" s="1"/>
  <c r="AO23" i="2" s="1"/>
  <c r="G25" i="2"/>
  <c r="C22" i="25" s="1"/>
  <c r="G27" i="2"/>
  <c r="G53" i="2" s="1"/>
  <c r="AI11" i="2" s="1"/>
  <c r="K10" i="2"/>
  <c r="K53" i="2" s="1"/>
  <c r="AI17" i="2" s="1"/>
  <c r="O7" i="2"/>
  <c r="O58" i="2" s="1"/>
  <c r="AN23" i="2" s="1"/>
  <c r="AN25" i="2" s="1"/>
  <c r="G7" i="2"/>
  <c r="C4" i="25" s="1"/>
  <c r="K7" i="2"/>
  <c r="J4" i="25" s="1"/>
  <c r="K35" i="2"/>
  <c r="K52" i="2" s="1"/>
  <c r="AH17" i="2" s="1"/>
  <c r="AH19" i="2" s="1"/>
  <c r="O18" i="2"/>
  <c r="O57" i="2" s="1"/>
  <c r="AM23" i="2" s="1"/>
  <c r="AM25" i="2" s="1"/>
  <c r="G11" i="2"/>
  <c r="G19" i="2"/>
  <c r="G50" i="2" s="1"/>
  <c r="AF11" i="2" s="1"/>
  <c r="K22" i="2"/>
  <c r="J19" i="25" s="1"/>
  <c r="K33" i="2"/>
  <c r="K50" i="2" s="1"/>
  <c r="AF17" i="2" s="1"/>
  <c r="O19" i="2"/>
  <c r="O55" i="2" s="1"/>
  <c r="AK23" i="2" s="1"/>
  <c r="O35" i="2"/>
  <c r="O56" i="2" s="1"/>
  <c r="AL23" i="2" s="1"/>
  <c r="AL25" i="2" s="1"/>
  <c r="G22" i="2"/>
  <c r="C19" i="25" s="1"/>
  <c r="K11" i="2"/>
  <c r="J8" i="25" s="1"/>
  <c r="K15" i="2"/>
  <c r="K48" i="2" s="1"/>
  <c r="AD17" i="2" s="1"/>
  <c r="O15" i="2"/>
  <c r="O53" i="2" s="1"/>
  <c r="AI23" i="2" s="1"/>
  <c r="O28" i="2"/>
  <c r="O54" i="2" s="1"/>
  <c r="AJ23" i="2" s="1"/>
  <c r="G31" i="2"/>
  <c r="G47" i="2" s="1"/>
  <c r="AC11" i="2" s="1"/>
  <c r="AC31" i="2" s="1"/>
  <c r="K6" i="2"/>
  <c r="K45" i="2" s="1"/>
  <c r="AA17" i="2" s="1"/>
  <c r="K31" i="2"/>
  <c r="K46" i="2" s="1"/>
  <c r="AB17" i="2" s="1"/>
  <c r="O11" i="2"/>
  <c r="O50" i="2" s="1"/>
  <c r="AF23" i="2" s="1"/>
  <c r="AF39" i="2" s="1"/>
  <c r="O22" i="2"/>
  <c r="O51" i="2" s="1"/>
  <c r="AG23" i="2" s="1"/>
  <c r="O26" i="2"/>
  <c r="O52" i="2" s="1"/>
  <c r="AH23" i="2" s="1"/>
  <c r="G17" i="2"/>
  <c r="G45" i="2" s="1"/>
  <c r="AA11" i="2" s="1"/>
  <c r="G33" i="2"/>
  <c r="C30" i="25" s="1"/>
  <c r="K19" i="2"/>
  <c r="K44" i="2" s="1"/>
  <c r="Z17" i="2" s="1"/>
  <c r="O9" i="2"/>
  <c r="Q6" i="25" s="1"/>
  <c r="O24" i="2"/>
  <c r="Q21" i="25" s="1"/>
  <c r="O31" i="2"/>
  <c r="O49" i="2" s="1"/>
  <c r="AE23" i="2" s="1"/>
  <c r="G6" i="2"/>
  <c r="G43" i="2" s="1"/>
  <c r="Y11" i="2" s="1"/>
  <c r="G15" i="2"/>
  <c r="C12" i="25" s="1"/>
  <c r="K17" i="2"/>
  <c r="J14" i="25" s="1"/>
  <c r="K9" i="2"/>
  <c r="K42" i="2" s="1"/>
  <c r="X17" i="2" s="1"/>
  <c r="X35" i="2" s="1"/>
  <c r="O23" i="2"/>
  <c r="O44" i="2" s="1"/>
  <c r="Z23" i="2" s="1"/>
  <c r="O30" i="2"/>
  <c r="O45" i="2" s="1"/>
  <c r="AA23" i="2" s="1"/>
  <c r="AA39" i="2" s="1"/>
  <c r="O33" i="2"/>
  <c r="O46" i="2" s="1"/>
  <c r="AB23" i="2" s="1"/>
  <c r="G9" i="2"/>
  <c r="G41" i="2" s="1"/>
  <c r="W11" i="2" s="1"/>
  <c r="W13" i="2" s="1"/>
  <c r="G28" i="2"/>
  <c r="G42" i="2" s="1"/>
  <c r="X11" i="2" s="1"/>
  <c r="X31" i="2" s="1"/>
  <c r="K28" i="2"/>
  <c r="K41" i="2" s="1"/>
  <c r="W17" i="2" s="1"/>
  <c r="O6" i="2"/>
  <c r="O41" i="2" s="1"/>
  <c r="W23" i="2" s="1"/>
  <c r="O12" i="2"/>
  <c r="O17" i="2"/>
  <c r="O43" i="2" s="1"/>
  <c r="Y23" i="2" s="1"/>
  <c r="J31" i="25"/>
  <c r="D3" i="24"/>
  <c r="T37" i="23"/>
  <c r="T38" i="23" s="1"/>
  <c r="K37" i="23"/>
  <c r="B37" i="23"/>
  <c r="AR39" i="2"/>
  <c r="Q15" i="25"/>
  <c r="D101" i="24"/>
  <c r="D76" i="24"/>
  <c r="E101" i="24"/>
  <c r="J92" i="24"/>
  <c r="K92" i="24"/>
  <c r="J104" i="24"/>
  <c r="K104" i="24"/>
  <c r="J5" i="25"/>
  <c r="K30" i="2"/>
  <c r="J27" i="25" s="1"/>
  <c r="J58" i="24"/>
  <c r="D40" i="24"/>
  <c r="K58" i="24"/>
  <c r="J68" i="24"/>
  <c r="D46" i="24"/>
  <c r="D56" i="24"/>
  <c r="D62" i="24"/>
  <c r="D67" i="24"/>
  <c r="D68" i="24"/>
  <c r="E68" i="24"/>
  <c r="J55" i="24"/>
  <c r="D45" i="24"/>
  <c r="D55" i="24"/>
  <c r="J15" i="24"/>
  <c r="J21" i="24"/>
  <c r="K21" i="24"/>
  <c r="J30" i="24"/>
  <c r="D14" i="24"/>
  <c r="D19" i="24"/>
  <c r="E19" i="24"/>
  <c r="D21" i="24"/>
  <c r="D27" i="24"/>
  <c r="D33" i="24"/>
  <c r="J8" i="24"/>
  <c r="J18" i="24"/>
  <c r="K18" i="24"/>
  <c r="J28" i="24"/>
  <c r="D8" i="24"/>
  <c r="E8" i="24"/>
  <c r="D20" i="24"/>
  <c r="D28" i="24"/>
  <c r="E28" i="24"/>
  <c r="G1" i="2"/>
  <c r="F1" i="2"/>
  <c r="E1" i="2"/>
  <c r="D1" i="2"/>
  <c r="J29" i="24"/>
  <c r="K29" i="24"/>
  <c r="J47" i="24"/>
  <c r="K47" i="24"/>
  <c r="J53" i="24"/>
  <c r="K53" i="24"/>
  <c r="J66" i="24"/>
  <c r="K66" i="24"/>
  <c r="J80" i="24"/>
  <c r="D82" i="24"/>
  <c r="E82" i="24"/>
  <c r="F82" i="24" s="1"/>
  <c r="D78" i="26" s="1"/>
  <c r="K80" i="24"/>
  <c r="L80" i="24" s="1"/>
  <c r="F76" i="26" s="1"/>
  <c r="J86" i="24"/>
  <c r="K86" i="24"/>
  <c r="J91" i="24"/>
  <c r="K91" i="24"/>
  <c r="J97" i="24"/>
  <c r="K97" i="24"/>
  <c r="J105" i="24"/>
  <c r="K105" i="24"/>
  <c r="D7" i="24"/>
  <c r="E7" i="24"/>
  <c r="D10" i="24"/>
  <c r="E10" i="24"/>
  <c r="D12" i="24"/>
  <c r="E12" i="24"/>
  <c r="D16" i="24"/>
  <c r="E16" i="24"/>
  <c r="D18" i="24"/>
  <c r="E18" i="24"/>
  <c r="E20" i="24"/>
  <c r="D23" i="24"/>
  <c r="E23" i="24"/>
  <c r="D26" i="24"/>
  <c r="E26" i="24"/>
  <c r="D32" i="24"/>
  <c r="E32" i="24"/>
  <c r="D44" i="24"/>
  <c r="E44" i="24"/>
  <c r="E45" i="24"/>
  <c r="F45" i="24" s="1"/>
  <c r="D42" i="26" s="1"/>
  <c r="D48" i="24"/>
  <c r="E48" i="24"/>
  <c r="D49" i="24"/>
  <c r="E49" i="24"/>
  <c r="D50" i="24"/>
  <c r="E50" i="24"/>
  <c r="E55" i="24"/>
  <c r="D57" i="24"/>
  <c r="E57" i="24"/>
  <c r="D60" i="24"/>
  <c r="E60" i="24"/>
  <c r="D69" i="24"/>
  <c r="E69" i="24"/>
  <c r="D81" i="24"/>
  <c r="E81" i="24"/>
  <c r="D83" i="24"/>
  <c r="E83" i="24"/>
  <c r="D85" i="24"/>
  <c r="E85" i="24"/>
  <c r="D89" i="24"/>
  <c r="E89" i="24"/>
  <c r="D92" i="24"/>
  <c r="E92" i="24"/>
  <c r="D93" i="24"/>
  <c r="E93" i="24"/>
  <c r="D96" i="24"/>
  <c r="E96" i="24"/>
  <c r="D98" i="24"/>
  <c r="E98" i="24"/>
  <c r="D100" i="24"/>
  <c r="E100" i="24"/>
  <c r="D102" i="24"/>
  <c r="E102" i="24"/>
  <c r="J7" i="24"/>
  <c r="K7" i="24"/>
  <c r="K8" i="24"/>
  <c r="L8" i="24" s="1"/>
  <c r="F7" i="26" s="1"/>
  <c r="J10" i="24"/>
  <c r="K10" i="24"/>
  <c r="J12" i="24"/>
  <c r="K12" i="24"/>
  <c r="J16" i="24"/>
  <c r="K16" i="24"/>
  <c r="J20" i="24"/>
  <c r="K20" i="24"/>
  <c r="J23" i="24"/>
  <c r="K23" i="24"/>
  <c r="J26" i="24"/>
  <c r="K26" i="24"/>
  <c r="K28" i="24"/>
  <c r="J32" i="24"/>
  <c r="K32" i="24"/>
  <c r="J44" i="24"/>
  <c r="K44" i="24"/>
  <c r="J45" i="24"/>
  <c r="K45" i="24"/>
  <c r="J48" i="24"/>
  <c r="K48" i="24"/>
  <c r="J49" i="24"/>
  <c r="K49" i="24"/>
  <c r="J50" i="24"/>
  <c r="K50" i="24"/>
  <c r="K55" i="24"/>
  <c r="J57" i="24"/>
  <c r="K57" i="24"/>
  <c r="J60" i="24"/>
  <c r="K60" i="24"/>
  <c r="J69" i="24"/>
  <c r="K69" i="24"/>
  <c r="J81" i="24"/>
  <c r="K81" i="24"/>
  <c r="J83" i="24"/>
  <c r="K83" i="24"/>
  <c r="J85" i="24"/>
  <c r="K85" i="24"/>
  <c r="J89" i="24"/>
  <c r="K89" i="24"/>
  <c r="J93" i="24"/>
  <c r="K93" i="24"/>
  <c r="J96" i="24"/>
  <c r="K96" i="24"/>
  <c r="J98" i="24"/>
  <c r="K98" i="24"/>
  <c r="J100" i="24"/>
  <c r="K100" i="24"/>
  <c r="J102" i="24"/>
  <c r="K102" i="24"/>
  <c r="D9" i="24"/>
  <c r="E9" i="24"/>
  <c r="D11" i="24"/>
  <c r="E11" i="24"/>
  <c r="D13" i="24"/>
  <c r="E13" i="24"/>
  <c r="E14" i="24"/>
  <c r="D15" i="24"/>
  <c r="E15" i="24"/>
  <c r="D17" i="24"/>
  <c r="E17" i="24"/>
  <c r="E21" i="24"/>
  <c r="D22" i="24"/>
  <c r="E22" i="24"/>
  <c r="F22" i="24" s="1"/>
  <c r="D21" i="26" s="1"/>
  <c r="D24" i="24"/>
  <c r="E24" i="24"/>
  <c r="D25" i="24"/>
  <c r="E25" i="24"/>
  <c r="E27" i="24"/>
  <c r="D30" i="24"/>
  <c r="E30" i="24"/>
  <c r="D31" i="24"/>
  <c r="E31" i="24"/>
  <c r="E33" i="24"/>
  <c r="E46" i="24"/>
  <c r="D51" i="24"/>
  <c r="E51" i="24"/>
  <c r="D52" i="24"/>
  <c r="E52" i="24"/>
  <c r="D54" i="24"/>
  <c r="E54" i="24"/>
  <c r="E56" i="24"/>
  <c r="D58" i="24"/>
  <c r="E58" i="24"/>
  <c r="D59" i="24"/>
  <c r="E59" i="24"/>
  <c r="D61" i="24"/>
  <c r="E61" i="24"/>
  <c r="E62" i="24"/>
  <c r="D63" i="24"/>
  <c r="E63" i="24"/>
  <c r="D64" i="24"/>
  <c r="E64" i="24"/>
  <c r="D65" i="24"/>
  <c r="E65" i="24"/>
  <c r="E67" i="24"/>
  <c r="F67" i="24" s="1"/>
  <c r="D64" i="26" s="1"/>
  <c r="D70" i="24"/>
  <c r="E70" i="24"/>
  <c r="D84" i="24"/>
  <c r="E84" i="24"/>
  <c r="D87" i="24"/>
  <c r="E87" i="24"/>
  <c r="D88" i="24"/>
  <c r="E88" i="24"/>
  <c r="D90" i="24"/>
  <c r="E90" i="24"/>
  <c r="D94" i="24"/>
  <c r="E94" i="24"/>
  <c r="D95" i="24"/>
  <c r="E95" i="24"/>
  <c r="D99" i="24"/>
  <c r="E99" i="24"/>
  <c r="D103" i="24"/>
  <c r="E103" i="24"/>
  <c r="D106" i="24"/>
  <c r="E106" i="24"/>
  <c r="J9" i="24"/>
  <c r="K9" i="24"/>
  <c r="J11" i="24"/>
  <c r="K11" i="24"/>
  <c r="J13" i="24"/>
  <c r="K13" i="24"/>
  <c r="J14" i="24"/>
  <c r="K14" i="24"/>
  <c r="K15" i="24"/>
  <c r="J17" i="24"/>
  <c r="M17" i="24" s="1"/>
  <c r="E16" i="26" s="1"/>
  <c r="K17" i="24"/>
  <c r="J19" i="24"/>
  <c r="K19" i="24"/>
  <c r="J22" i="24"/>
  <c r="K22" i="24"/>
  <c r="J24" i="24"/>
  <c r="K24" i="24"/>
  <c r="J25" i="24"/>
  <c r="K25" i="24"/>
  <c r="J27" i="24"/>
  <c r="K27" i="24"/>
  <c r="K30" i="24"/>
  <c r="J31" i="24"/>
  <c r="K31" i="24"/>
  <c r="J33" i="24"/>
  <c r="K33" i="24"/>
  <c r="J46" i="24"/>
  <c r="K46" i="24"/>
  <c r="J51" i="24"/>
  <c r="K51" i="24"/>
  <c r="J52" i="24"/>
  <c r="K52" i="24"/>
  <c r="J54" i="24"/>
  <c r="K54" i="24"/>
  <c r="J56" i="24"/>
  <c r="K56" i="24"/>
  <c r="J59" i="24"/>
  <c r="K59" i="24"/>
  <c r="J61" i="24"/>
  <c r="K61" i="24"/>
  <c r="J62" i="24"/>
  <c r="K62" i="24"/>
  <c r="J63" i="24"/>
  <c r="K63" i="24"/>
  <c r="J64" i="24"/>
  <c r="K64" i="24"/>
  <c r="J65" i="24"/>
  <c r="K65" i="24"/>
  <c r="J67" i="24"/>
  <c r="K67" i="24"/>
  <c r="K68" i="24"/>
  <c r="J70" i="24"/>
  <c r="K70" i="24"/>
  <c r="J82" i="24"/>
  <c r="K82" i="24"/>
  <c r="J84" i="24"/>
  <c r="K84" i="24"/>
  <c r="J87" i="24"/>
  <c r="K87" i="24"/>
  <c r="J88" i="24"/>
  <c r="K88" i="24"/>
  <c r="J90" i="24"/>
  <c r="K90" i="24"/>
  <c r="J94" i="24"/>
  <c r="K94" i="24"/>
  <c r="J95" i="24"/>
  <c r="K95" i="24"/>
  <c r="J99" i="24"/>
  <c r="K99" i="24"/>
  <c r="J101" i="24"/>
  <c r="K101" i="24"/>
  <c r="J103" i="24"/>
  <c r="K103" i="24"/>
  <c r="J106" i="24"/>
  <c r="K106" i="24"/>
  <c r="D29" i="24"/>
  <c r="E29" i="24"/>
  <c r="D47" i="24"/>
  <c r="E47" i="24"/>
  <c r="D53" i="24"/>
  <c r="E53" i="24"/>
  <c r="D66" i="24"/>
  <c r="E66" i="24"/>
  <c r="D80" i="24"/>
  <c r="E80" i="24"/>
  <c r="D86" i="24"/>
  <c r="E86" i="24"/>
  <c r="D91" i="24"/>
  <c r="E91" i="24"/>
  <c r="D97" i="24"/>
  <c r="E97" i="24"/>
  <c r="D104" i="24"/>
  <c r="E104" i="24"/>
  <c r="F104" i="24" s="1"/>
  <c r="D100" i="26" s="1"/>
  <c r="D105" i="24"/>
  <c r="E105" i="24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66" i="20"/>
  <c r="E67" i="20"/>
  <c r="E6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W19" i="2"/>
  <c r="C30" i="23"/>
  <c r="D30" i="23"/>
  <c r="J30" i="23"/>
  <c r="L30" i="23"/>
  <c r="M30" i="23"/>
  <c r="S30" i="23"/>
  <c r="U30" i="23"/>
  <c r="V30" i="23"/>
  <c r="C31" i="23"/>
  <c r="D31" i="23"/>
  <c r="J31" i="23"/>
  <c r="L31" i="23"/>
  <c r="M31" i="23"/>
  <c r="S31" i="23"/>
  <c r="U31" i="23"/>
  <c r="V31" i="23"/>
  <c r="C32" i="23"/>
  <c r="D32" i="23"/>
  <c r="J32" i="23"/>
  <c r="L32" i="23"/>
  <c r="M32" i="23"/>
  <c r="S32" i="23"/>
  <c r="U32" i="23"/>
  <c r="V32" i="23"/>
  <c r="D107" i="24"/>
  <c r="E107" i="24"/>
  <c r="J107" i="24"/>
  <c r="K107" i="24"/>
  <c r="D108" i="24"/>
  <c r="E108" i="24"/>
  <c r="J108" i="24"/>
  <c r="K108" i="24"/>
  <c r="D109" i="24"/>
  <c r="E109" i="24"/>
  <c r="J109" i="24"/>
  <c r="K109" i="24"/>
  <c r="D71" i="24"/>
  <c r="E71" i="24"/>
  <c r="J71" i="24"/>
  <c r="K71" i="24"/>
  <c r="D72" i="24"/>
  <c r="E72" i="24"/>
  <c r="J72" i="24"/>
  <c r="K72" i="24"/>
  <c r="D73" i="24"/>
  <c r="E73" i="24"/>
  <c r="J73" i="24"/>
  <c r="K73" i="24"/>
  <c r="D34" i="24"/>
  <c r="E34" i="24"/>
  <c r="J34" i="24"/>
  <c r="K34" i="24"/>
  <c r="D35" i="24"/>
  <c r="G35" i="24" s="1"/>
  <c r="C34" i="26" s="1"/>
  <c r="E35" i="24"/>
  <c r="J35" i="24"/>
  <c r="K35" i="24"/>
  <c r="D36" i="24"/>
  <c r="E36" i="24"/>
  <c r="J36" i="24"/>
  <c r="K36" i="24"/>
  <c r="P107" i="24"/>
  <c r="Q107" i="24"/>
  <c r="V107" i="24"/>
  <c r="W107" i="24"/>
  <c r="Y107" i="24"/>
  <c r="P108" i="24"/>
  <c r="Q108" i="24"/>
  <c r="V108" i="24"/>
  <c r="W108" i="24"/>
  <c r="Y108" i="24"/>
  <c r="P109" i="24"/>
  <c r="Q109" i="24"/>
  <c r="V109" i="24"/>
  <c r="W109" i="24"/>
  <c r="Y109" i="24"/>
  <c r="P71" i="24"/>
  <c r="Q71" i="24"/>
  <c r="V71" i="24"/>
  <c r="W71" i="24"/>
  <c r="Y71" i="24"/>
  <c r="P72" i="24"/>
  <c r="Q72" i="24"/>
  <c r="V72" i="24"/>
  <c r="W72" i="24"/>
  <c r="Y72" i="24"/>
  <c r="P73" i="24"/>
  <c r="Q73" i="24"/>
  <c r="V73" i="24"/>
  <c r="W73" i="24"/>
  <c r="Y73" i="24"/>
  <c r="P34" i="24"/>
  <c r="Q34" i="24"/>
  <c r="V34" i="24"/>
  <c r="W34" i="24"/>
  <c r="Y34" i="24"/>
  <c r="P35" i="24"/>
  <c r="S35" i="24" s="1"/>
  <c r="Q35" i="24"/>
  <c r="V35" i="24"/>
  <c r="W35" i="24"/>
  <c r="Y35" i="24"/>
  <c r="P36" i="24"/>
  <c r="Q36" i="24"/>
  <c r="V36" i="24"/>
  <c r="W36" i="24"/>
  <c r="Y36" i="24"/>
  <c r="BG17" i="26"/>
  <c r="D5" i="23"/>
  <c r="C5" i="23"/>
  <c r="D7" i="23"/>
  <c r="C7" i="23"/>
  <c r="D9" i="23"/>
  <c r="C9" i="23"/>
  <c r="D10" i="23"/>
  <c r="C10" i="23"/>
  <c r="D11" i="23"/>
  <c r="C11" i="23"/>
  <c r="D13" i="23"/>
  <c r="C13" i="23"/>
  <c r="D15" i="23"/>
  <c r="C15" i="23"/>
  <c r="D17" i="23"/>
  <c r="C17" i="23"/>
  <c r="D18" i="23"/>
  <c r="C18" i="23"/>
  <c r="D20" i="23"/>
  <c r="C20" i="23"/>
  <c r="D21" i="23"/>
  <c r="C21" i="23"/>
  <c r="D23" i="23"/>
  <c r="C23" i="23"/>
  <c r="D26" i="23"/>
  <c r="C26" i="23"/>
  <c r="D27" i="23"/>
  <c r="C27" i="23"/>
  <c r="D29" i="23"/>
  <c r="C29" i="23"/>
  <c r="M5" i="23"/>
  <c r="L5" i="23"/>
  <c r="M9" i="23"/>
  <c r="L9" i="23"/>
  <c r="M10" i="23"/>
  <c r="L10" i="23"/>
  <c r="M11" i="23"/>
  <c r="L11" i="23"/>
  <c r="M13" i="23"/>
  <c r="L13" i="23"/>
  <c r="M15" i="23"/>
  <c r="L15" i="23"/>
  <c r="M17" i="23"/>
  <c r="L17" i="23"/>
  <c r="M18" i="23"/>
  <c r="L18" i="23"/>
  <c r="M20" i="23"/>
  <c r="L20" i="23"/>
  <c r="M21" i="23"/>
  <c r="L21" i="23"/>
  <c r="M22" i="23"/>
  <c r="L22" i="23"/>
  <c r="M23" i="23"/>
  <c r="L23" i="23"/>
  <c r="M24" i="23"/>
  <c r="L24" i="23"/>
  <c r="M26" i="23"/>
  <c r="L26" i="23"/>
  <c r="M27" i="23"/>
  <c r="L27" i="23"/>
  <c r="M29" i="23"/>
  <c r="L29" i="23"/>
  <c r="V5" i="23"/>
  <c r="U5" i="23"/>
  <c r="V7" i="23"/>
  <c r="U7" i="23"/>
  <c r="V9" i="23"/>
  <c r="U9" i="23"/>
  <c r="V10" i="23"/>
  <c r="U10" i="23"/>
  <c r="V11" i="23"/>
  <c r="U11" i="23"/>
  <c r="V13" i="23"/>
  <c r="U13" i="23"/>
  <c r="V17" i="23"/>
  <c r="U17" i="23"/>
  <c r="V18" i="23"/>
  <c r="U18" i="23"/>
  <c r="V20" i="23"/>
  <c r="U20" i="23"/>
  <c r="V21" i="23"/>
  <c r="U21" i="23"/>
  <c r="V22" i="23"/>
  <c r="U22" i="23"/>
  <c r="V23" i="23"/>
  <c r="U23" i="23"/>
  <c r="V24" i="23"/>
  <c r="U24" i="23"/>
  <c r="V26" i="23"/>
  <c r="U26" i="23"/>
  <c r="V27" i="23"/>
  <c r="U27" i="23"/>
  <c r="V29" i="23"/>
  <c r="U29" i="23"/>
  <c r="D3" i="23"/>
  <c r="C3" i="23"/>
  <c r="D4" i="23"/>
  <c r="C4" i="23"/>
  <c r="D6" i="23"/>
  <c r="C6" i="23"/>
  <c r="D8" i="23"/>
  <c r="C8" i="23"/>
  <c r="D12" i="23"/>
  <c r="C12" i="23"/>
  <c r="D14" i="23"/>
  <c r="C14" i="23"/>
  <c r="D16" i="23"/>
  <c r="C16" i="23"/>
  <c r="D19" i="23"/>
  <c r="C19" i="23"/>
  <c r="D22" i="23"/>
  <c r="C22" i="23"/>
  <c r="D24" i="23"/>
  <c r="C24" i="23"/>
  <c r="D25" i="23"/>
  <c r="C25" i="23"/>
  <c r="D28" i="23"/>
  <c r="C28" i="23"/>
  <c r="M3" i="23"/>
  <c r="L3" i="23"/>
  <c r="M4" i="23"/>
  <c r="L4" i="23"/>
  <c r="M7" i="23"/>
  <c r="L7" i="23"/>
  <c r="M8" i="23"/>
  <c r="L8" i="23"/>
  <c r="M12" i="23"/>
  <c r="L12" i="23"/>
  <c r="M14" i="23"/>
  <c r="L14" i="23"/>
  <c r="M16" i="23"/>
  <c r="L16" i="23"/>
  <c r="M19" i="23"/>
  <c r="L19" i="23"/>
  <c r="M28" i="23"/>
  <c r="L28" i="23"/>
  <c r="V4" i="23"/>
  <c r="U4" i="23"/>
  <c r="V6" i="23"/>
  <c r="U6" i="23"/>
  <c r="V8" i="23"/>
  <c r="U8" i="23"/>
  <c r="V12" i="23"/>
  <c r="U12" i="23"/>
  <c r="V15" i="23"/>
  <c r="U15" i="23"/>
  <c r="V16" i="23"/>
  <c r="U16" i="23"/>
  <c r="V19" i="23"/>
  <c r="U19" i="23"/>
  <c r="V25" i="23"/>
  <c r="U25" i="23"/>
  <c r="M6" i="23"/>
  <c r="L6" i="23"/>
  <c r="M25" i="23"/>
  <c r="L25" i="23"/>
  <c r="V3" i="23"/>
  <c r="U3" i="23"/>
  <c r="V14" i="23"/>
  <c r="U14" i="23"/>
  <c r="V28" i="23"/>
  <c r="U28" i="23"/>
  <c r="AS43" i="25"/>
  <c r="AG49" i="25"/>
  <c r="AG43" i="25"/>
  <c r="F72" i="20"/>
  <c r="F38" i="20"/>
  <c r="F3" i="20"/>
  <c r="F4" i="20" s="1"/>
  <c r="V80" i="24"/>
  <c r="V106" i="24"/>
  <c r="AA106" i="24" s="1"/>
  <c r="W106" i="24"/>
  <c r="Y106" i="24"/>
  <c r="V70" i="24"/>
  <c r="W70" i="24"/>
  <c r="V33" i="24"/>
  <c r="W33" i="24"/>
  <c r="Q7" i="24"/>
  <c r="P7" i="24"/>
  <c r="Q106" i="24"/>
  <c r="P106" i="24"/>
  <c r="Y105" i="24"/>
  <c r="W105" i="24"/>
  <c r="X105" i="24" s="1"/>
  <c r="Z105" i="24" s="1"/>
  <c r="V105" i="24"/>
  <c r="Q105" i="24"/>
  <c r="P105" i="24"/>
  <c r="Y104" i="24"/>
  <c r="W104" i="24"/>
  <c r="V104" i="24"/>
  <c r="Q104" i="24"/>
  <c r="P104" i="24"/>
  <c r="R104" i="24" s="1"/>
  <c r="Y103" i="24"/>
  <c r="W103" i="24"/>
  <c r="V103" i="24"/>
  <c r="Q103" i="24"/>
  <c r="P103" i="24"/>
  <c r="Y102" i="24"/>
  <c r="W102" i="24"/>
  <c r="V102" i="24"/>
  <c r="Q102" i="24"/>
  <c r="P102" i="24"/>
  <c r="Y101" i="24"/>
  <c r="W101" i="24"/>
  <c r="X101" i="24" s="1"/>
  <c r="Z101" i="24" s="1"/>
  <c r="V101" i="24"/>
  <c r="Q101" i="24"/>
  <c r="P101" i="24"/>
  <c r="Y100" i="24"/>
  <c r="W100" i="24"/>
  <c r="V100" i="24"/>
  <c r="AA100" i="24" s="1"/>
  <c r="Q100" i="24"/>
  <c r="P100" i="24"/>
  <c r="Y99" i="24"/>
  <c r="W99" i="24"/>
  <c r="V99" i="24"/>
  <c r="Q99" i="24"/>
  <c r="P99" i="24"/>
  <c r="Y98" i="24"/>
  <c r="W98" i="24"/>
  <c r="V98" i="24"/>
  <c r="Q98" i="24"/>
  <c r="P98" i="24"/>
  <c r="Y97" i="24"/>
  <c r="W97" i="24"/>
  <c r="V97" i="24"/>
  <c r="Q97" i="24"/>
  <c r="R97" i="24" s="1"/>
  <c r="P97" i="24"/>
  <c r="S97" i="24"/>
  <c r="Y96" i="24"/>
  <c r="W96" i="24"/>
  <c r="V96" i="24"/>
  <c r="Q96" i="24"/>
  <c r="P96" i="24"/>
  <c r="Y95" i="24"/>
  <c r="W95" i="24"/>
  <c r="V95" i="24"/>
  <c r="Q95" i="24"/>
  <c r="P95" i="24"/>
  <c r="Y94" i="24"/>
  <c r="W94" i="24"/>
  <c r="V94" i="24"/>
  <c r="Q94" i="24"/>
  <c r="P94" i="24"/>
  <c r="Y93" i="24"/>
  <c r="W93" i="24"/>
  <c r="V93" i="24"/>
  <c r="AA93" i="24" s="1"/>
  <c r="Q93" i="24"/>
  <c r="P93" i="24"/>
  <c r="Y92" i="24"/>
  <c r="W92" i="24"/>
  <c r="V92" i="24"/>
  <c r="Q92" i="24"/>
  <c r="P92" i="24"/>
  <c r="Y91" i="24"/>
  <c r="W91" i="24"/>
  <c r="V91" i="24"/>
  <c r="AA91" i="24" s="1"/>
  <c r="Q91" i="24"/>
  <c r="P91" i="24"/>
  <c r="Y90" i="24"/>
  <c r="W90" i="24"/>
  <c r="V90" i="24"/>
  <c r="Q90" i="24"/>
  <c r="P90" i="24"/>
  <c r="Y89" i="24"/>
  <c r="W89" i="24"/>
  <c r="V89" i="24"/>
  <c r="X89" i="24" s="1"/>
  <c r="Q89" i="24"/>
  <c r="P89" i="24"/>
  <c r="Y88" i="24"/>
  <c r="W88" i="24"/>
  <c r="V88" i="24"/>
  <c r="Q88" i="24"/>
  <c r="P88" i="24"/>
  <c r="Y87" i="24"/>
  <c r="W87" i="24"/>
  <c r="V87" i="24"/>
  <c r="X87" i="24" s="1"/>
  <c r="Q87" i="24"/>
  <c r="P87" i="24"/>
  <c r="Y86" i="24"/>
  <c r="W86" i="24"/>
  <c r="V86" i="24"/>
  <c r="Q86" i="24"/>
  <c r="P86" i="24"/>
  <c r="Y85" i="24"/>
  <c r="W85" i="24"/>
  <c r="V85" i="24"/>
  <c r="Q85" i="24"/>
  <c r="P85" i="24"/>
  <c r="S85" i="24" s="1"/>
  <c r="Y84" i="24"/>
  <c r="W84" i="24"/>
  <c r="V84" i="24"/>
  <c r="AA84" i="24" s="1"/>
  <c r="Q84" i="24"/>
  <c r="P84" i="24"/>
  <c r="Y83" i="24"/>
  <c r="W83" i="24"/>
  <c r="V83" i="24"/>
  <c r="Q83" i="24"/>
  <c r="P83" i="24"/>
  <c r="S83" i="24" s="1"/>
  <c r="Y82" i="24"/>
  <c r="W82" i="24"/>
  <c r="V82" i="24"/>
  <c r="Q82" i="24"/>
  <c r="P82" i="24"/>
  <c r="Y81" i="24"/>
  <c r="W81" i="24"/>
  <c r="V81" i="24"/>
  <c r="Q81" i="24"/>
  <c r="P81" i="24"/>
  <c r="Y80" i="24"/>
  <c r="W80" i="24"/>
  <c r="Q80" i="24"/>
  <c r="P80" i="24"/>
  <c r="R80" i="24" s="1"/>
  <c r="D77" i="24"/>
  <c r="Y70" i="24"/>
  <c r="Q70" i="24"/>
  <c r="P70" i="24"/>
  <c r="Y69" i="24"/>
  <c r="W69" i="24"/>
  <c r="V69" i="24"/>
  <c r="Q69" i="24"/>
  <c r="P69" i="24"/>
  <c r="Y68" i="24"/>
  <c r="W68" i="24"/>
  <c r="V68" i="24"/>
  <c r="AA68" i="24" s="1"/>
  <c r="Q68" i="24"/>
  <c r="P68" i="24"/>
  <c r="Y67" i="24"/>
  <c r="W67" i="24"/>
  <c r="V67" i="24"/>
  <c r="Q67" i="24"/>
  <c r="P67" i="24"/>
  <c r="Y66" i="24"/>
  <c r="W66" i="24"/>
  <c r="V66" i="24"/>
  <c r="Q66" i="24"/>
  <c r="P66" i="24"/>
  <c r="Y65" i="24"/>
  <c r="W65" i="24"/>
  <c r="V65" i="24"/>
  <c r="Q65" i="24"/>
  <c r="P65" i="24"/>
  <c r="Y64" i="24"/>
  <c r="W64" i="24"/>
  <c r="V64" i="24"/>
  <c r="Q64" i="24"/>
  <c r="P64" i="24"/>
  <c r="Y63" i="24"/>
  <c r="W63" i="24"/>
  <c r="V63" i="24"/>
  <c r="Q63" i="24"/>
  <c r="P63" i="24"/>
  <c r="Y62" i="24"/>
  <c r="W62" i="24"/>
  <c r="V62" i="24"/>
  <c r="Q62" i="24"/>
  <c r="P62" i="24"/>
  <c r="Y61" i="24"/>
  <c r="W61" i="24"/>
  <c r="V61" i="24"/>
  <c r="Q61" i="24"/>
  <c r="P61" i="24"/>
  <c r="Y60" i="24"/>
  <c r="W60" i="24"/>
  <c r="V60" i="24"/>
  <c r="Q60" i="24"/>
  <c r="P60" i="24"/>
  <c r="Y59" i="24"/>
  <c r="W59" i="24"/>
  <c r="V59" i="24"/>
  <c r="Q59" i="24"/>
  <c r="P59" i="24"/>
  <c r="Y58" i="24"/>
  <c r="W58" i="24"/>
  <c r="V58" i="24"/>
  <c r="Q58" i="24"/>
  <c r="P58" i="24"/>
  <c r="Y57" i="24"/>
  <c r="W57" i="24"/>
  <c r="V57" i="24"/>
  <c r="AA57" i="24" s="1"/>
  <c r="Q57" i="24"/>
  <c r="P57" i="24"/>
  <c r="Y56" i="24"/>
  <c r="W56" i="24"/>
  <c r="V56" i="24"/>
  <c r="Q56" i="24"/>
  <c r="P56" i="24"/>
  <c r="Y55" i="24"/>
  <c r="W55" i="24"/>
  <c r="V55" i="24"/>
  <c r="Q55" i="24"/>
  <c r="P55" i="24"/>
  <c r="Y54" i="24"/>
  <c r="W54" i="24"/>
  <c r="V54" i="24"/>
  <c r="Q54" i="24"/>
  <c r="P54" i="24"/>
  <c r="Y53" i="24"/>
  <c r="W53" i="24"/>
  <c r="V53" i="24"/>
  <c r="Q53" i="24"/>
  <c r="P53" i="24"/>
  <c r="Y52" i="24"/>
  <c r="W52" i="24"/>
  <c r="V52" i="24"/>
  <c r="Q52" i="24"/>
  <c r="P52" i="24"/>
  <c r="S52" i="24" s="1"/>
  <c r="Y51" i="24"/>
  <c r="W51" i="24"/>
  <c r="V51" i="24"/>
  <c r="Q51" i="24"/>
  <c r="P51" i="24"/>
  <c r="S51" i="24" s="1"/>
  <c r="Y50" i="24"/>
  <c r="W50" i="24"/>
  <c r="V50" i="24"/>
  <c r="Q50" i="24"/>
  <c r="P50" i="24"/>
  <c r="Y49" i="24"/>
  <c r="W49" i="24"/>
  <c r="V49" i="24"/>
  <c r="Q49" i="24"/>
  <c r="P49" i="24"/>
  <c r="Y48" i="24"/>
  <c r="W48" i="24"/>
  <c r="V48" i="24"/>
  <c r="Q48" i="24"/>
  <c r="P48" i="24"/>
  <c r="Y47" i="24"/>
  <c r="W47" i="24"/>
  <c r="V47" i="24"/>
  <c r="Q47" i="24"/>
  <c r="P47" i="24"/>
  <c r="Y46" i="24"/>
  <c r="W46" i="24"/>
  <c r="V46" i="24"/>
  <c r="Q46" i="24"/>
  <c r="P46" i="24"/>
  <c r="S46" i="24" s="1"/>
  <c r="Y45" i="24"/>
  <c r="W45" i="24"/>
  <c r="V45" i="24"/>
  <c r="Q45" i="24"/>
  <c r="P45" i="24"/>
  <c r="Y44" i="24"/>
  <c r="W44" i="24"/>
  <c r="V44" i="24"/>
  <c r="Q44" i="24"/>
  <c r="P44" i="24"/>
  <c r="D41" i="24"/>
  <c r="Y33" i="24"/>
  <c r="Q33" i="24"/>
  <c r="P33" i="24"/>
  <c r="Y32" i="24"/>
  <c r="W32" i="24"/>
  <c r="V32" i="24"/>
  <c r="AA32" i="24" s="1"/>
  <c r="Q32" i="24"/>
  <c r="P32" i="24"/>
  <c r="Y31" i="24"/>
  <c r="W31" i="24"/>
  <c r="V31" i="24"/>
  <c r="Q31" i="24"/>
  <c r="P31" i="24"/>
  <c r="Y30" i="24"/>
  <c r="W30" i="24"/>
  <c r="V30" i="24"/>
  <c r="Q30" i="24"/>
  <c r="P30" i="24"/>
  <c r="S30" i="24" s="1"/>
  <c r="Y29" i="24"/>
  <c r="W29" i="24"/>
  <c r="V29" i="24"/>
  <c r="Q29" i="24"/>
  <c r="P29" i="24"/>
  <c r="S29" i="24" s="1"/>
  <c r="Y28" i="24"/>
  <c r="W28" i="24"/>
  <c r="V28" i="24"/>
  <c r="AA28" i="24" s="1"/>
  <c r="Q28" i="24"/>
  <c r="P28" i="24"/>
  <c r="S28" i="24" s="1"/>
  <c r="Y27" i="24"/>
  <c r="W27" i="24"/>
  <c r="V27" i="24"/>
  <c r="AA27" i="24" s="1"/>
  <c r="Q27" i="24"/>
  <c r="P27" i="24"/>
  <c r="Y26" i="24"/>
  <c r="W26" i="24"/>
  <c r="V26" i="24"/>
  <c r="AA26" i="24" s="1"/>
  <c r="Q26" i="24"/>
  <c r="P26" i="24"/>
  <c r="Y25" i="24"/>
  <c r="W25" i="24"/>
  <c r="V25" i="24"/>
  <c r="AA25" i="24" s="1"/>
  <c r="Q25" i="24"/>
  <c r="P25" i="24"/>
  <c r="Y24" i="24"/>
  <c r="W24" i="24"/>
  <c r="V24" i="24"/>
  <c r="AA24" i="24" s="1"/>
  <c r="Q24" i="24"/>
  <c r="P24" i="24"/>
  <c r="Y23" i="24"/>
  <c r="W23" i="24"/>
  <c r="V23" i="24"/>
  <c r="Q23" i="24"/>
  <c r="P23" i="24"/>
  <c r="Y22" i="24"/>
  <c r="W22" i="24"/>
  <c r="V22" i="24"/>
  <c r="Q22" i="24"/>
  <c r="P22" i="24"/>
  <c r="S22" i="24" s="1"/>
  <c r="Y21" i="24"/>
  <c r="W21" i="24"/>
  <c r="V21" i="24"/>
  <c r="Q21" i="24"/>
  <c r="P21" i="24"/>
  <c r="S21" i="24" s="1"/>
  <c r="Y20" i="24"/>
  <c r="W20" i="24"/>
  <c r="V20" i="24"/>
  <c r="Q20" i="24"/>
  <c r="P20" i="24"/>
  <c r="Y19" i="24"/>
  <c r="W19" i="24"/>
  <c r="V19" i="24"/>
  <c r="Q19" i="24"/>
  <c r="P19" i="24"/>
  <c r="S19" i="24" s="1"/>
  <c r="Y18" i="24"/>
  <c r="W18" i="24"/>
  <c r="V18" i="24"/>
  <c r="AA18" i="24" s="1"/>
  <c r="Q18" i="24"/>
  <c r="P18" i="24"/>
  <c r="S18" i="24" s="1"/>
  <c r="Y17" i="24"/>
  <c r="W17" i="24"/>
  <c r="V17" i="24"/>
  <c r="AA17" i="24" s="1"/>
  <c r="Q17" i="24"/>
  <c r="P17" i="24"/>
  <c r="Y16" i="24"/>
  <c r="W16" i="24"/>
  <c r="V16" i="24"/>
  <c r="Q16" i="24"/>
  <c r="P16" i="24"/>
  <c r="Y15" i="24"/>
  <c r="W15" i="24"/>
  <c r="V15" i="24"/>
  <c r="Q15" i="24"/>
  <c r="P15" i="24"/>
  <c r="Y14" i="24"/>
  <c r="W14" i="24"/>
  <c r="V14" i="24"/>
  <c r="Q14" i="24"/>
  <c r="P14" i="24"/>
  <c r="S14" i="24" s="1"/>
  <c r="Y13" i="24"/>
  <c r="W13" i="24"/>
  <c r="V13" i="24"/>
  <c r="Q13" i="24"/>
  <c r="P13" i="24"/>
  <c r="S13" i="24" s="1"/>
  <c r="Y12" i="24"/>
  <c r="W12" i="24"/>
  <c r="V12" i="24"/>
  <c r="AA12" i="24" s="1"/>
  <c r="Q12" i="24"/>
  <c r="P12" i="24"/>
  <c r="Y11" i="24"/>
  <c r="W11" i="24"/>
  <c r="V11" i="24"/>
  <c r="AA11" i="24" s="1"/>
  <c r="Q11" i="24"/>
  <c r="P11" i="24"/>
  <c r="S11" i="24" s="1"/>
  <c r="Y10" i="24"/>
  <c r="W10" i="24"/>
  <c r="V10" i="24"/>
  <c r="AA10" i="24" s="1"/>
  <c r="Q10" i="24"/>
  <c r="P10" i="24"/>
  <c r="S10" i="24" s="1"/>
  <c r="Y9" i="24"/>
  <c r="W9" i="24"/>
  <c r="V9" i="24"/>
  <c r="AA9" i="24" s="1"/>
  <c r="Q9" i="24"/>
  <c r="P9" i="24"/>
  <c r="Y8" i="24"/>
  <c r="W8" i="24"/>
  <c r="V8" i="24"/>
  <c r="Q8" i="24"/>
  <c r="P8" i="24"/>
  <c r="Y7" i="24"/>
  <c r="W7" i="24"/>
  <c r="V7" i="24"/>
  <c r="D4" i="24"/>
  <c r="S105" i="24"/>
  <c r="AA89" i="24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" i="23"/>
  <c r="AR25" i="2"/>
  <c r="G108" i="24"/>
  <c r="C104" i="26" s="1"/>
  <c r="AN19" i="2"/>
  <c r="C10" i="25"/>
  <c r="M88" i="24"/>
  <c r="E84" i="26" s="1"/>
  <c r="W35" i="2"/>
  <c r="W46" i="2"/>
  <c r="J4" i="35" s="1"/>
  <c r="AK39" i="2"/>
  <c r="AK25" i="2"/>
  <c r="L90" i="24"/>
  <c r="F86" i="26" s="1"/>
  <c r="AH35" i="2"/>
  <c r="AQ25" i="2"/>
  <c r="AQ39" i="2"/>
  <c r="F80" i="24"/>
  <c r="D76" i="26" s="1"/>
  <c r="M80" i="24"/>
  <c r="J29" i="25"/>
  <c r="Q19" i="25"/>
  <c r="AO25" i="2"/>
  <c r="AI25" i="2"/>
  <c r="AI24" i="2"/>
  <c r="AI39" i="2"/>
  <c r="M85" i="24"/>
  <c r="E81" i="26" s="1"/>
  <c r="Q13" i="25"/>
  <c r="Q7" i="25"/>
  <c r="AR24" i="2"/>
  <c r="AM39" i="2"/>
  <c r="AT39" i="2"/>
  <c r="AT25" i="2"/>
  <c r="AT24" i="2"/>
  <c r="M84" i="24"/>
  <c r="G93" i="24"/>
  <c r="AW39" i="2"/>
  <c r="M87" i="24"/>
  <c r="E83" i="26" s="1"/>
  <c r="L85" i="24"/>
  <c r="F81" i="26" s="1"/>
  <c r="F96" i="24"/>
  <c r="F83" i="24"/>
  <c r="D79" i="26" s="1"/>
  <c r="C32" i="25"/>
  <c r="AH25" i="2"/>
  <c r="AH39" i="2"/>
  <c r="AH24" i="2"/>
  <c r="AG39" i="2"/>
  <c r="AG25" i="2"/>
  <c r="AM35" i="2"/>
  <c r="AS35" i="2"/>
  <c r="AM19" i="2"/>
  <c r="Y39" i="2"/>
  <c r="Y25" i="2"/>
  <c r="X13" i="2"/>
  <c r="AS24" i="2"/>
  <c r="AS39" i="2"/>
  <c r="AS25" i="2"/>
  <c r="AP19" i="2"/>
  <c r="AN24" i="2"/>
  <c r="AS18" i="2"/>
  <c r="AS19" i="2"/>
  <c r="R105" i="24" l="1"/>
  <c r="M109" i="24"/>
  <c r="G104" i="24"/>
  <c r="C100" i="26" s="1"/>
  <c r="M100" i="24"/>
  <c r="E96" i="26" s="1"/>
  <c r="S99" i="24"/>
  <c r="M98" i="24"/>
  <c r="E94" i="26" s="1"/>
  <c r="S109" i="24"/>
  <c r="AA82" i="24"/>
  <c r="AA101" i="24"/>
  <c r="F103" i="24"/>
  <c r="L86" i="24"/>
  <c r="F82" i="26" s="1"/>
  <c r="X60" i="24"/>
  <c r="X72" i="24"/>
  <c r="X49" i="24"/>
  <c r="X65" i="24"/>
  <c r="X45" i="24"/>
  <c r="Z45" i="24" s="1"/>
  <c r="X61" i="24"/>
  <c r="R63" i="24"/>
  <c r="X69" i="24"/>
  <c r="N27" i="23"/>
  <c r="Z60" i="25" s="1"/>
  <c r="X62" i="24"/>
  <c r="R64" i="24"/>
  <c r="F72" i="24"/>
  <c r="D69" i="26" s="1"/>
  <c r="X18" i="2"/>
  <c r="R61" i="24"/>
  <c r="X67" i="24"/>
  <c r="K70" i="2"/>
  <c r="F52" i="24"/>
  <c r="X19" i="2"/>
  <c r="R44" i="24"/>
  <c r="R60" i="24"/>
  <c r="Z69" i="24"/>
  <c r="F70" i="24"/>
  <c r="F56" i="24"/>
  <c r="F50" i="24"/>
  <c r="D47" i="26" s="1"/>
  <c r="F68" i="24"/>
  <c r="J21" i="25"/>
  <c r="J26" i="25"/>
  <c r="M61" i="24"/>
  <c r="E58" i="26" s="1"/>
  <c r="F55" i="24"/>
  <c r="D52" i="26" s="1"/>
  <c r="J25" i="25"/>
  <c r="R49" i="24"/>
  <c r="R72" i="24"/>
  <c r="J7" i="25"/>
  <c r="C14" i="25"/>
  <c r="F18" i="24"/>
  <c r="C17" i="25"/>
  <c r="M10" i="24"/>
  <c r="E9" i="26" s="1"/>
  <c r="W45" i="2"/>
  <c r="G4" i="35" s="1"/>
  <c r="F11" i="24"/>
  <c r="D10" i="26" s="1"/>
  <c r="AO31" i="2"/>
  <c r="L10" i="24"/>
  <c r="F9" i="26" s="1"/>
  <c r="F29" i="24"/>
  <c r="D28" i="26" s="1"/>
  <c r="G34" i="24"/>
  <c r="C33" i="26" s="1"/>
  <c r="G29" i="24"/>
  <c r="C28" i="26" s="1"/>
  <c r="G32" i="24"/>
  <c r="C31" i="26" s="1"/>
  <c r="M11" i="24"/>
  <c r="E10" i="26" s="1"/>
  <c r="G22" i="24"/>
  <c r="G13" i="24"/>
  <c r="C12" i="26" s="1"/>
  <c r="M20" i="24"/>
  <c r="E19" i="26" s="1"/>
  <c r="S16" i="24"/>
  <c r="S24" i="24"/>
  <c r="AA30" i="24"/>
  <c r="S32" i="24"/>
  <c r="AA36" i="24"/>
  <c r="M25" i="24"/>
  <c r="G12" i="24"/>
  <c r="C11" i="26" s="1"/>
  <c r="L26" i="24"/>
  <c r="F25" i="26" s="1"/>
  <c r="G23" i="24"/>
  <c r="C22" i="26" s="1"/>
  <c r="S15" i="24"/>
  <c r="AA21" i="24"/>
  <c r="AA29" i="24"/>
  <c r="S31" i="24"/>
  <c r="S7" i="24"/>
  <c r="M31" i="24"/>
  <c r="E30" i="26" s="1"/>
  <c r="G25" i="24"/>
  <c r="C24" i="26" s="1"/>
  <c r="G9" i="24"/>
  <c r="M26" i="24"/>
  <c r="E25" i="26" s="1"/>
  <c r="M12" i="24"/>
  <c r="M22" i="24"/>
  <c r="E21" i="26" s="1"/>
  <c r="G15" i="24"/>
  <c r="C6" i="25"/>
  <c r="AA7" i="24"/>
  <c r="S9" i="24"/>
  <c r="AA15" i="24"/>
  <c r="S17" i="24"/>
  <c r="AA23" i="24"/>
  <c r="S25" i="24"/>
  <c r="AA31" i="24"/>
  <c r="S33" i="24"/>
  <c r="G24" i="24"/>
  <c r="C23" i="26" s="1"/>
  <c r="F32" i="24"/>
  <c r="D31" i="26" s="1"/>
  <c r="M18" i="24"/>
  <c r="E17" i="26" s="1"/>
  <c r="AN31" i="2"/>
  <c r="AO12" i="2"/>
  <c r="C3" i="25"/>
  <c r="C13" i="25"/>
  <c r="C15" i="25"/>
  <c r="C25" i="25"/>
  <c r="R22" i="24"/>
  <c r="F25" i="24"/>
  <c r="D24" i="26" s="1"/>
  <c r="X10" i="24"/>
  <c r="Z10" i="24" s="1"/>
  <c r="R10" i="24"/>
  <c r="X13" i="24"/>
  <c r="Z13" i="24" s="1"/>
  <c r="R23" i="24"/>
  <c r="X18" i="24"/>
  <c r="Z18" i="24" s="1"/>
  <c r="R16" i="24"/>
  <c r="L30" i="24"/>
  <c r="F29" i="26" s="1"/>
  <c r="L23" i="24"/>
  <c r="F22" i="26" s="1"/>
  <c r="X31" i="24"/>
  <c r="Z31" i="24" s="1"/>
  <c r="R33" i="24"/>
  <c r="E3" i="23"/>
  <c r="Y36" i="25" s="1"/>
  <c r="E10" i="23"/>
  <c r="Y10" i="25" s="1"/>
  <c r="L16" i="24"/>
  <c r="F15" i="26" s="1"/>
  <c r="F12" i="24"/>
  <c r="D11" i="26" s="1"/>
  <c r="H11" i="26" s="1"/>
  <c r="X19" i="24"/>
  <c r="Z19" i="24" s="1"/>
  <c r="X30" i="24"/>
  <c r="Z30" i="24" s="1"/>
  <c r="R32" i="24"/>
  <c r="R13" i="24"/>
  <c r="L11" i="24"/>
  <c r="F10" i="26" s="1"/>
  <c r="I10" i="26" s="1"/>
  <c r="E26" i="23"/>
  <c r="Y59" i="25" s="1"/>
  <c r="F33" i="24"/>
  <c r="D32" i="26" s="1"/>
  <c r="B38" i="23"/>
  <c r="F5" i="20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B39" i="23" s="1"/>
  <c r="L20" i="24"/>
  <c r="F19" i="26" s="1"/>
  <c r="E32" i="23"/>
  <c r="G32" i="23" s="1"/>
  <c r="E30" i="23"/>
  <c r="L105" i="24"/>
  <c r="X97" i="24"/>
  <c r="Q31" i="25"/>
  <c r="W31" i="23"/>
  <c r="X104" i="24"/>
  <c r="N32" i="23"/>
  <c r="AA46" i="24"/>
  <c r="X57" i="24"/>
  <c r="Z57" i="24" s="1"/>
  <c r="M64" i="24"/>
  <c r="G70" i="24"/>
  <c r="C67" i="26" s="1"/>
  <c r="G50" i="24"/>
  <c r="S53" i="24"/>
  <c r="N5" i="23"/>
  <c r="Z38" i="25" s="1"/>
  <c r="M70" i="24"/>
  <c r="E67" i="26" s="1"/>
  <c r="M50" i="24"/>
  <c r="E47" i="26" s="1"/>
  <c r="G69" i="24"/>
  <c r="C66" i="26" s="1"/>
  <c r="AA48" i="24"/>
  <c r="S50" i="24"/>
  <c r="S58" i="24"/>
  <c r="S66" i="24"/>
  <c r="AA73" i="24"/>
  <c r="M69" i="24"/>
  <c r="E66" i="26" s="1"/>
  <c r="K47" i="2"/>
  <c r="AC17" i="2" s="1"/>
  <c r="AA53" i="24"/>
  <c r="M73" i="24"/>
  <c r="G65" i="24"/>
  <c r="G52" i="24"/>
  <c r="C49" i="26" s="1"/>
  <c r="G60" i="24"/>
  <c r="C57" i="26" s="1"/>
  <c r="AA66" i="24"/>
  <c r="S73" i="24"/>
  <c r="M67" i="24"/>
  <c r="E64" i="26" s="1"/>
  <c r="M54" i="24"/>
  <c r="E51" i="26" s="1"/>
  <c r="R52" i="24"/>
  <c r="G73" i="24"/>
  <c r="G53" i="24"/>
  <c r="C50" i="26" s="1"/>
  <c r="L52" i="24"/>
  <c r="F49" i="26" s="1"/>
  <c r="E19" i="23"/>
  <c r="H19" i="23" s="1"/>
  <c r="M8" i="24"/>
  <c r="E7" i="26" s="1"/>
  <c r="I7" i="26" s="1"/>
  <c r="X28" i="24"/>
  <c r="Z28" i="24" s="1"/>
  <c r="X25" i="24"/>
  <c r="Z25" i="24" s="1"/>
  <c r="E7" i="23"/>
  <c r="Y40" i="25" s="1"/>
  <c r="L7" i="24"/>
  <c r="F6" i="26" s="1"/>
  <c r="M21" i="24"/>
  <c r="E20" i="26" s="1"/>
  <c r="F15" i="24"/>
  <c r="D14" i="26" s="1"/>
  <c r="AS13" i="2"/>
  <c r="C21" i="25"/>
  <c r="F87" i="24"/>
  <c r="D83" i="26" s="1"/>
  <c r="X107" i="24"/>
  <c r="Z107" i="24" s="1"/>
  <c r="R73" i="24"/>
  <c r="L50" i="24"/>
  <c r="F47" i="26" s="1"/>
  <c r="K51" i="2"/>
  <c r="AG17" i="2" s="1"/>
  <c r="AG19" i="2" s="1"/>
  <c r="L73" i="24"/>
  <c r="F70" i="26" s="1"/>
  <c r="L67" i="24"/>
  <c r="F64" i="26" s="1"/>
  <c r="L59" i="24"/>
  <c r="F56" i="26" s="1"/>
  <c r="F35" i="24"/>
  <c r="H35" i="24" s="1"/>
  <c r="S36" i="24"/>
  <c r="E15" i="23"/>
  <c r="Y48" i="25" s="1"/>
  <c r="X35" i="24"/>
  <c r="Z35" i="24" s="1"/>
  <c r="F8" i="24"/>
  <c r="D7" i="26" s="1"/>
  <c r="R46" i="24"/>
  <c r="X9" i="24"/>
  <c r="AB9" i="24" s="1"/>
  <c r="R19" i="24"/>
  <c r="T19" i="24" s="1"/>
  <c r="X21" i="24"/>
  <c r="X96" i="24"/>
  <c r="Z96" i="24" s="1"/>
  <c r="X70" i="24"/>
  <c r="Z70" i="24" s="1"/>
  <c r="W12" i="23"/>
  <c r="W22" i="23"/>
  <c r="AA55" i="25" s="1"/>
  <c r="S34" i="24"/>
  <c r="M36" i="24"/>
  <c r="E35" i="26" s="1"/>
  <c r="M35" i="24"/>
  <c r="F71" i="24"/>
  <c r="D68" i="26" s="1"/>
  <c r="W30" i="23"/>
  <c r="AR19" i="2"/>
  <c r="AC13" i="2"/>
  <c r="M33" i="24"/>
  <c r="E32" i="26" s="1"/>
  <c r="M13" i="24"/>
  <c r="E12" i="26" s="1"/>
  <c r="M9" i="24"/>
  <c r="E8" i="26" s="1"/>
  <c r="F95" i="24"/>
  <c r="D91" i="26" s="1"/>
  <c r="F62" i="24"/>
  <c r="D59" i="26" s="1"/>
  <c r="L102" i="24"/>
  <c r="F98" i="26" s="1"/>
  <c r="L55" i="24"/>
  <c r="F52" i="26" s="1"/>
  <c r="F100" i="24"/>
  <c r="D96" i="26" s="1"/>
  <c r="G16" i="24"/>
  <c r="C15" i="26" s="1"/>
  <c r="G10" i="24"/>
  <c r="C9" i="26" s="1"/>
  <c r="Q18" i="25"/>
  <c r="C16" i="25"/>
  <c r="K38" i="23"/>
  <c r="S23" i="24"/>
  <c r="W16" i="23"/>
  <c r="E16" i="23"/>
  <c r="Y49" i="25" s="1"/>
  <c r="W5" i="23"/>
  <c r="AA38" i="25" s="1"/>
  <c r="N24" i="23"/>
  <c r="N17" i="23"/>
  <c r="E13" i="23"/>
  <c r="F13" i="23" s="1"/>
  <c r="AA35" i="24"/>
  <c r="M27" i="24"/>
  <c r="E26" i="26" s="1"/>
  <c r="M19" i="24"/>
  <c r="E18" i="26" s="1"/>
  <c r="G11" i="24"/>
  <c r="C10" i="26" s="1"/>
  <c r="H10" i="26" s="1"/>
  <c r="M23" i="24"/>
  <c r="E22" i="26" s="1"/>
  <c r="M16" i="24"/>
  <c r="M7" i="24"/>
  <c r="E6" i="26" s="1"/>
  <c r="G21" i="24"/>
  <c r="C20" i="26" s="1"/>
  <c r="Q16" i="25"/>
  <c r="J6" i="25"/>
  <c r="O47" i="2"/>
  <c r="AC23" i="2" s="1"/>
  <c r="K49" i="2"/>
  <c r="AE17" i="2" s="1"/>
  <c r="AE19" i="2" s="1"/>
  <c r="Z89" i="24"/>
  <c r="X15" i="24"/>
  <c r="Z15" i="24" s="1"/>
  <c r="R25" i="24"/>
  <c r="X27" i="24"/>
  <c r="AB27" i="24" s="1"/>
  <c r="R56" i="24"/>
  <c r="R57" i="24"/>
  <c r="X90" i="24"/>
  <c r="R106" i="24"/>
  <c r="W13" i="23"/>
  <c r="N29" i="23"/>
  <c r="N26" i="23"/>
  <c r="AA34" i="24"/>
  <c r="X73" i="24"/>
  <c r="Z73" i="24" s="1"/>
  <c r="X108" i="24"/>
  <c r="Z108" i="24" s="1"/>
  <c r="G36" i="24"/>
  <c r="C35" i="26" s="1"/>
  <c r="L71" i="24"/>
  <c r="F68" i="26" s="1"/>
  <c r="E31" i="23"/>
  <c r="H31" i="23" s="1"/>
  <c r="F105" i="24"/>
  <c r="D101" i="26" s="1"/>
  <c r="L101" i="24"/>
  <c r="F97" i="26" s="1"/>
  <c r="L65" i="24"/>
  <c r="F62" i="26" s="1"/>
  <c r="L17" i="24"/>
  <c r="F16" i="26" s="1"/>
  <c r="I16" i="26" s="1"/>
  <c r="F106" i="24"/>
  <c r="D102" i="26" s="1"/>
  <c r="F88" i="24"/>
  <c r="D84" i="26" s="1"/>
  <c r="L12" i="24"/>
  <c r="F11" i="26" s="1"/>
  <c r="F93" i="24"/>
  <c r="D89" i="26" s="1"/>
  <c r="G18" i="24"/>
  <c r="C17" i="26" s="1"/>
  <c r="G7" i="24"/>
  <c r="C6" i="26" s="1"/>
  <c r="L97" i="24"/>
  <c r="F93" i="26" s="1"/>
  <c r="M29" i="24"/>
  <c r="E28" i="26" s="1"/>
  <c r="G20" i="24"/>
  <c r="C19" i="26" s="1"/>
  <c r="G67" i="24"/>
  <c r="C64" i="26" s="1"/>
  <c r="H64" i="26" s="1"/>
  <c r="AA83" i="24"/>
  <c r="R87" i="24"/>
  <c r="S106" i="24"/>
  <c r="T106" i="24" s="1"/>
  <c r="M108" i="24"/>
  <c r="E104" i="26" s="1"/>
  <c r="G107" i="24"/>
  <c r="C103" i="26" s="1"/>
  <c r="L103" i="24"/>
  <c r="F99" i="26" s="1"/>
  <c r="M95" i="24"/>
  <c r="E91" i="26" s="1"/>
  <c r="L88" i="24"/>
  <c r="M82" i="24"/>
  <c r="E78" i="26" s="1"/>
  <c r="L89" i="24"/>
  <c r="L81" i="24"/>
  <c r="F77" i="26" s="1"/>
  <c r="X82" i="24"/>
  <c r="R92" i="24"/>
  <c r="X94" i="24"/>
  <c r="Z94" i="24" s="1"/>
  <c r="AA86" i="24"/>
  <c r="X92" i="24"/>
  <c r="R107" i="24"/>
  <c r="L107" i="24"/>
  <c r="F103" i="26" s="1"/>
  <c r="G102" i="24"/>
  <c r="C98" i="26" s="1"/>
  <c r="G96" i="24"/>
  <c r="C92" i="26" s="1"/>
  <c r="G89" i="24"/>
  <c r="C85" i="26" s="1"/>
  <c r="Q30" i="25"/>
  <c r="R95" i="24"/>
  <c r="M83" i="24"/>
  <c r="F85" i="24"/>
  <c r="D81" i="26" s="1"/>
  <c r="Q29" i="25"/>
  <c r="L68" i="24"/>
  <c r="F65" i="26" s="1"/>
  <c r="N6" i="23"/>
  <c r="J3" i="25"/>
  <c r="AN18" i="2"/>
  <c r="Z65" i="24"/>
  <c r="R47" i="24"/>
  <c r="L60" i="24"/>
  <c r="F57" i="26" s="1"/>
  <c r="L49" i="24"/>
  <c r="F46" i="26" s="1"/>
  <c r="L44" i="24"/>
  <c r="F41" i="26" s="1"/>
  <c r="J11" i="25"/>
  <c r="F39" i="20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K39" i="23" s="1"/>
  <c r="AM18" i="2"/>
  <c r="R67" i="24"/>
  <c r="N14" i="23"/>
  <c r="X68" i="24"/>
  <c r="AB68" i="24" s="1"/>
  <c r="R45" i="24"/>
  <c r="N7" i="23"/>
  <c r="R55" i="24"/>
  <c r="R62" i="24"/>
  <c r="X64" i="24"/>
  <c r="Z64" i="24" s="1"/>
  <c r="F73" i="24"/>
  <c r="D70" i="26" s="1"/>
  <c r="L46" i="24"/>
  <c r="F43" i="26" s="1"/>
  <c r="F57" i="24"/>
  <c r="D54" i="26" s="1"/>
  <c r="F49" i="24"/>
  <c r="D46" i="26" s="1"/>
  <c r="J10" i="25"/>
  <c r="J15" i="25"/>
  <c r="E6" i="23"/>
  <c r="F6" i="23" s="1"/>
  <c r="E9" i="23"/>
  <c r="Y42" i="25" s="1"/>
  <c r="F26" i="24"/>
  <c r="D25" i="26" s="1"/>
  <c r="R18" i="24"/>
  <c r="T18" i="24" s="1"/>
  <c r="R31" i="24"/>
  <c r="F28" i="24"/>
  <c r="D27" i="26" s="1"/>
  <c r="X29" i="24"/>
  <c r="Z29" i="24" s="1"/>
  <c r="E24" i="23"/>
  <c r="Y57" i="25" s="1"/>
  <c r="R35" i="24"/>
  <c r="T35" i="24" s="1"/>
  <c r="C18" i="25"/>
  <c r="L35" i="24"/>
  <c r="F34" i="26" s="1"/>
  <c r="X7" i="24"/>
  <c r="Z7" i="24" s="1"/>
  <c r="AA25" i="2"/>
  <c r="R108" i="24"/>
  <c r="L93" i="24"/>
  <c r="F89" i="26" s="1"/>
  <c r="L104" i="24"/>
  <c r="F100" i="26" s="1"/>
  <c r="Q22" i="25"/>
  <c r="AO24" i="2"/>
  <c r="X84" i="24"/>
  <c r="Z84" i="24" s="1"/>
  <c r="W25" i="23"/>
  <c r="AA58" i="25" s="1"/>
  <c r="W6" i="23"/>
  <c r="W27" i="23"/>
  <c r="W23" i="23"/>
  <c r="W20" i="23"/>
  <c r="R93" i="24"/>
  <c r="T97" i="24"/>
  <c r="Q28" i="25"/>
  <c r="Q12" i="25"/>
  <c r="R85" i="24"/>
  <c r="T85" i="24" s="1"/>
  <c r="F108" i="24"/>
  <c r="D104" i="26" s="1"/>
  <c r="H104" i="26" s="1"/>
  <c r="AA94" i="24"/>
  <c r="Q25" i="25"/>
  <c r="T36" i="23"/>
  <c r="AV35" i="2"/>
  <c r="AV19" i="2"/>
  <c r="X53" i="24"/>
  <c r="Z53" i="24" s="1"/>
  <c r="M55" i="24"/>
  <c r="E52" i="26" s="1"/>
  <c r="J17" i="25"/>
  <c r="J13" i="25"/>
  <c r="J16" i="25"/>
  <c r="R70" i="24"/>
  <c r="N23" i="23"/>
  <c r="P23" i="23" s="1"/>
  <c r="N20" i="23"/>
  <c r="N15" i="23"/>
  <c r="N10" i="23"/>
  <c r="Z43" i="25" s="1"/>
  <c r="F48" i="24"/>
  <c r="D45" i="26" s="1"/>
  <c r="R50" i="24"/>
  <c r="N12" i="23"/>
  <c r="N4" i="23"/>
  <c r="Z37" i="25" s="1"/>
  <c r="F58" i="24"/>
  <c r="D55" i="26" s="1"/>
  <c r="L57" i="24"/>
  <c r="F54" i="26" s="1"/>
  <c r="L48" i="24"/>
  <c r="F45" i="26" s="1"/>
  <c r="K36" i="23"/>
  <c r="S64" i="24"/>
  <c r="G45" i="24"/>
  <c r="C42" i="26" s="1"/>
  <c r="H42" i="26" s="1"/>
  <c r="G56" i="24"/>
  <c r="C53" i="26" s="1"/>
  <c r="J23" i="25"/>
  <c r="AV18" i="2"/>
  <c r="AA31" i="2"/>
  <c r="AM31" i="2"/>
  <c r="AN12" i="2"/>
  <c r="Y12" i="2"/>
  <c r="Y13" i="2"/>
  <c r="Y31" i="2"/>
  <c r="E17" i="23"/>
  <c r="F17" i="23" s="1"/>
  <c r="F36" i="24"/>
  <c r="D35" i="26" s="1"/>
  <c r="L33" i="24"/>
  <c r="L22" i="24"/>
  <c r="N22" i="24" s="1"/>
  <c r="C24" i="25"/>
  <c r="C7" i="25"/>
  <c r="G46" i="2"/>
  <c r="AB11" i="2" s="1"/>
  <c r="AB12" i="2" s="1"/>
  <c r="E28" i="23"/>
  <c r="E22" i="23"/>
  <c r="H22" i="23" s="1"/>
  <c r="L34" i="24"/>
  <c r="F33" i="26" s="1"/>
  <c r="L19" i="24"/>
  <c r="F18" i="26" s="1"/>
  <c r="F16" i="24"/>
  <c r="D15" i="26" s="1"/>
  <c r="F7" i="24"/>
  <c r="D6" i="26" s="1"/>
  <c r="F27" i="24"/>
  <c r="D26" i="26" s="1"/>
  <c r="C28" i="25"/>
  <c r="X12" i="24"/>
  <c r="Z12" i="24" s="1"/>
  <c r="G44" i="2"/>
  <c r="Z11" i="2" s="1"/>
  <c r="Z31" i="2" s="1"/>
  <c r="AV12" i="2"/>
  <c r="E18" i="23"/>
  <c r="Y18" i="25" s="1"/>
  <c r="L27" i="24"/>
  <c r="F26" i="26" s="1"/>
  <c r="F13" i="24"/>
  <c r="D12" i="26" s="1"/>
  <c r="H12" i="26" s="1"/>
  <c r="G26" i="24"/>
  <c r="C25" i="26" s="1"/>
  <c r="G48" i="2"/>
  <c r="AD11" i="2" s="1"/>
  <c r="AD12" i="2" s="1"/>
  <c r="G52" i="2"/>
  <c r="AH11" i="2" s="1"/>
  <c r="AD7" i="2" s="1"/>
  <c r="G69" i="2"/>
  <c r="AY11" i="2" s="1"/>
  <c r="AM7" i="2" s="1"/>
  <c r="AN39" i="2"/>
  <c r="F102" i="24"/>
  <c r="D98" i="26" s="1"/>
  <c r="M94" i="24"/>
  <c r="E90" i="26" s="1"/>
  <c r="H104" i="24"/>
  <c r="C89" i="26"/>
  <c r="M106" i="24"/>
  <c r="E102" i="26" s="1"/>
  <c r="AL39" i="2"/>
  <c r="G106" i="24"/>
  <c r="C102" i="26" s="1"/>
  <c r="G98" i="24"/>
  <c r="C94" i="26" s="1"/>
  <c r="Q4" i="25"/>
  <c r="G85" i="24"/>
  <c r="G84" i="24"/>
  <c r="C80" i="26" s="1"/>
  <c r="AA108" i="24"/>
  <c r="H100" i="26"/>
  <c r="S84" i="24"/>
  <c r="S92" i="24"/>
  <c r="T92" i="24" s="1"/>
  <c r="AA92" i="24"/>
  <c r="AB92" i="24" s="1"/>
  <c r="S101" i="24"/>
  <c r="X81" i="24"/>
  <c r="Z81" i="24" s="1"/>
  <c r="S86" i="24"/>
  <c r="R100" i="24"/>
  <c r="R101" i="24"/>
  <c r="AA102" i="24"/>
  <c r="X103" i="24"/>
  <c r="W15" i="23"/>
  <c r="W17" i="23"/>
  <c r="W10" i="23"/>
  <c r="R109" i="24"/>
  <c r="T109" i="24" s="1"/>
  <c r="L109" i="24"/>
  <c r="F105" i="26" s="1"/>
  <c r="L95" i="24"/>
  <c r="L82" i="24"/>
  <c r="N82" i="24" s="1"/>
  <c r="G103" i="24"/>
  <c r="C99" i="26" s="1"/>
  <c r="L98" i="24"/>
  <c r="F94" i="26" s="1"/>
  <c r="I94" i="26" s="1"/>
  <c r="L83" i="24"/>
  <c r="F79" i="26" s="1"/>
  <c r="F89" i="24"/>
  <c r="D85" i="26" s="1"/>
  <c r="G83" i="24"/>
  <c r="H83" i="24" s="1"/>
  <c r="M97" i="24"/>
  <c r="E93" i="26" s="1"/>
  <c r="F101" i="24"/>
  <c r="D97" i="26" s="1"/>
  <c r="AM24" i="2"/>
  <c r="R99" i="24"/>
  <c r="AL24" i="2"/>
  <c r="M93" i="24"/>
  <c r="AO39" i="2"/>
  <c r="G81" i="24"/>
  <c r="C77" i="26" s="1"/>
  <c r="G92" i="24"/>
  <c r="C88" i="26" s="1"/>
  <c r="E105" i="26"/>
  <c r="W4" i="23"/>
  <c r="S87" i="24"/>
  <c r="S95" i="24"/>
  <c r="AA90" i="24"/>
  <c r="AB90" i="24" s="1"/>
  <c r="AA97" i="24"/>
  <c r="AB97" i="24" s="1"/>
  <c r="AA105" i="24"/>
  <c r="AB105" i="24" s="1"/>
  <c r="S82" i="24"/>
  <c r="S90" i="24"/>
  <c r="X93" i="24"/>
  <c r="Z93" i="24" s="1"/>
  <c r="S96" i="24"/>
  <c r="S98" i="24"/>
  <c r="S104" i="24"/>
  <c r="T104" i="24" s="1"/>
  <c r="AA80" i="24"/>
  <c r="W19" i="23"/>
  <c r="W9" i="23"/>
  <c r="S108" i="24"/>
  <c r="W32" i="23"/>
  <c r="Z32" i="23" s="1"/>
  <c r="G105" i="24"/>
  <c r="G99" i="24"/>
  <c r="C95" i="26" s="1"/>
  <c r="F90" i="24"/>
  <c r="D86" i="26" s="1"/>
  <c r="M89" i="24"/>
  <c r="E85" i="26" s="1"/>
  <c r="M105" i="24"/>
  <c r="E101" i="26" s="1"/>
  <c r="G82" i="24"/>
  <c r="H82" i="24" s="1"/>
  <c r="S80" i="24"/>
  <c r="T80" i="24" s="1"/>
  <c r="AA96" i="24"/>
  <c r="AA87" i="24"/>
  <c r="AB87" i="24" s="1"/>
  <c r="X86" i="24"/>
  <c r="Z86" i="24" s="1"/>
  <c r="AA99" i="24"/>
  <c r="S103" i="24"/>
  <c r="S81" i="24"/>
  <c r="AA85" i="24"/>
  <c r="AB85" i="24" s="1"/>
  <c r="S89" i="24"/>
  <c r="R90" i="24"/>
  <c r="M101" i="24"/>
  <c r="L87" i="24"/>
  <c r="M81" i="24"/>
  <c r="Q32" i="25"/>
  <c r="Q24" i="25"/>
  <c r="G100" i="24"/>
  <c r="H100" i="24" s="1"/>
  <c r="M96" i="24"/>
  <c r="E92" i="26" s="1"/>
  <c r="G95" i="24"/>
  <c r="C91" i="26" s="1"/>
  <c r="O36" i="2"/>
  <c r="AA95" i="24"/>
  <c r="X85" i="24"/>
  <c r="Z85" i="24" s="1"/>
  <c r="AA103" i="24"/>
  <c r="R81" i="24"/>
  <c r="S88" i="24"/>
  <c r="S94" i="24"/>
  <c r="AA98" i="24"/>
  <c r="R103" i="24"/>
  <c r="W18" i="23"/>
  <c r="W11" i="23"/>
  <c r="W7" i="23"/>
  <c r="G109" i="24"/>
  <c r="C105" i="26" s="1"/>
  <c r="L84" i="24"/>
  <c r="F80" i="26" s="1"/>
  <c r="G88" i="24"/>
  <c r="C84" i="26" s="1"/>
  <c r="H84" i="26" s="1"/>
  <c r="Q23" i="25"/>
  <c r="Q11" i="25"/>
  <c r="Q26" i="25"/>
  <c r="T105" i="24"/>
  <c r="M91" i="24"/>
  <c r="E87" i="26" s="1"/>
  <c r="G87" i="24"/>
  <c r="M103" i="24"/>
  <c r="N103" i="24" s="1"/>
  <c r="G80" i="24"/>
  <c r="E80" i="26"/>
  <c r="AG24" i="2"/>
  <c r="G97" i="24"/>
  <c r="C93" i="26" s="1"/>
  <c r="G94" i="24"/>
  <c r="C90" i="26" s="1"/>
  <c r="M107" i="24"/>
  <c r="M86" i="24"/>
  <c r="N86" i="24" s="1"/>
  <c r="M102" i="24"/>
  <c r="E98" i="26" s="1"/>
  <c r="I98" i="26" s="1"/>
  <c r="Q10" i="25"/>
  <c r="Z104" i="24"/>
  <c r="AA81" i="24"/>
  <c r="AB81" i="24" s="1"/>
  <c r="S93" i="24"/>
  <c r="AA104" i="24"/>
  <c r="F73" i="20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T39" i="23" s="1"/>
  <c r="T40" i="23" s="1"/>
  <c r="U40" i="23" s="1"/>
  <c r="W28" i="23"/>
  <c r="W24" i="23"/>
  <c r="AA107" i="24"/>
  <c r="AB107" i="24" s="1"/>
  <c r="L108" i="24"/>
  <c r="F104" i="26" s="1"/>
  <c r="I104" i="26" s="1"/>
  <c r="M90" i="24"/>
  <c r="M92" i="24"/>
  <c r="E88" i="26" s="1"/>
  <c r="Q8" i="25"/>
  <c r="Z19" i="2"/>
  <c r="Z35" i="2"/>
  <c r="AD35" i="2"/>
  <c r="AD18" i="2"/>
  <c r="AC19" i="2"/>
  <c r="AC35" i="2"/>
  <c r="AW18" i="2"/>
  <c r="AW19" i="2"/>
  <c r="AW35" i="2"/>
  <c r="AA18" i="2"/>
  <c r="AA19" i="2"/>
  <c r="AA35" i="2"/>
  <c r="AZ35" i="2"/>
  <c r="AZ19" i="2"/>
  <c r="AL35" i="2"/>
  <c r="K36" i="2"/>
  <c r="X52" i="24"/>
  <c r="Z52" i="24" s="1"/>
  <c r="R58" i="24"/>
  <c r="T58" i="24" s="1"/>
  <c r="N25" i="23"/>
  <c r="L72" i="24"/>
  <c r="F69" i="26" s="1"/>
  <c r="L62" i="24"/>
  <c r="F59" i="26" s="1"/>
  <c r="L56" i="24"/>
  <c r="F53" i="26" s="1"/>
  <c r="L51" i="24"/>
  <c r="F48" i="26" s="1"/>
  <c r="M57" i="24"/>
  <c r="E54" i="26" s="1"/>
  <c r="F69" i="24"/>
  <c r="D66" i="26" s="1"/>
  <c r="L47" i="24"/>
  <c r="F44" i="26" s="1"/>
  <c r="G46" i="24"/>
  <c r="C43" i="26" s="1"/>
  <c r="K54" i="2"/>
  <c r="AJ17" i="2" s="1"/>
  <c r="AJ18" i="2" s="1"/>
  <c r="N11" i="23"/>
  <c r="AU19" i="2"/>
  <c r="AL19" i="2"/>
  <c r="AU35" i="2"/>
  <c r="N22" i="23"/>
  <c r="O22" i="23" s="1"/>
  <c r="Z49" i="24"/>
  <c r="X58" i="24"/>
  <c r="Z58" i="24" s="1"/>
  <c r="R69" i="24"/>
  <c r="N16" i="23"/>
  <c r="Z72" i="24"/>
  <c r="G68" i="24"/>
  <c r="C65" i="26" s="1"/>
  <c r="J12" i="25"/>
  <c r="J22" i="25"/>
  <c r="AX18" i="2"/>
  <c r="Z67" i="24"/>
  <c r="T46" i="24"/>
  <c r="R54" i="24"/>
  <c r="X63" i="24"/>
  <c r="S67" i="24"/>
  <c r="N18" i="23"/>
  <c r="AX19" i="2"/>
  <c r="F44" i="24"/>
  <c r="D41" i="26" s="1"/>
  <c r="L53" i="24"/>
  <c r="F50" i="26" s="1"/>
  <c r="G62" i="24"/>
  <c r="H62" i="24" s="1"/>
  <c r="K43" i="2"/>
  <c r="Y17" i="2" s="1"/>
  <c r="Y19" i="2" s="1"/>
  <c r="AC18" i="2"/>
  <c r="S55" i="24"/>
  <c r="X47" i="24"/>
  <c r="Z47" i="24" s="1"/>
  <c r="L69" i="24"/>
  <c r="F66" i="26" s="1"/>
  <c r="AQ31" i="2"/>
  <c r="AQ13" i="2"/>
  <c r="AJ13" i="2"/>
  <c r="AJ12" i="2"/>
  <c r="AJ31" i="2"/>
  <c r="W31" i="2"/>
  <c r="X8" i="24"/>
  <c r="Z8" i="24" s="1"/>
  <c r="R12" i="24"/>
  <c r="X14" i="24"/>
  <c r="Z14" i="24" s="1"/>
  <c r="X20" i="24"/>
  <c r="Z20" i="24" s="1"/>
  <c r="R24" i="24"/>
  <c r="T24" i="24" s="1"/>
  <c r="X26" i="24"/>
  <c r="Z26" i="24" s="1"/>
  <c r="R34" i="24"/>
  <c r="M34" i="24"/>
  <c r="E33" i="26" s="1"/>
  <c r="L13" i="24"/>
  <c r="F24" i="24"/>
  <c r="D23" i="26" s="1"/>
  <c r="F9" i="24"/>
  <c r="D8" i="26" s="1"/>
  <c r="G28" i="24"/>
  <c r="L18" i="24"/>
  <c r="F17" i="26" s="1"/>
  <c r="G27" i="24"/>
  <c r="C26" i="26" s="1"/>
  <c r="E8" i="23"/>
  <c r="G8" i="23" s="1"/>
  <c r="X12" i="2"/>
  <c r="AV31" i="2"/>
  <c r="H25" i="24"/>
  <c r="R11" i="24"/>
  <c r="T11" i="24" s="1"/>
  <c r="AA19" i="24"/>
  <c r="R29" i="24"/>
  <c r="T29" i="24" s="1"/>
  <c r="X32" i="24"/>
  <c r="Z32" i="24" s="1"/>
  <c r="E14" i="23"/>
  <c r="L24" i="24"/>
  <c r="F23" i="26" s="1"/>
  <c r="R17" i="24"/>
  <c r="T22" i="24"/>
  <c r="X24" i="24"/>
  <c r="AB24" i="24" s="1"/>
  <c r="E25" i="23"/>
  <c r="F20" i="24"/>
  <c r="C5" i="25"/>
  <c r="AU13" i="2"/>
  <c r="R7" i="24"/>
  <c r="T7" i="24" s="1"/>
  <c r="R14" i="24"/>
  <c r="T14" i="24" s="1"/>
  <c r="X33" i="24"/>
  <c r="Z33" i="24" s="1"/>
  <c r="E21" i="23"/>
  <c r="G21" i="23" s="1"/>
  <c r="G8" i="24"/>
  <c r="C7" i="26" s="1"/>
  <c r="G19" i="24"/>
  <c r="C18" i="26" s="1"/>
  <c r="E5" i="23"/>
  <c r="H5" i="23" s="1"/>
  <c r="AA13" i="24"/>
  <c r="L31" i="24"/>
  <c r="F30" i="26" s="1"/>
  <c r="F21" i="24"/>
  <c r="D20" i="26" s="1"/>
  <c r="F10" i="24"/>
  <c r="D9" i="26" s="1"/>
  <c r="G33" i="24"/>
  <c r="C32" i="26" s="1"/>
  <c r="H32" i="26" s="1"/>
  <c r="AE25" i="2"/>
  <c r="AE39" i="2"/>
  <c r="AF24" i="2"/>
  <c r="AJ39" i="2"/>
  <c r="AK24" i="2"/>
  <c r="AJ24" i="2"/>
  <c r="AJ25" i="2"/>
  <c r="F85" i="26"/>
  <c r="E79" i="26"/>
  <c r="AB24" i="2"/>
  <c r="AB25" i="2"/>
  <c r="AB39" i="2"/>
  <c r="AP25" i="2"/>
  <c r="AP39" i="2"/>
  <c r="AQ24" i="2"/>
  <c r="AP24" i="2"/>
  <c r="AX24" i="2"/>
  <c r="AX39" i="2"/>
  <c r="AX25" i="2"/>
  <c r="Z103" i="24"/>
  <c r="AZ25" i="2"/>
  <c r="AZ39" i="2"/>
  <c r="AZ24" i="2"/>
  <c r="F101" i="26"/>
  <c r="W39" i="2"/>
  <c r="W25" i="2"/>
  <c r="Z25" i="2"/>
  <c r="Z24" i="2"/>
  <c r="AA24" i="2"/>
  <c r="Z39" i="2"/>
  <c r="AV39" i="2"/>
  <c r="AV24" i="2"/>
  <c r="AW24" i="2"/>
  <c r="AV25" i="2"/>
  <c r="AY24" i="2"/>
  <c r="AY39" i="2"/>
  <c r="AY25" i="2"/>
  <c r="N85" i="24"/>
  <c r="S100" i="24"/>
  <c r="X83" i="24"/>
  <c r="X95" i="24"/>
  <c r="X80" i="24"/>
  <c r="Z80" i="24" s="1"/>
  <c r="W21" i="23"/>
  <c r="S107" i="24"/>
  <c r="T107" i="24" s="1"/>
  <c r="F97" i="24"/>
  <c r="D93" i="26" s="1"/>
  <c r="L94" i="24"/>
  <c r="F90" i="26" s="1"/>
  <c r="I90" i="26" s="1"/>
  <c r="G90" i="24"/>
  <c r="F84" i="24"/>
  <c r="D80" i="26" s="1"/>
  <c r="L100" i="24"/>
  <c r="L92" i="24"/>
  <c r="Q27" i="25"/>
  <c r="Q20" i="25"/>
  <c r="R88" i="24"/>
  <c r="AB101" i="24"/>
  <c r="W3" i="23"/>
  <c r="W8" i="23"/>
  <c r="W26" i="23"/>
  <c r="X109" i="24"/>
  <c r="Z109" i="24" s="1"/>
  <c r="F94" i="24"/>
  <c r="L96" i="24"/>
  <c r="Q17" i="25"/>
  <c r="O48" i="2"/>
  <c r="AD23" i="2" s="1"/>
  <c r="R83" i="24"/>
  <c r="T83" i="24" s="1"/>
  <c r="R84" i="24"/>
  <c r="R86" i="24"/>
  <c r="X91" i="24"/>
  <c r="Z91" i="24" s="1"/>
  <c r="F99" i="24"/>
  <c r="F98" i="24"/>
  <c r="F81" i="24"/>
  <c r="L91" i="24"/>
  <c r="AB89" i="24"/>
  <c r="X102" i="24"/>
  <c r="Z102" i="24" s="1"/>
  <c r="R94" i="24"/>
  <c r="R98" i="24"/>
  <c r="T98" i="24" s="1"/>
  <c r="X100" i="24"/>
  <c r="AB100" i="24" s="1"/>
  <c r="X106" i="24"/>
  <c r="F109" i="24"/>
  <c r="D105" i="26" s="1"/>
  <c r="Q5" i="25"/>
  <c r="Z97" i="24"/>
  <c r="Z90" i="24"/>
  <c r="X99" i="24"/>
  <c r="Z99" i="24" s="1"/>
  <c r="AA109" i="24"/>
  <c r="L106" i="24"/>
  <c r="M104" i="24"/>
  <c r="G101" i="24"/>
  <c r="Q14" i="25"/>
  <c r="Q3" i="25"/>
  <c r="H50" i="24"/>
  <c r="C47" i="26"/>
  <c r="H47" i="26" s="1"/>
  <c r="AI18" i="2"/>
  <c r="AI35" i="2"/>
  <c r="AI19" i="2"/>
  <c r="H67" i="24"/>
  <c r="AF19" i="2"/>
  <c r="AF18" i="2"/>
  <c r="AF35" i="2"/>
  <c r="AQ35" i="2"/>
  <c r="AQ18" i="2"/>
  <c r="AQ19" i="2"/>
  <c r="AR18" i="2"/>
  <c r="AB18" i="2"/>
  <c r="S54" i="24"/>
  <c r="S61" i="24"/>
  <c r="T61" i="24" s="1"/>
  <c r="AA51" i="24"/>
  <c r="AA69" i="24"/>
  <c r="AB69" i="24" s="1"/>
  <c r="X48" i="24"/>
  <c r="X56" i="24"/>
  <c r="Z56" i="24" s="1"/>
  <c r="N8" i="23"/>
  <c r="N3" i="23"/>
  <c r="N13" i="23"/>
  <c r="X71" i="24"/>
  <c r="Z71" i="24" s="1"/>
  <c r="AB19" i="2"/>
  <c r="F53" i="24"/>
  <c r="D50" i="26" s="1"/>
  <c r="H50" i="26" s="1"/>
  <c r="L63" i="24"/>
  <c r="F60" i="26" s="1"/>
  <c r="M51" i="24"/>
  <c r="F64" i="24"/>
  <c r="D61" i="26" s="1"/>
  <c r="F61" i="24"/>
  <c r="D58" i="26" s="1"/>
  <c r="M45" i="24"/>
  <c r="E42" i="26" s="1"/>
  <c r="L66" i="24"/>
  <c r="F63" i="26" s="1"/>
  <c r="M58" i="24"/>
  <c r="AB35" i="2"/>
  <c r="AA70" i="24"/>
  <c r="N28" i="23"/>
  <c r="AA72" i="24"/>
  <c r="AB72" i="24" s="1"/>
  <c r="AA71" i="24"/>
  <c r="G72" i="24"/>
  <c r="G66" i="24"/>
  <c r="C63" i="26" s="1"/>
  <c r="M63" i="24"/>
  <c r="E60" i="26" s="1"/>
  <c r="G64" i="24"/>
  <c r="G61" i="24"/>
  <c r="C58" i="26" s="1"/>
  <c r="G49" i="24"/>
  <c r="M66" i="24"/>
  <c r="M47" i="24"/>
  <c r="M68" i="24"/>
  <c r="J28" i="25"/>
  <c r="M59" i="24"/>
  <c r="E56" i="26" s="1"/>
  <c r="I56" i="26" s="1"/>
  <c r="L64" i="24"/>
  <c r="F61" i="26" s="1"/>
  <c r="F65" i="24"/>
  <c r="D62" i="26" s="1"/>
  <c r="S47" i="24"/>
  <c r="S49" i="24"/>
  <c r="T49" i="24" s="1"/>
  <c r="R51" i="24"/>
  <c r="T51" i="24" s="1"/>
  <c r="S59" i="24"/>
  <c r="AA58" i="24"/>
  <c r="AA47" i="24"/>
  <c r="Z62" i="24"/>
  <c r="AA63" i="24"/>
  <c r="X66" i="24"/>
  <c r="Z66" i="24" s="1"/>
  <c r="S70" i="24"/>
  <c r="AA45" i="24"/>
  <c r="AB45" i="24" s="1"/>
  <c r="X46" i="24"/>
  <c r="F66" i="24"/>
  <c r="D63" i="26" s="1"/>
  <c r="M65" i="24"/>
  <c r="M46" i="24"/>
  <c r="E43" i="26" s="1"/>
  <c r="F63" i="24"/>
  <c r="D60" i="26" s="1"/>
  <c r="F59" i="24"/>
  <c r="D56" i="26" s="1"/>
  <c r="F51" i="24"/>
  <c r="D48" i="26" s="1"/>
  <c r="M49" i="24"/>
  <c r="M44" i="24"/>
  <c r="G57" i="24"/>
  <c r="C54" i="26" s="1"/>
  <c r="G44" i="24"/>
  <c r="G55" i="24"/>
  <c r="J32" i="25"/>
  <c r="T52" i="24"/>
  <c r="T64" i="24"/>
  <c r="AA55" i="24"/>
  <c r="S62" i="24"/>
  <c r="F60" i="24"/>
  <c r="D57" i="26" s="1"/>
  <c r="G58" i="24"/>
  <c r="L70" i="24"/>
  <c r="F67" i="26" s="1"/>
  <c r="G71" i="24"/>
  <c r="S45" i="24"/>
  <c r="T45" i="24" s="1"/>
  <c r="R53" i="24"/>
  <c r="T53" i="24" s="1"/>
  <c r="S57" i="24"/>
  <c r="AA56" i="24"/>
  <c r="AA67" i="24"/>
  <c r="AB67" i="24" s="1"/>
  <c r="N19" i="23"/>
  <c r="N21" i="23"/>
  <c r="S72" i="24"/>
  <c r="T72" i="24" s="1"/>
  <c r="M71" i="24"/>
  <c r="E68" i="26" s="1"/>
  <c r="N31" i="23"/>
  <c r="M62" i="24"/>
  <c r="E59" i="26" s="1"/>
  <c r="M56" i="24"/>
  <c r="G59" i="24"/>
  <c r="G54" i="24"/>
  <c r="C51" i="26" s="1"/>
  <c r="G51" i="24"/>
  <c r="L58" i="24"/>
  <c r="F55" i="26" s="1"/>
  <c r="J30" i="25"/>
  <c r="M52" i="24"/>
  <c r="M60" i="24"/>
  <c r="S56" i="24"/>
  <c r="T56" i="24" s="1"/>
  <c r="AA60" i="24"/>
  <c r="AB60" i="24" s="1"/>
  <c r="AA62" i="24"/>
  <c r="AB62" i="24" s="1"/>
  <c r="AA64" i="24"/>
  <c r="S44" i="24"/>
  <c r="T44" i="24" s="1"/>
  <c r="S63" i="24"/>
  <c r="T63" i="24" s="1"/>
  <c r="G63" i="24"/>
  <c r="C60" i="26" s="1"/>
  <c r="S60" i="24"/>
  <c r="T60" i="24" s="1"/>
  <c r="AA52" i="24"/>
  <c r="AA44" i="24"/>
  <c r="X55" i="24"/>
  <c r="Z55" i="24" s="1"/>
  <c r="AA65" i="24"/>
  <c r="AB65" i="24" s="1"/>
  <c r="X44" i="24"/>
  <c r="Z44" i="24" s="1"/>
  <c r="AA49" i="24"/>
  <c r="AB49" i="24" s="1"/>
  <c r="X51" i="24"/>
  <c r="Z51" i="24" s="1"/>
  <c r="R59" i="24"/>
  <c r="AA61" i="24"/>
  <c r="AB61" i="24" s="1"/>
  <c r="S69" i="24"/>
  <c r="T69" i="24" s="1"/>
  <c r="M72" i="24"/>
  <c r="E69" i="26" s="1"/>
  <c r="N30" i="23"/>
  <c r="AD19" i="2"/>
  <c r="L61" i="24"/>
  <c r="F58" i="26" s="1"/>
  <c r="I58" i="26" s="1"/>
  <c r="F46" i="24"/>
  <c r="D43" i="26" s="1"/>
  <c r="M48" i="24"/>
  <c r="G48" i="24"/>
  <c r="M53" i="24"/>
  <c r="E11" i="26"/>
  <c r="AX31" i="2"/>
  <c r="AX13" i="2"/>
  <c r="H22" i="24"/>
  <c r="C21" i="26"/>
  <c r="H21" i="26" s="1"/>
  <c r="AP31" i="2"/>
  <c r="AP13" i="2"/>
  <c r="AQ12" i="2"/>
  <c r="AP12" i="2"/>
  <c r="AF31" i="2"/>
  <c r="AF13" i="2"/>
  <c r="C8" i="26"/>
  <c r="AT31" i="2"/>
  <c r="AU12" i="2"/>
  <c r="AT13" i="2"/>
  <c r="AT12" i="2"/>
  <c r="G36" i="2"/>
  <c r="AA20" i="24"/>
  <c r="E29" i="23"/>
  <c r="R36" i="24"/>
  <c r="T36" i="24" s="1"/>
  <c r="F19" i="24"/>
  <c r="D18" i="26" s="1"/>
  <c r="C23" i="25"/>
  <c r="G49" i="2"/>
  <c r="AE11" i="2" s="1"/>
  <c r="AF12" i="2" s="1"/>
  <c r="G51" i="2"/>
  <c r="AG11" i="2" s="1"/>
  <c r="G62" i="2"/>
  <c r="AR11" i="2" s="1"/>
  <c r="G67" i="2"/>
  <c r="AW11" i="2" s="1"/>
  <c r="AX12" i="2" s="1"/>
  <c r="B36" i="23"/>
  <c r="E27" i="23"/>
  <c r="F27" i="23" s="1"/>
  <c r="E20" i="23"/>
  <c r="E11" i="23"/>
  <c r="F11" i="23" s="1"/>
  <c r="C20" i="25"/>
  <c r="C8" i="25"/>
  <c r="T13" i="24"/>
  <c r="AA13" i="2"/>
  <c r="M24" i="24"/>
  <c r="T10" i="24"/>
  <c r="S12" i="24"/>
  <c r="E12" i="23"/>
  <c r="E23" i="23"/>
  <c r="L28" i="24"/>
  <c r="F27" i="26" s="1"/>
  <c r="AM13" i="2"/>
  <c r="I9" i="26"/>
  <c r="AA33" i="24"/>
  <c r="AA8" i="24"/>
  <c r="R30" i="24"/>
  <c r="T30" i="24" s="1"/>
  <c r="E4" i="23"/>
  <c r="X36" i="24"/>
  <c r="Z36" i="24" s="1"/>
  <c r="X34" i="24"/>
  <c r="F23" i="24"/>
  <c r="D22" i="26" s="1"/>
  <c r="H22" i="26" s="1"/>
  <c r="M30" i="24"/>
  <c r="AA14" i="24"/>
  <c r="R9" i="24"/>
  <c r="X11" i="24"/>
  <c r="Z11" i="24" s="1"/>
  <c r="R15" i="24"/>
  <c r="T15" i="24" s="1"/>
  <c r="X17" i="24"/>
  <c r="Z17" i="24" s="1"/>
  <c r="R21" i="24"/>
  <c r="T21" i="24" s="1"/>
  <c r="X23" i="24"/>
  <c r="Z23" i="24" s="1"/>
  <c r="L36" i="24"/>
  <c r="F35" i="26" s="1"/>
  <c r="L9" i="24"/>
  <c r="F8" i="26" s="1"/>
  <c r="L29" i="24"/>
  <c r="F28" i="26" s="1"/>
  <c r="L21" i="24"/>
  <c r="C9" i="25"/>
  <c r="H96" i="24"/>
  <c r="D92" i="26"/>
  <c r="H92" i="26" s="1"/>
  <c r="D65" i="26"/>
  <c r="F78" i="26"/>
  <c r="I78" i="26" s="1"/>
  <c r="L15" i="24"/>
  <c r="F14" i="26" s="1"/>
  <c r="M15" i="24"/>
  <c r="G86" i="24"/>
  <c r="F86" i="24"/>
  <c r="D82" i="26" s="1"/>
  <c r="G47" i="24"/>
  <c r="F47" i="24"/>
  <c r="D44" i="26" s="1"/>
  <c r="M99" i="24"/>
  <c r="L99" i="24"/>
  <c r="F95" i="26" s="1"/>
  <c r="C14" i="26"/>
  <c r="H15" i="24"/>
  <c r="F84" i="26"/>
  <c r="I84" i="26" s="1"/>
  <c r="N88" i="24"/>
  <c r="H85" i="24"/>
  <c r="C81" i="26"/>
  <c r="H81" i="26" s="1"/>
  <c r="D49" i="26"/>
  <c r="H49" i="26" s="1"/>
  <c r="H52" i="24"/>
  <c r="S65" i="24"/>
  <c r="R65" i="24"/>
  <c r="R66" i="24"/>
  <c r="T66" i="24" s="1"/>
  <c r="R82" i="24"/>
  <c r="Y3" i="23"/>
  <c r="Z25" i="23"/>
  <c r="Y25" i="23"/>
  <c r="X25" i="23"/>
  <c r="AA25" i="25"/>
  <c r="I81" i="26"/>
  <c r="D17" i="26"/>
  <c r="Z31" i="23"/>
  <c r="Y31" i="23"/>
  <c r="X31" i="23"/>
  <c r="G30" i="23"/>
  <c r="F30" i="23"/>
  <c r="H30" i="23"/>
  <c r="N26" i="24"/>
  <c r="S8" i="24"/>
  <c r="R8" i="24"/>
  <c r="AB10" i="24"/>
  <c r="AA16" i="24"/>
  <c r="X16" i="24"/>
  <c r="Z16" i="24" s="1"/>
  <c r="S20" i="24"/>
  <c r="R20" i="24"/>
  <c r="AA22" i="24"/>
  <c r="X22" i="24"/>
  <c r="Z22" i="24" s="1"/>
  <c r="S26" i="24"/>
  <c r="R26" i="24"/>
  <c r="S48" i="24"/>
  <c r="R48" i="24"/>
  <c r="Y11" i="23"/>
  <c r="X11" i="23"/>
  <c r="AA11" i="25"/>
  <c r="E70" i="26"/>
  <c r="N73" i="24"/>
  <c r="Z30" i="23"/>
  <c r="E76" i="26"/>
  <c r="I76" i="26" s="1"/>
  <c r="N80" i="24"/>
  <c r="E61" i="26"/>
  <c r="Y4" i="23"/>
  <c r="AA4" i="25"/>
  <c r="AB82" i="24"/>
  <c r="Z82" i="24"/>
  <c r="AA50" i="24"/>
  <c r="X50" i="24"/>
  <c r="Z50" i="24" s="1"/>
  <c r="T86" i="24"/>
  <c r="P26" i="23"/>
  <c r="O26" i="23"/>
  <c r="Q26" i="23"/>
  <c r="C70" i="26"/>
  <c r="H73" i="24"/>
  <c r="H13" i="23"/>
  <c r="G13" i="23"/>
  <c r="C62" i="26"/>
  <c r="Z61" i="24"/>
  <c r="S68" i="24"/>
  <c r="R68" i="24"/>
  <c r="Z87" i="24"/>
  <c r="AA88" i="24"/>
  <c r="X88" i="24"/>
  <c r="Z88" i="24" s="1"/>
  <c r="AB91" i="24"/>
  <c r="Q6" i="23"/>
  <c r="P4" i="23"/>
  <c r="O4" i="23"/>
  <c r="Q4" i="23"/>
  <c r="Z4" i="25"/>
  <c r="E24" i="26"/>
  <c r="D67" i="26"/>
  <c r="H67" i="26" s="1"/>
  <c r="H70" i="24"/>
  <c r="C79" i="26"/>
  <c r="H79" i="26" s="1"/>
  <c r="O7" i="23"/>
  <c r="X27" i="23"/>
  <c r="G10" i="23"/>
  <c r="F10" i="23"/>
  <c r="H10" i="23"/>
  <c r="AB18" i="24"/>
  <c r="AB31" i="24"/>
  <c r="R96" i="24"/>
  <c r="T96" i="24" s="1"/>
  <c r="Z25" i="25"/>
  <c r="X8" i="23"/>
  <c r="Z8" i="23"/>
  <c r="F32" i="23"/>
  <c r="H32" i="23"/>
  <c r="Z60" i="24"/>
  <c r="Y22" i="23"/>
  <c r="X22" i="23"/>
  <c r="Z22" i="23"/>
  <c r="AA22" i="25"/>
  <c r="Y20" i="23"/>
  <c r="X20" i="23"/>
  <c r="Z20" i="23"/>
  <c r="R71" i="24"/>
  <c r="S71" i="24"/>
  <c r="AA59" i="24"/>
  <c r="X59" i="24"/>
  <c r="Z59" i="24" s="1"/>
  <c r="S91" i="24"/>
  <c r="R91" i="24"/>
  <c r="S102" i="24"/>
  <c r="R102" i="24"/>
  <c r="Z12" i="23"/>
  <c r="Q14" i="23"/>
  <c r="P24" i="23"/>
  <c r="O24" i="23"/>
  <c r="Q5" i="23"/>
  <c r="P5" i="23"/>
  <c r="O5" i="23"/>
  <c r="Z5" i="25"/>
  <c r="Z92" i="24"/>
  <c r="T99" i="24"/>
  <c r="S27" i="24"/>
  <c r="R27" i="24"/>
  <c r="R28" i="24"/>
  <c r="T28" i="24" s="1"/>
  <c r="AA54" i="24"/>
  <c r="X54" i="24"/>
  <c r="Z54" i="24" s="1"/>
  <c r="R89" i="24"/>
  <c r="X98" i="24"/>
  <c r="Z98" i="24" s="1"/>
  <c r="W14" i="23"/>
  <c r="AA47" i="25" s="1"/>
  <c r="Z19" i="23"/>
  <c r="X19" i="23"/>
  <c r="X6" i="23"/>
  <c r="Z6" i="23"/>
  <c r="W29" i="23"/>
  <c r="AA62" i="25" s="1"/>
  <c r="Y7" i="23"/>
  <c r="X7" i="23"/>
  <c r="AA7" i="25"/>
  <c r="Q27" i="23"/>
  <c r="P27" i="23"/>
  <c r="O27" i="23"/>
  <c r="Z27" i="25"/>
  <c r="AA32" i="25"/>
  <c r="D99" i="26"/>
  <c r="D53" i="26"/>
  <c r="G3" i="23"/>
  <c r="Y17" i="23"/>
  <c r="Z5" i="23"/>
  <c r="Y5" i="23"/>
  <c r="X5" i="23"/>
  <c r="AA5" i="25"/>
  <c r="T73" i="24"/>
  <c r="T108" i="24"/>
  <c r="F34" i="24"/>
  <c r="G91" i="24"/>
  <c r="F91" i="24"/>
  <c r="D87" i="26" s="1"/>
  <c r="L54" i="24"/>
  <c r="Y23" i="23"/>
  <c r="X13" i="23"/>
  <c r="Q29" i="23"/>
  <c r="Q23" i="23"/>
  <c r="O23" i="23"/>
  <c r="G26" i="23"/>
  <c r="F26" i="23"/>
  <c r="Y26" i="25"/>
  <c r="H26" i="23"/>
  <c r="P32" i="23"/>
  <c r="O32" i="23"/>
  <c r="Z7" i="2"/>
  <c r="K55" i="2"/>
  <c r="AK17" i="2" s="1"/>
  <c r="J24" i="25"/>
  <c r="X16" i="23"/>
  <c r="X10" i="23"/>
  <c r="Z10" i="23"/>
  <c r="AA10" i="25"/>
  <c r="F107" i="24"/>
  <c r="M14" i="24"/>
  <c r="L14" i="24"/>
  <c r="F13" i="26" s="1"/>
  <c r="AI31" i="2"/>
  <c r="AI13" i="2"/>
  <c r="K64" i="2"/>
  <c r="AT17" i="2" s="1"/>
  <c r="J9" i="25"/>
  <c r="N9" i="23"/>
  <c r="Z42" i="25" s="1"/>
  <c r="Q32" i="23"/>
  <c r="P17" i="23"/>
  <c r="P30" i="23"/>
  <c r="G31" i="24"/>
  <c r="F31" i="24"/>
  <c r="D30" i="26" s="1"/>
  <c r="O42" i="2"/>
  <c r="X23" i="2" s="1"/>
  <c r="Q9" i="25"/>
  <c r="AU25" i="2"/>
  <c r="AU39" i="2"/>
  <c r="AU24" i="2"/>
  <c r="C11" i="25"/>
  <c r="G70" i="2"/>
  <c r="AZ11" i="2" s="1"/>
  <c r="F92" i="24"/>
  <c r="D88" i="26" s="1"/>
  <c r="M28" i="24"/>
  <c r="AK12" i="2"/>
  <c r="AK31" i="2"/>
  <c r="L45" i="24"/>
  <c r="AF25" i="2"/>
  <c r="L25" i="24"/>
  <c r="F24" i="26" s="1"/>
  <c r="F54" i="24"/>
  <c r="D51" i="26" s="1"/>
  <c r="G30" i="24"/>
  <c r="F30" i="24"/>
  <c r="D29" i="26" s="1"/>
  <c r="G17" i="24"/>
  <c r="F17" i="24"/>
  <c r="D16" i="26" s="1"/>
  <c r="M32" i="24"/>
  <c r="L32" i="24"/>
  <c r="F31" i="26" s="1"/>
  <c r="G14" i="24"/>
  <c r="F14" i="24"/>
  <c r="D13" i="26" s="1"/>
  <c r="G56" i="2"/>
  <c r="AL11" i="2" s="1"/>
  <c r="C26" i="25"/>
  <c r="K59" i="2"/>
  <c r="AO17" i="2" s="1"/>
  <c r="J20" i="25"/>
  <c r="AJ7" i="2"/>
  <c r="AH7" i="2"/>
  <c r="AY17" i="2"/>
  <c r="X3" i="23" l="1"/>
  <c r="AA36" i="25"/>
  <c r="AA3" i="25"/>
  <c r="Z7" i="23"/>
  <c r="AA40" i="25"/>
  <c r="AB103" i="24"/>
  <c r="Y10" i="23"/>
  <c r="AA43" i="25"/>
  <c r="AA16" i="25"/>
  <c r="AA49" i="25"/>
  <c r="AA8" i="25"/>
  <c r="AA41" i="25"/>
  <c r="Z3" i="23"/>
  <c r="Z11" i="23"/>
  <c r="AA44" i="25"/>
  <c r="AA17" i="25"/>
  <c r="AA50" i="25"/>
  <c r="AA30" i="25"/>
  <c r="AA63" i="25"/>
  <c r="Z18" i="23"/>
  <c r="AA51" i="25"/>
  <c r="AA15" i="25"/>
  <c r="AA48" i="25"/>
  <c r="X26" i="23"/>
  <c r="AA59" i="25"/>
  <c r="Y32" i="23"/>
  <c r="AA65" i="25"/>
  <c r="X4" i="23"/>
  <c r="AA37" i="25"/>
  <c r="AA20" i="25"/>
  <c r="AA53" i="25"/>
  <c r="Y8" i="23"/>
  <c r="AA21" i="25"/>
  <c r="AA54" i="25"/>
  <c r="T94" i="24"/>
  <c r="AA23" i="25"/>
  <c r="AA56" i="25"/>
  <c r="AA31" i="25"/>
  <c r="AA64" i="25"/>
  <c r="Y24" i="23"/>
  <c r="AA57" i="25"/>
  <c r="AA9" i="25"/>
  <c r="AA42" i="25"/>
  <c r="AA27" i="25"/>
  <c r="AA60" i="25"/>
  <c r="AA13" i="25"/>
  <c r="AA46" i="25"/>
  <c r="AA28" i="25"/>
  <c r="AA61" i="25"/>
  <c r="AA19" i="25"/>
  <c r="AA52" i="25"/>
  <c r="AA6" i="25"/>
  <c r="AA39" i="25"/>
  <c r="X12" i="23"/>
  <c r="AA45" i="25"/>
  <c r="AB57" i="24"/>
  <c r="T67" i="24"/>
  <c r="T59" i="24"/>
  <c r="Z10" i="25"/>
  <c r="Q10" i="23"/>
  <c r="O10" i="23"/>
  <c r="AB48" i="24"/>
  <c r="P10" i="23"/>
  <c r="N69" i="24"/>
  <c r="T50" i="24"/>
  <c r="N56" i="24"/>
  <c r="T62" i="24"/>
  <c r="N59" i="24"/>
  <c r="Z6" i="25"/>
  <c r="Z39" i="25"/>
  <c r="Z26" i="25"/>
  <c r="Z59" i="25"/>
  <c r="Z17" i="25"/>
  <c r="Z50" i="25"/>
  <c r="Q13" i="23"/>
  <c r="Z46" i="25"/>
  <c r="Q25" i="23"/>
  <c r="Z58" i="25"/>
  <c r="Z7" i="25"/>
  <c r="Z40" i="25"/>
  <c r="Z29" i="25"/>
  <c r="Z62" i="25"/>
  <c r="Q24" i="23"/>
  <c r="Z57" i="25"/>
  <c r="O3" i="23"/>
  <c r="Z36" i="25"/>
  <c r="Z31" i="25"/>
  <c r="Z64" i="25"/>
  <c r="P8" i="23"/>
  <c r="Z41" i="25"/>
  <c r="Z18" i="25"/>
  <c r="Z51" i="25"/>
  <c r="Z22" i="25"/>
  <c r="Z55" i="25"/>
  <c r="P15" i="23"/>
  <c r="Z48" i="25"/>
  <c r="Z28" i="25"/>
  <c r="Z61" i="25"/>
  <c r="Z20" i="25"/>
  <c r="Z53" i="25"/>
  <c r="Z14" i="25"/>
  <c r="Z47" i="25"/>
  <c r="O30" i="23"/>
  <c r="Z63" i="25"/>
  <c r="P21" i="23"/>
  <c r="Z54" i="25"/>
  <c r="Z23" i="25"/>
  <c r="Z56" i="25"/>
  <c r="O19" i="23"/>
  <c r="Z52" i="25"/>
  <c r="AB47" i="24"/>
  <c r="Q16" i="23"/>
  <c r="Z49" i="25"/>
  <c r="Z11" i="25"/>
  <c r="Z44" i="25"/>
  <c r="O12" i="23"/>
  <c r="Z45" i="25"/>
  <c r="Z68" i="24"/>
  <c r="K40" i="23"/>
  <c r="L40" i="23" s="1"/>
  <c r="Z32" i="25"/>
  <c r="Z65" i="25"/>
  <c r="T17" i="24"/>
  <c r="D34" i="26"/>
  <c r="H34" i="26" s="1"/>
  <c r="F7" i="23"/>
  <c r="H24" i="26"/>
  <c r="T9" i="24"/>
  <c r="I17" i="26"/>
  <c r="N10" i="24"/>
  <c r="H15" i="23"/>
  <c r="H3" i="23"/>
  <c r="AB15" i="24"/>
  <c r="T16" i="24"/>
  <c r="H28" i="26"/>
  <c r="Y15" i="25"/>
  <c r="Y7" i="25"/>
  <c r="T31" i="24"/>
  <c r="N8" i="24"/>
  <c r="I25" i="26"/>
  <c r="H6" i="23"/>
  <c r="G15" i="23"/>
  <c r="F24" i="23"/>
  <c r="G31" i="23"/>
  <c r="H7" i="23"/>
  <c r="N20" i="24"/>
  <c r="G6" i="23"/>
  <c r="H18" i="24"/>
  <c r="H31" i="26"/>
  <c r="AB25" i="24"/>
  <c r="T32" i="24"/>
  <c r="T25" i="24"/>
  <c r="H32" i="24"/>
  <c r="AB28" i="24"/>
  <c r="H29" i="24"/>
  <c r="Y16" i="25"/>
  <c r="AB21" i="24"/>
  <c r="G17" i="23"/>
  <c r="H17" i="23"/>
  <c r="F19" i="23"/>
  <c r="G19" i="23"/>
  <c r="AB19" i="24"/>
  <c r="G9" i="23"/>
  <c r="AA7" i="2"/>
  <c r="T33" i="24"/>
  <c r="H33" i="24"/>
  <c r="Y9" i="25"/>
  <c r="I19" i="26"/>
  <c r="H11" i="24"/>
  <c r="AB35" i="24"/>
  <c r="H16" i="23"/>
  <c r="B40" i="23"/>
  <c r="C40" i="23" s="1"/>
  <c r="F16" i="23"/>
  <c r="I35" i="26"/>
  <c r="H36" i="24"/>
  <c r="G16" i="23"/>
  <c r="H35" i="26"/>
  <c r="F9" i="23"/>
  <c r="G24" i="23"/>
  <c r="H9" i="24"/>
  <c r="N19" i="24"/>
  <c r="T34" i="24"/>
  <c r="F15" i="23"/>
  <c r="Z24" i="24"/>
  <c r="H9" i="23"/>
  <c r="H6" i="26"/>
  <c r="G5" i="23"/>
  <c r="I30" i="26"/>
  <c r="N33" i="24"/>
  <c r="AB30" i="24"/>
  <c r="H14" i="26"/>
  <c r="Y24" i="25"/>
  <c r="N11" i="24"/>
  <c r="H23" i="26"/>
  <c r="F3" i="23"/>
  <c r="G7" i="23"/>
  <c r="H24" i="23"/>
  <c r="AB12" i="24"/>
  <c r="H12" i="24"/>
  <c r="N16" i="24"/>
  <c r="I22" i="26"/>
  <c r="AB20" i="24"/>
  <c r="Y43" i="25"/>
  <c r="N23" i="24"/>
  <c r="F32" i="26"/>
  <c r="I32" i="26" s="1"/>
  <c r="AB13" i="24"/>
  <c r="N13" i="24"/>
  <c r="T23" i="24"/>
  <c r="Z27" i="24"/>
  <c r="Y3" i="25"/>
  <c r="Y22" i="25"/>
  <c r="N12" i="24"/>
  <c r="Z21" i="24"/>
  <c r="I11" i="26"/>
  <c r="H26" i="24"/>
  <c r="G11" i="23"/>
  <c r="Y44" i="25"/>
  <c r="H20" i="23"/>
  <c r="Y53" i="25"/>
  <c r="F25" i="23"/>
  <c r="Y58" i="25"/>
  <c r="G28" i="23"/>
  <c r="Y61" i="25"/>
  <c r="Y17" i="25"/>
  <c r="Y50" i="25"/>
  <c r="Y19" i="25"/>
  <c r="Y52" i="25"/>
  <c r="G4" i="23"/>
  <c r="Y4" i="25"/>
  <c r="Y37" i="25"/>
  <c r="Y27" i="25"/>
  <c r="Y60" i="25"/>
  <c r="F21" i="23"/>
  <c r="Y54" i="25"/>
  <c r="Y31" i="25"/>
  <c r="Y64" i="25"/>
  <c r="H8" i="23"/>
  <c r="AB14" i="24"/>
  <c r="F23" i="23"/>
  <c r="Y56" i="25"/>
  <c r="G29" i="23"/>
  <c r="Y62" i="25"/>
  <c r="F18" i="23"/>
  <c r="Y51" i="25"/>
  <c r="F29" i="23"/>
  <c r="F12" i="23"/>
  <c r="Y45" i="25"/>
  <c r="Y5" i="25"/>
  <c r="Y38" i="25"/>
  <c r="Y6" i="25"/>
  <c r="Y39" i="25"/>
  <c r="G14" i="23"/>
  <c r="Y47" i="25"/>
  <c r="Y8" i="25"/>
  <c r="Y41" i="25"/>
  <c r="Y30" i="25"/>
  <c r="Y63" i="25"/>
  <c r="F22" i="23"/>
  <c r="Y55" i="25"/>
  <c r="Y13" i="25"/>
  <c r="Y46" i="25"/>
  <c r="Y32" i="25"/>
  <c r="Y65" i="25"/>
  <c r="H89" i="26"/>
  <c r="I64" i="26"/>
  <c r="I66" i="26"/>
  <c r="I93" i="26"/>
  <c r="I26" i="26"/>
  <c r="H15" i="26"/>
  <c r="H70" i="26"/>
  <c r="I33" i="26"/>
  <c r="H103" i="24"/>
  <c r="I80" i="26"/>
  <c r="H99" i="26"/>
  <c r="N108" i="24"/>
  <c r="N67" i="24"/>
  <c r="AB46" i="24"/>
  <c r="I47" i="26"/>
  <c r="T84" i="24"/>
  <c r="AB104" i="24"/>
  <c r="X21" i="23"/>
  <c r="H88" i="24"/>
  <c r="H80" i="26"/>
  <c r="I101" i="26"/>
  <c r="T93" i="24"/>
  <c r="Z4" i="23"/>
  <c r="N105" i="24"/>
  <c r="T54" i="24"/>
  <c r="N57" i="24"/>
  <c r="I52" i="26"/>
  <c r="T55" i="24"/>
  <c r="AH18" i="2"/>
  <c r="P16" i="23"/>
  <c r="N50" i="24"/>
  <c r="AG18" i="2"/>
  <c r="AG35" i="2"/>
  <c r="H29" i="23"/>
  <c r="AB7" i="2"/>
  <c r="AB17" i="24"/>
  <c r="G12" i="23"/>
  <c r="Y7" i="2"/>
  <c r="H7" i="24"/>
  <c r="H16" i="24"/>
  <c r="H23" i="23"/>
  <c r="F5" i="23"/>
  <c r="E15" i="26"/>
  <c r="I15" i="26" s="1"/>
  <c r="AB13" i="2"/>
  <c r="AB7" i="24"/>
  <c r="I6" i="26"/>
  <c r="Z23" i="23"/>
  <c r="AA26" i="25"/>
  <c r="X30" i="23"/>
  <c r="X9" i="23"/>
  <c r="X15" i="23"/>
  <c r="Y30" i="23"/>
  <c r="Z9" i="23"/>
  <c r="AB96" i="24"/>
  <c r="H91" i="26"/>
  <c r="T95" i="24"/>
  <c r="X23" i="23"/>
  <c r="Y15" i="23"/>
  <c r="N95" i="24"/>
  <c r="H98" i="26"/>
  <c r="H53" i="26"/>
  <c r="I43" i="26"/>
  <c r="O14" i="23"/>
  <c r="O25" i="23"/>
  <c r="O6" i="23"/>
  <c r="N64" i="24"/>
  <c r="I70" i="26"/>
  <c r="I68" i="26"/>
  <c r="H58" i="26"/>
  <c r="X7" i="2"/>
  <c r="O31" i="23"/>
  <c r="Q15" i="23"/>
  <c r="P14" i="23"/>
  <c r="Z16" i="25"/>
  <c r="P6" i="23"/>
  <c r="T47" i="24"/>
  <c r="H65" i="26"/>
  <c r="I59" i="26"/>
  <c r="P31" i="23"/>
  <c r="O16" i="23"/>
  <c r="N46" i="24"/>
  <c r="H25" i="26"/>
  <c r="H26" i="26"/>
  <c r="N35" i="24"/>
  <c r="AC25" i="2"/>
  <c r="AC39" i="2"/>
  <c r="Y16" i="23"/>
  <c r="Z17" i="23"/>
  <c r="O15" i="23"/>
  <c r="Z48" i="24"/>
  <c r="AY12" i="2"/>
  <c r="N92" i="24"/>
  <c r="AC24" i="2"/>
  <c r="F91" i="26"/>
  <c r="I91" i="26" s="1"/>
  <c r="Q20" i="23"/>
  <c r="Z21" i="23"/>
  <c r="Y13" i="23"/>
  <c r="Z15" i="25"/>
  <c r="Q12" i="23"/>
  <c r="Z24" i="25"/>
  <c r="N62" i="24"/>
  <c r="Z27" i="23"/>
  <c r="E34" i="26"/>
  <c r="I34" i="26" s="1"/>
  <c r="AB70" i="24"/>
  <c r="F31" i="23"/>
  <c r="O17" i="23"/>
  <c r="P20" i="23"/>
  <c r="Z16" i="23"/>
  <c r="AE7" i="2"/>
  <c r="P29" i="23"/>
  <c r="Z13" i="23"/>
  <c r="X17" i="23"/>
  <c r="X24" i="23"/>
  <c r="H56" i="24"/>
  <c r="F8" i="23"/>
  <c r="P12" i="23"/>
  <c r="T89" i="24"/>
  <c r="Q11" i="23"/>
  <c r="Y11" i="25"/>
  <c r="H12" i="23"/>
  <c r="Y12" i="23"/>
  <c r="O8" i="23"/>
  <c r="H62" i="26"/>
  <c r="Y18" i="23"/>
  <c r="G22" i="23"/>
  <c r="F14" i="23"/>
  <c r="F88" i="26"/>
  <c r="I88" i="26" s="1"/>
  <c r="H7" i="26"/>
  <c r="AH12" i="2"/>
  <c r="N27" i="24"/>
  <c r="Z9" i="24"/>
  <c r="H45" i="24"/>
  <c r="C59" i="26"/>
  <c r="H59" i="26" s="1"/>
  <c r="N97" i="24"/>
  <c r="H9" i="26"/>
  <c r="AB26" i="24"/>
  <c r="AB73" i="24"/>
  <c r="AE18" i="2"/>
  <c r="AE35" i="2"/>
  <c r="N7" i="24"/>
  <c r="Q17" i="23"/>
  <c r="Z12" i="25"/>
  <c r="AA12" i="25"/>
  <c r="Y27" i="23"/>
  <c r="AA18" i="25"/>
  <c r="H17" i="26"/>
  <c r="H13" i="24"/>
  <c r="T88" i="24"/>
  <c r="H93" i="24"/>
  <c r="T101" i="24"/>
  <c r="Y21" i="23"/>
  <c r="H11" i="23"/>
  <c r="I18" i="26"/>
  <c r="AB108" i="24"/>
  <c r="H88" i="26"/>
  <c r="O20" i="23"/>
  <c r="O29" i="23"/>
  <c r="AA24" i="25"/>
  <c r="Y6" i="23"/>
  <c r="Y12" i="25"/>
  <c r="Q3" i="23"/>
  <c r="Z15" i="23"/>
  <c r="X18" i="23"/>
  <c r="H8" i="24"/>
  <c r="AB33" i="24"/>
  <c r="N17" i="24"/>
  <c r="AB64" i="24"/>
  <c r="T57" i="24"/>
  <c r="H102" i="24"/>
  <c r="N98" i="24"/>
  <c r="N83" i="24"/>
  <c r="N107" i="24"/>
  <c r="T87" i="24"/>
  <c r="H102" i="26"/>
  <c r="AB94" i="24"/>
  <c r="Z26" i="23"/>
  <c r="E103" i="26"/>
  <c r="I103" i="26" s="1"/>
  <c r="E99" i="26"/>
  <c r="I99" i="26" s="1"/>
  <c r="Y26" i="23"/>
  <c r="C96" i="26"/>
  <c r="H96" i="26" s="1"/>
  <c r="N94" i="24"/>
  <c r="AB80" i="24"/>
  <c r="T82" i="24"/>
  <c r="AB84" i="24"/>
  <c r="AB53" i="24"/>
  <c r="P22" i="23"/>
  <c r="P11" i="23"/>
  <c r="P3" i="23"/>
  <c r="H65" i="24"/>
  <c r="Q22" i="23"/>
  <c r="Q7" i="23"/>
  <c r="P19" i="23"/>
  <c r="I61" i="26"/>
  <c r="H63" i="24"/>
  <c r="H63" i="26"/>
  <c r="I54" i="26"/>
  <c r="Z21" i="25"/>
  <c r="Q19" i="23"/>
  <c r="Q18" i="23"/>
  <c r="P7" i="23"/>
  <c r="T70" i="24"/>
  <c r="Q21" i="23"/>
  <c r="E53" i="26"/>
  <c r="I53" i="26" s="1"/>
  <c r="AB52" i="24"/>
  <c r="Z3" i="25"/>
  <c r="P18" i="23"/>
  <c r="H60" i="24"/>
  <c r="H21" i="23"/>
  <c r="H18" i="26"/>
  <c r="AL7" i="2"/>
  <c r="Y23" i="25"/>
  <c r="I28" i="26"/>
  <c r="Y21" i="25"/>
  <c r="G23" i="23"/>
  <c r="AB23" i="24"/>
  <c r="N34" i="24"/>
  <c r="N18" i="24"/>
  <c r="T12" i="24"/>
  <c r="AB29" i="24"/>
  <c r="Z24" i="23"/>
  <c r="X32" i="23"/>
  <c r="Y19" i="23"/>
  <c r="Z100" i="24"/>
  <c r="Y28" i="23"/>
  <c r="H108" i="24"/>
  <c r="AB99" i="24"/>
  <c r="T90" i="24"/>
  <c r="H85" i="26"/>
  <c r="N102" i="24"/>
  <c r="N89" i="24"/>
  <c r="I105" i="26"/>
  <c r="I79" i="26"/>
  <c r="H89" i="24"/>
  <c r="I85" i="26"/>
  <c r="Q31" i="23"/>
  <c r="O21" i="23"/>
  <c r="O11" i="23"/>
  <c r="Z19" i="25"/>
  <c r="O18" i="23"/>
  <c r="H68" i="24"/>
  <c r="H57" i="26"/>
  <c r="H66" i="24"/>
  <c r="N55" i="24"/>
  <c r="Y18" i="2"/>
  <c r="AB63" i="24"/>
  <c r="T65" i="24"/>
  <c r="I67" i="26"/>
  <c r="L74" i="24"/>
  <c r="K19" i="25"/>
  <c r="L19" i="25" s="1"/>
  <c r="B93" i="25" s="1"/>
  <c r="G37" i="2"/>
  <c r="P4" i="35" s="1"/>
  <c r="H24" i="24"/>
  <c r="F12" i="26"/>
  <c r="I12" i="26" s="1"/>
  <c r="AY13" i="2"/>
  <c r="AY31" i="2"/>
  <c r="H10" i="24"/>
  <c r="AH31" i="2"/>
  <c r="AH13" i="2"/>
  <c r="F4" i="23"/>
  <c r="AD13" i="2"/>
  <c r="AD31" i="2"/>
  <c r="G18" i="23"/>
  <c r="F28" i="23"/>
  <c r="F21" i="26"/>
  <c r="I21" i="26" s="1"/>
  <c r="Z12" i="2"/>
  <c r="Z13" i="2"/>
  <c r="AC12" i="2"/>
  <c r="AB31" i="2"/>
  <c r="AA12" i="2"/>
  <c r="H18" i="23"/>
  <c r="Y28" i="25"/>
  <c r="G27" i="23"/>
  <c r="H28" i="23"/>
  <c r="Y29" i="25"/>
  <c r="T20" i="24"/>
  <c r="AI12" i="2"/>
  <c r="AB32" i="24"/>
  <c r="AB88" i="24"/>
  <c r="Z28" i="23"/>
  <c r="E77" i="26"/>
  <c r="I77" i="26" s="1"/>
  <c r="N81" i="24"/>
  <c r="N93" i="24"/>
  <c r="E89" i="26"/>
  <c r="I89" i="26" s="1"/>
  <c r="AB93" i="24"/>
  <c r="Y9" i="23"/>
  <c r="X28" i="23"/>
  <c r="H106" i="24"/>
  <c r="H93" i="26"/>
  <c r="T100" i="24"/>
  <c r="C78" i="26"/>
  <c r="H78" i="26" s="1"/>
  <c r="C83" i="26"/>
  <c r="H83" i="26" s="1"/>
  <c r="H87" i="24"/>
  <c r="F83" i="26"/>
  <c r="I83" i="26" s="1"/>
  <c r="N87" i="24"/>
  <c r="T81" i="24"/>
  <c r="N109" i="24"/>
  <c r="E97" i="26"/>
  <c r="I97" i="26" s="1"/>
  <c r="N101" i="24"/>
  <c r="T103" i="24"/>
  <c r="H95" i="24"/>
  <c r="C101" i="26"/>
  <c r="H101" i="26" s="1"/>
  <c r="H105" i="24"/>
  <c r="N84" i="24"/>
  <c r="AB109" i="24"/>
  <c r="E82" i="26"/>
  <c r="I82" i="26" s="1"/>
  <c r="AB86" i="24"/>
  <c r="E86" i="26"/>
  <c r="I86" i="26" s="1"/>
  <c r="N90" i="24"/>
  <c r="C76" i="26"/>
  <c r="H76" i="26" s="1"/>
  <c r="H80" i="24"/>
  <c r="I60" i="26"/>
  <c r="AB58" i="24"/>
  <c r="K23" i="25"/>
  <c r="L23" i="25" s="1"/>
  <c r="H57" i="24"/>
  <c r="Q28" i="23"/>
  <c r="H54" i="26"/>
  <c r="AB56" i="24"/>
  <c r="AB50" i="24"/>
  <c r="AB44" i="24"/>
  <c r="H61" i="24"/>
  <c r="P28" i="23"/>
  <c r="Z8" i="25"/>
  <c r="Z63" i="24"/>
  <c r="Z18" i="2"/>
  <c r="AB71" i="24"/>
  <c r="Y35" i="2"/>
  <c r="AB51" i="24"/>
  <c r="N70" i="24"/>
  <c r="H60" i="26"/>
  <c r="P25" i="23"/>
  <c r="T48" i="24"/>
  <c r="N63" i="24"/>
  <c r="H53" i="24"/>
  <c r="H69" i="24"/>
  <c r="AJ19" i="2"/>
  <c r="AJ35" i="2"/>
  <c r="I69" i="26"/>
  <c r="O28" i="23"/>
  <c r="Q8" i="23"/>
  <c r="H66" i="26"/>
  <c r="L37" i="24"/>
  <c r="H27" i="23"/>
  <c r="G25" i="23"/>
  <c r="Y14" i="25"/>
  <c r="H20" i="26"/>
  <c r="N31" i="24"/>
  <c r="H4" i="23"/>
  <c r="H25" i="23"/>
  <c r="H14" i="23"/>
  <c r="AB8" i="24"/>
  <c r="D19" i="26"/>
  <c r="H19" i="26" s="1"/>
  <c r="H20" i="24"/>
  <c r="C27" i="26"/>
  <c r="H27" i="26" s="1"/>
  <c r="H28" i="24"/>
  <c r="I24" i="26"/>
  <c r="Y20" i="25"/>
  <c r="Y25" i="25"/>
  <c r="H8" i="26"/>
  <c r="H27" i="24"/>
  <c r="G20" i="23"/>
  <c r="H21" i="24"/>
  <c r="AB98" i="24"/>
  <c r="D77" i="26"/>
  <c r="H77" i="26" s="1"/>
  <c r="H81" i="24"/>
  <c r="F92" i="26"/>
  <c r="I92" i="26" s="1"/>
  <c r="N96" i="24"/>
  <c r="Z83" i="24"/>
  <c r="AB83" i="24"/>
  <c r="H92" i="24"/>
  <c r="D95" i="26"/>
  <c r="H95" i="26" s="1"/>
  <c r="H99" i="24"/>
  <c r="H109" i="24"/>
  <c r="F102" i="26"/>
  <c r="I102" i="26" s="1"/>
  <c r="N106" i="24"/>
  <c r="D94" i="26"/>
  <c r="H94" i="26" s="1"/>
  <c r="H98" i="24"/>
  <c r="D90" i="26"/>
  <c r="H90" i="26" s="1"/>
  <c r="H94" i="24"/>
  <c r="F96" i="26"/>
  <c r="I96" i="26" s="1"/>
  <c r="N100" i="24"/>
  <c r="H105" i="26"/>
  <c r="H84" i="24"/>
  <c r="C97" i="26"/>
  <c r="H97" i="26" s="1"/>
  <c r="H101" i="24"/>
  <c r="AD24" i="2"/>
  <c r="AD25" i="2"/>
  <c r="AD39" i="2"/>
  <c r="AB102" i="24"/>
  <c r="AE24" i="2"/>
  <c r="H97" i="24"/>
  <c r="E100" i="26"/>
  <c r="I100" i="26" s="1"/>
  <c r="N104" i="24"/>
  <c r="AB106" i="24"/>
  <c r="Z106" i="24"/>
  <c r="F87" i="26"/>
  <c r="I87" i="26" s="1"/>
  <c r="N91" i="24"/>
  <c r="C86" i="26"/>
  <c r="H86" i="26" s="1"/>
  <c r="H90" i="24"/>
  <c r="AB95" i="24"/>
  <c r="Z95" i="24"/>
  <c r="C52" i="26"/>
  <c r="H52" i="26" s="1"/>
  <c r="H55" i="24"/>
  <c r="E55" i="26"/>
  <c r="I55" i="26" s="1"/>
  <c r="N58" i="24"/>
  <c r="Z46" i="24"/>
  <c r="K16" i="25"/>
  <c r="M16" i="25" s="1"/>
  <c r="AD49" i="25" s="1"/>
  <c r="C45" i="26"/>
  <c r="H45" i="26" s="1"/>
  <c r="H48" i="24"/>
  <c r="N47" i="24"/>
  <c r="E44" i="26"/>
  <c r="I44" i="26" s="1"/>
  <c r="H43" i="26"/>
  <c r="T68" i="24"/>
  <c r="E49" i="26"/>
  <c r="I49" i="26" s="1"/>
  <c r="N52" i="24"/>
  <c r="C41" i="26"/>
  <c r="H41" i="26" s="1"/>
  <c r="H44" i="24"/>
  <c r="H49" i="24"/>
  <c r="C46" i="26"/>
  <c r="H46" i="26" s="1"/>
  <c r="E48" i="26"/>
  <c r="I48" i="26" s="1"/>
  <c r="N51" i="24"/>
  <c r="K24" i="25"/>
  <c r="L24" i="25" s="1"/>
  <c r="C56" i="26"/>
  <c r="H56" i="26" s="1"/>
  <c r="H59" i="24"/>
  <c r="E45" i="26"/>
  <c r="I45" i="26" s="1"/>
  <c r="N48" i="24"/>
  <c r="E57" i="26"/>
  <c r="I57" i="26" s="1"/>
  <c r="N60" i="24"/>
  <c r="C55" i="26"/>
  <c r="H55" i="26" s="1"/>
  <c r="H58" i="24"/>
  <c r="O13" i="23"/>
  <c r="P13" i="23"/>
  <c r="N61" i="24"/>
  <c r="N72" i="24"/>
  <c r="N71" i="24"/>
  <c r="E41" i="26"/>
  <c r="I41" i="26" s="1"/>
  <c r="N44" i="24"/>
  <c r="E62" i="26"/>
  <c r="I62" i="26" s="1"/>
  <c r="N65" i="24"/>
  <c r="C61" i="26"/>
  <c r="H61" i="26" s="1"/>
  <c r="H64" i="24"/>
  <c r="AB66" i="24"/>
  <c r="C48" i="26"/>
  <c r="H48" i="26" s="1"/>
  <c r="H51" i="24"/>
  <c r="E63" i="26"/>
  <c r="I63" i="26" s="1"/>
  <c r="N66" i="24"/>
  <c r="C69" i="26"/>
  <c r="H69" i="26" s="1"/>
  <c r="H72" i="24"/>
  <c r="Z13" i="25"/>
  <c r="K22" i="25"/>
  <c r="L22" i="25" s="1"/>
  <c r="K21" i="25"/>
  <c r="M21" i="25" s="1"/>
  <c r="AD54" i="25" s="1"/>
  <c r="AB55" i="24"/>
  <c r="K5" i="25"/>
  <c r="M5" i="25" s="1"/>
  <c r="AD38" i="25" s="1"/>
  <c r="E50" i="26"/>
  <c r="I50" i="26" s="1"/>
  <c r="N53" i="24"/>
  <c r="Q30" i="23"/>
  <c r="Z30" i="25"/>
  <c r="H71" i="24"/>
  <c r="C68" i="26"/>
  <c r="H68" i="26" s="1"/>
  <c r="E46" i="26"/>
  <c r="I46" i="26" s="1"/>
  <c r="N49" i="24"/>
  <c r="N68" i="24"/>
  <c r="E65" i="26"/>
  <c r="I65" i="26" s="1"/>
  <c r="H46" i="24"/>
  <c r="T27" i="24"/>
  <c r="E23" i="26"/>
  <c r="I23" i="26" s="1"/>
  <c r="N24" i="24"/>
  <c r="AW13" i="2"/>
  <c r="AW12" i="2"/>
  <c r="AW31" i="2"/>
  <c r="F20" i="26"/>
  <c r="I20" i="26" s="1"/>
  <c r="N21" i="24"/>
  <c r="Z34" i="24"/>
  <c r="AB34" i="24"/>
  <c r="AB11" i="24"/>
  <c r="AR31" i="2"/>
  <c r="AS12" i="2"/>
  <c r="AR13" i="2"/>
  <c r="AR12" i="2"/>
  <c r="N9" i="24"/>
  <c r="AB22" i="24"/>
  <c r="AC7" i="2"/>
  <c r="AG12" i="2"/>
  <c r="AG31" i="2"/>
  <c r="AG13" i="2"/>
  <c r="F20" i="23"/>
  <c r="I8" i="26"/>
  <c r="H19" i="24"/>
  <c r="AB36" i="24"/>
  <c r="AE12" i="2"/>
  <c r="AE13" i="2"/>
  <c r="AE31" i="2"/>
  <c r="AI7" i="2"/>
  <c r="E29" i="26"/>
  <c r="I29" i="26" s="1"/>
  <c r="N30" i="24"/>
  <c r="H23" i="24"/>
  <c r="N29" i="24"/>
  <c r="N36" i="24"/>
  <c r="L21" i="25"/>
  <c r="AN7" i="2"/>
  <c r="AZ31" i="2"/>
  <c r="AZ12" i="2"/>
  <c r="AZ13" i="2"/>
  <c r="AT35" i="2"/>
  <c r="AT19" i="2"/>
  <c r="AT18" i="2"/>
  <c r="AU18" i="2"/>
  <c r="F51" i="26"/>
  <c r="I51" i="26" s="1"/>
  <c r="N54" i="24"/>
  <c r="K26" i="25"/>
  <c r="K6" i="25"/>
  <c r="K30" i="25"/>
  <c r="E13" i="26"/>
  <c r="I13" i="26" s="1"/>
  <c r="N14" i="24"/>
  <c r="X39" i="2"/>
  <c r="W47" i="2"/>
  <c r="X24" i="2"/>
  <c r="X25" i="2"/>
  <c r="Y24" i="2"/>
  <c r="D103" i="26"/>
  <c r="H103" i="26" s="1"/>
  <c r="H107" i="24"/>
  <c r="H54" i="24"/>
  <c r="AB16" i="24"/>
  <c r="AF7" i="2"/>
  <c r="AL12" i="2"/>
  <c r="AL31" i="2"/>
  <c r="AL13" i="2"/>
  <c r="AM12" i="2"/>
  <c r="E31" i="26"/>
  <c r="I31" i="26" s="1"/>
  <c r="N32" i="24"/>
  <c r="AK35" i="2"/>
  <c r="AK19" i="2"/>
  <c r="AK18" i="2"/>
  <c r="AL18" i="2"/>
  <c r="H51" i="26"/>
  <c r="K12" i="25"/>
  <c r="K11" i="25"/>
  <c r="K7" i="25"/>
  <c r="K20" i="25"/>
  <c r="L20" i="25" s="1"/>
  <c r="R8" i="25"/>
  <c r="R20" i="25"/>
  <c r="R12" i="25"/>
  <c r="R9" i="25"/>
  <c r="S9" i="25" s="1"/>
  <c r="R24" i="25"/>
  <c r="R4" i="25"/>
  <c r="R7" i="25"/>
  <c r="R18" i="25"/>
  <c r="R27" i="25"/>
  <c r="R31" i="25"/>
  <c r="R17" i="25"/>
  <c r="R29" i="25"/>
  <c r="R16" i="25"/>
  <c r="R26" i="25"/>
  <c r="R6" i="25"/>
  <c r="R21" i="25"/>
  <c r="R19" i="25"/>
  <c r="R13" i="25"/>
  <c r="R32" i="25"/>
  <c r="R15" i="25"/>
  <c r="R22" i="25"/>
  <c r="R5" i="25"/>
  <c r="R23" i="25"/>
  <c r="R10" i="25"/>
  <c r="R28" i="25"/>
  <c r="R30" i="25"/>
  <c r="R14" i="25"/>
  <c r="R25" i="25"/>
  <c r="R3" i="25"/>
  <c r="R11" i="25"/>
  <c r="D14" i="25"/>
  <c r="D11" i="25"/>
  <c r="E11" i="25" s="1"/>
  <c r="D26" i="25"/>
  <c r="E26" i="25" s="1"/>
  <c r="D5" i="25"/>
  <c r="D32" i="25"/>
  <c r="D29" i="25"/>
  <c r="D13" i="25"/>
  <c r="D19" i="25"/>
  <c r="D10" i="25"/>
  <c r="D28" i="25"/>
  <c r="D31" i="25"/>
  <c r="D21" i="25"/>
  <c r="D15" i="25"/>
  <c r="D3" i="25"/>
  <c r="D23" i="25"/>
  <c r="D9" i="25"/>
  <c r="D4" i="25"/>
  <c r="D8" i="25"/>
  <c r="D7" i="25"/>
  <c r="D25" i="25"/>
  <c r="D6" i="25"/>
  <c r="D27" i="25"/>
  <c r="D12" i="25"/>
  <c r="D22" i="25"/>
  <c r="D16" i="25"/>
  <c r="D20" i="25"/>
  <c r="D24" i="25"/>
  <c r="D30" i="25"/>
  <c r="D18" i="25"/>
  <c r="D17" i="25"/>
  <c r="T91" i="24"/>
  <c r="E95" i="26"/>
  <c r="I95" i="26" s="1"/>
  <c r="N99" i="24"/>
  <c r="C82" i="26"/>
  <c r="H82" i="26" s="1"/>
  <c r="H86" i="24"/>
  <c r="E27" i="26"/>
  <c r="I27" i="26" s="1"/>
  <c r="N28" i="24"/>
  <c r="C30" i="26"/>
  <c r="H30" i="26" s="1"/>
  <c r="H31" i="24"/>
  <c r="C87" i="26"/>
  <c r="H87" i="26" s="1"/>
  <c r="H91" i="24"/>
  <c r="W7" i="2"/>
  <c r="Z29" i="23"/>
  <c r="Y29" i="23"/>
  <c r="X29" i="23"/>
  <c r="AA29" i="25"/>
  <c r="Y14" i="23"/>
  <c r="X14" i="23"/>
  <c r="Z14" i="23"/>
  <c r="AA14" i="25"/>
  <c r="C44" i="26"/>
  <c r="H44" i="26" s="1"/>
  <c r="H47" i="24"/>
  <c r="K29" i="25"/>
  <c r="K25" i="25"/>
  <c r="K4" i="25"/>
  <c r="C29" i="26"/>
  <c r="H29" i="26" s="1"/>
  <c r="H30" i="24"/>
  <c r="T26" i="24"/>
  <c r="AZ18" i="2"/>
  <c r="AY18" i="2"/>
  <c r="AY35" i="2"/>
  <c r="AY19" i="2"/>
  <c r="AO35" i="2"/>
  <c r="AO19" i="2"/>
  <c r="AO18" i="2"/>
  <c r="AP18" i="2"/>
  <c r="C16" i="26"/>
  <c r="H16" i="26" s="1"/>
  <c r="H17" i="24"/>
  <c r="AK7" i="2"/>
  <c r="Q9" i="23"/>
  <c r="P9" i="23"/>
  <c r="Z9" i="25"/>
  <c r="O9" i="23"/>
  <c r="L110" i="24"/>
  <c r="AB54" i="24"/>
  <c r="T102" i="24"/>
  <c r="AB59" i="24"/>
  <c r="T71" i="24"/>
  <c r="T8" i="24"/>
  <c r="E14" i="26"/>
  <c r="I14" i="26" s="1"/>
  <c r="N15" i="24"/>
  <c r="K3" i="25"/>
  <c r="K15" i="25"/>
  <c r="K8" i="25"/>
  <c r="K31" i="25"/>
  <c r="K17" i="25"/>
  <c r="C13" i="26"/>
  <c r="H13" i="26" s="1"/>
  <c r="H14" i="24"/>
  <c r="F42" i="26"/>
  <c r="I42" i="26" s="1"/>
  <c r="N45" i="24"/>
  <c r="AG7" i="2"/>
  <c r="K13" i="25"/>
  <c r="K10" i="25"/>
  <c r="K32" i="25"/>
  <c r="H34" i="24"/>
  <c r="D33" i="26"/>
  <c r="H33" i="26" s="1"/>
  <c r="N25" i="24"/>
  <c r="K14" i="25"/>
  <c r="K18" i="25"/>
  <c r="K9" i="25"/>
  <c r="M9" i="25" s="1"/>
  <c r="AD42" i="25" s="1"/>
  <c r="K28" i="25"/>
  <c r="K27" i="25"/>
  <c r="M24" i="25" l="1"/>
  <c r="AD57" i="25" s="1"/>
  <c r="M23" i="25"/>
  <c r="AD56" i="25" s="1"/>
  <c r="AX25" i="25" s="1"/>
  <c r="L5" i="25"/>
  <c r="Q4" i="35"/>
  <c r="BB18" i="25"/>
  <c r="AX18" i="25"/>
  <c r="AT18" i="25"/>
  <c r="AT25" i="25"/>
  <c r="BB26" i="25"/>
  <c r="AX26" i="25"/>
  <c r="AT26" i="25"/>
  <c r="BB7" i="25"/>
  <c r="AX7" i="25"/>
  <c r="AT7" i="25"/>
  <c r="BB23" i="25"/>
  <c r="AX23" i="25"/>
  <c r="AT23" i="25"/>
  <c r="BB11" i="25"/>
  <c r="AX11" i="25"/>
  <c r="AT11" i="25"/>
  <c r="W26" i="2"/>
  <c r="X47" i="2" s="1"/>
  <c r="N4" i="35" s="1"/>
  <c r="J90" i="25"/>
  <c r="I90" i="25"/>
  <c r="H90" i="25"/>
  <c r="J98" i="25"/>
  <c r="I98" i="25"/>
  <c r="H98" i="25"/>
  <c r="I97" i="25"/>
  <c r="J97" i="25"/>
  <c r="H97" i="25"/>
  <c r="H79" i="25"/>
  <c r="J79" i="25"/>
  <c r="I79" i="25"/>
  <c r="J95" i="25"/>
  <c r="H95" i="25"/>
  <c r="I95" i="25"/>
  <c r="H83" i="25"/>
  <c r="J83" i="25"/>
  <c r="I83" i="25"/>
  <c r="F11" i="25"/>
  <c r="AC44" i="25" s="1"/>
  <c r="D93" i="25"/>
  <c r="L16" i="25"/>
  <c r="B90" i="25" s="1"/>
  <c r="C93" i="25"/>
  <c r="AD19" i="25"/>
  <c r="AL21" i="25" s="1"/>
  <c r="T9" i="25"/>
  <c r="AE42" i="25" s="1"/>
  <c r="M19" i="25"/>
  <c r="AD52" i="25" s="1"/>
  <c r="W40" i="2"/>
  <c r="Y47" i="2" s="1"/>
  <c r="O4" i="35" s="1"/>
  <c r="W36" i="2"/>
  <c r="Y46" i="2" s="1"/>
  <c r="W14" i="2"/>
  <c r="X45" i="2" s="1"/>
  <c r="H4" i="35" s="1"/>
  <c r="AA45" i="2"/>
  <c r="D4" i="35" s="1"/>
  <c r="M4" i="35"/>
  <c r="M22" i="25"/>
  <c r="AD55" i="25" s="1"/>
  <c r="L9" i="25"/>
  <c r="B83" i="25" s="1"/>
  <c r="BD12" i="2"/>
  <c r="W50" i="2" s="1"/>
  <c r="W32" i="2"/>
  <c r="Y45" i="2" s="1"/>
  <c r="I4" i="35" s="1"/>
  <c r="D70" i="25"/>
  <c r="C70" i="25"/>
  <c r="B70" i="25"/>
  <c r="AC26" i="25"/>
  <c r="B94" i="25"/>
  <c r="D94" i="25"/>
  <c r="C94" i="25"/>
  <c r="AD20" i="25"/>
  <c r="M13" i="25"/>
  <c r="AD46" i="25" s="1"/>
  <c r="L13" i="25"/>
  <c r="L3" i="25"/>
  <c r="M3" i="25"/>
  <c r="L4" i="25"/>
  <c r="M4" i="25"/>
  <c r="AD37" i="25" s="1"/>
  <c r="F24" i="25"/>
  <c r="AC57" i="25" s="1"/>
  <c r="E24" i="25"/>
  <c r="E6" i="25"/>
  <c r="F6" i="25"/>
  <c r="F23" i="25"/>
  <c r="AC56" i="25" s="1"/>
  <c r="E23" i="25"/>
  <c r="E10" i="25"/>
  <c r="F10" i="25"/>
  <c r="AC43" i="25" s="1"/>
  <c r="B55" i="25"/>
  <c r="C55" i="25"/>
  <c r="AC11" i="25"/>
  <c r="D55" i="25"/>
  <c r="S3" i="25"/>
  <c r="T3" i="25"/>
  <c r="AE36" i="25" s="1"/>
  <c r="T23" i="25"/>
  <c r="AE56" i="25" s="1"/>
  <c r="S23" i="25"/>
  <c r="S19" i="25"/>
  <c r="T19" i="25"/>
  <c r="AE52" i="25" s="1"/>
  <c r="S17" i="25"/>
  <c r="T17" i="25"/>
  <c r="AE50" i="25" s="1"/>
  <c r="C113" i="25"/>
  <c r="D113" i="25"/>
  <c r="AE9" i="25"/>
  <c r="B113" i="25"/>
  <c r="T8" i="25"/>
  <c r="AE41" i="25" s="1"/>
  <c r="S8" i="25"/>
  <c r="C97" i="25"/>
  <c r="AD23" i="25"/>
  <c r="B97" i="25"/>
  <c r="D97" i="25"/>
  <c r="E25" i="25"/>
  <c r="F25" i="25"/>
  <c r="AC58" i="25" s="1"/>
  <c r="F19" i="25"/>
  <c r="AC52" i="25" s="1"/>
  <c r="E19" i="25"/>
  <c r="S25" i="25"/>
  <c r="T25" i="25"/>
  <c r="AE58" i="25" s="1"/>
  <c r="T21" i="25"/>
  <c r="AE54" i="25" s="1"/>
  <c r="S21" i="25"/>
  <c r="T24" i="25"/>
  <c r="AE57" i="25" s="1"/>
  <c r="S24" i="25"/>
  <c r="BE18" i="2"/>
  <c r="BD18" i="2"/>
  <c r="C98" i="25"/>
  <c r="D98" i="25"/>
  <c r="AD24" i="25"/>
  <c r="B98" i="25"/>
  <c r="BD24" i="2"/>
  <c r="BE24" i="2"/>
  <c r="L28" i="25"/>
  <c r="M28" i="25"/>
  <c r="AD61" i="25" s="1"/>
  <c r="M17" i="25"/>
  <c r="AD50" i="25" s="1"/>
  <c r="L17" i="25"/>
  <c r="M29" i="25"/>
  <c r="AD62" i="25" s="1"/>
  <c r="L29" i="25"/>
  <c r="M20" i="25"/>
  <c r="AD53" i="25" s="1"/>
  <c r="E16" i="25"/>
  <c r="F16" i="25"/>
  <c r="AC49" i="25" s="1"/>
  <c r="E7" i="25"/>
  <c r="F7" i="25"/>
  <c r="AC40" i="25" s="1"/>
  <c r="E15" i="25"/>
  <c r="F15" i="25"/>
  <c r="AC48" i="25" s="1"/>
  <c r="S14" i="25"/>
  <c r="T14" i="25"/>
  <c r="AE47" i="25" s="1"/>
  <c r="S22" i="25"/>
  <c r="T22" i="25"/>
  <c r="AE55" i="25" s="1"/>
  <c r="T6" i="25"/>
  <c r="AE39" i="25" s="1"/>
  <c r="S6" i="25"/>
  <c r="T27" i="25"/>
  <c r="AE60" i="25" s="1"/>
  <c r="S27" i="25"/>
  <c r="L7" i="25"/>
  <c r="M7" i="25"/>
  <c r="AD40" i="25" s="1"/>
  <c r="W20" i="2"/>
  <c r="X46" i="2" s="1"/>
  <c r="K4" i="35" s="1"/>
  <c r="F26" i="25"/>
  <c r="AC59" i="25" s="1"/>
  <c r="L27" i="25"/>
  <c r="M27" i="25"/>
  <c r="AD60" i="25" s="1"/>
  <c r="M25" i="25"/>
  <c r="AD58" i="25" s="1"/>
  <c r="L25" i="25"/>
  <c r="F20" i="25"/>
  <c r="AC53" i="25" s="1"/>
  <c r="E20" i="25"/>
  <c r="E3" i="25"/>
  <c r="AC3" i="25" s="1"/>
  <c r="AG5" i="25" s="1"/>
  <c r="F3" i="25"/>
  <c r="F5" i="25"/>
  <c r="AC38" i="25" s="1"/>
  <c r="E5" i="25"/>
  <c r="T5" i="25"/>
  <c r="AE38" i="25" s="1"/>
  <c r="S5" i="25"/>
  <c r="T31" i="25"/>
  <c r="AE64" i="25" s="1"/>
  <c r="S31" i="25"/>
  <c r="M31" i="25"/>
  <c r="AD64" i="25" s="1"/>
  <c r="L31" i="25"/>
  <c r="BE12" i="2"/>
  <c r="AD16" i="25"/>
  <c r="D90" i="25"/>
  <c r="E17" i="25"/>
  <c r="F17" i="25"/>
  <c r="AC50" i="25" s="1"/>
  <c r="E22" i="25"/>
  <c r="F22" i="25"/>
  <c r="AC55" i="25" s="1"/>
  <c r="F8" i="25"/>
  <c r="AC41" i="25" s="1"/>
  <c r="E8" i="25"/>
  <c r="F21" i="25"/>
  <c r="AC54" i="25" s="1"/>
  <c r="E21" i="25"/>
  <c r="E13" i="25"/>
  <c r="F13" i="25"/>
  <c r="AC46" i="25" s="1"/>
  <c r="T30" i="25"/>
  <c r="AE63" i="25" s="1"/>
  <c r="S30" i="25"/>
  <c r="T15" i="25"/>
  <c r="AE48" i="25" s="1"/>
  <c r="S15" i="25"/>
  <c r="T26" i="25"/>
  <c r="AE59" i="25" s="1"/>
  <c r="S26" i="25"/>
  <c r="S18" i="25"/>
  <c r="T18" i="25"/>
  <c r="AE51" i="25" s="1"/>
  <c r="S12" i="25"/>
  <c r="T12" i="25"/>
  <c r="AE45" i="25" s="1"/>
  <c r="M11" i="25"/>
  <c r="AD44" i="25" s="1"/>
  <c r="L11" i="25"/>
  <c r="L30" i="25"/>
  <c r="M30" i="25"/>
  <c r="AD63" i="25" s="1"/>
  <c r="B95" i="25"/>
  <c r="C95" i="25"/>
  <c r="AD21" i="25"/>
  <c r="D95" i="25"/>
  <c r="M18" i="25"/>
  <c r="AD51" i="25" s="1"/>
  <c r="L18" i="25"/>
  <c r="M32" i="25"/>
  <c r="AD65" i="25" s="1"/>
  <c r="L32" i="25"/>
  <c r="L8" i="25"/>
  <c r="M8" i="25"/>
  <c r="AD41" i="25" s="1"/>
  <c r="E18" i="25"/>
  <c r="F18" i="25"/>
  <c r="AC51" i="25" s="1"/>
  <c r="F12" i="25"/>
  <c r="AC45" i="25" s="1"/>
  <c r="E12" i="25"/>
  <c r="E4" i="25"/>
  <c r="F4" i="25"/>
  <c r="AC37" i="25" s="1"/>
  <c r="F31" i="25"/>
  <c r="AC64" i="25" s="1"/>
  <c r="E31" i="25"/>
  <c r="F29" i="25"/>
  <c r="AC62" i="25" s="1"/>
  <c r="E29" i="25"/>
  <c r="F14" i="25"/>
  <c r="AC47" i="25" s="1"/>
  <c r="E14" i="25"/>
  <c r="T28" i="25"/>
  <c r="AE61" i="25" s="1"/>
  <c r="S28" i="25"/>
  <c r="S32" i="25"/>
  <c r="T32" i="25"/>
  <c r="AE65" i="25" s="1"/>
  <c r="S16" i="25"/>
  <c r="T16" i="25"/>
  <c r="AE49" i="25" s="1"/>
  <c r="S7" i="25"/>
  <c r="T7" i="25"/>
  <c r="AE40" i="25" s="1"/>
  <c r="S20" i="25"/>
  <c r="T20" i="25"/>
  <c r="AE53" i="25" s="1"/>
  <c r="L12" i="25"/>
  <c r="M12" i="25"/>
  <c r="AD45" i="25" s="1"/>
  <c r="L6" i="25"/>
  <c r="M6" i="25"/>
  <c r="AD39" i="25" s="1"/>
  <c r="AD5" i="25"/>
  <c r="B79" i="25"/>
  <c r="D79" i="25"/>
  <c r="C79" i="25"/>
  <c r="M14" i="25"/>
  <c r="AD47" i="25" s="1"/>
  <c r="L14" i="25"/>
  <c r="M10" i="25"/>
  <c r="AD43" i="25" s="1"/>
  <c r="L10" i="25"/>
  <c r="L15" i="25"/>
  <c r="M15" i="25"/>
  <c r="AD48" i="25" s="1"/>
  <c r="E30" i="25"/>
  <c r="F30" i="25"/>
  <c r="AC63" i="25" s="1"/>
  <c r="F27" i="25"/>
  <c r="AC60" i="25" s="1"/>
  <c r="E27" i="25"/>
  <c r="F9" i="25"/>
  <c r="AC42" i="25" s="1"/>
  <c r="E9" i="25"/>
  <c r="F28" i="25"/>
  <c r="AC61" i="25" s="1"/>
  <c r="E28" i="25"/>
  <c r="F32" i="25"/>
  <c r="AC65" i="25" s="1"/>
  <c r="E32" i="25"/>
  <c r="S11" i="25"/>
  <c r="T11" i="25"/>
  <c r="AE44" i="25" s="1"/>
  <c r="S10" i="25"/>
  <c r="T10" i="25"/>
  <c r="AE43" i="25" s="1"/>
  <c r="S13" i="25"/>
  <c r="T13" i="25"/>
  <c r="AE46" i="25" s="1"/>
  <c r="S29" i="25"/>
  <c r="T29" i="25"/>
  <c r="AE62" i="25" s="1"/>
  <c r="S4" i="25"/>
  <c r="T4" i="25"/>
  <c r="AE37" i="25" s="1"/>
  <c r="M26" i="25"/>
  <c r="AD59" i="25" s="1"/>
  <c r="L26" i="25"/>
  <c r="AD22" i="25"/>
  <c r="C96" i="25"/>
  <c r="B96" i="25"/>
  <c r="D96" i="25"/>
  <c r="BB25" i="25" l="1"/>
  <c r="C90" i="25"/>
  <c r="BB32" i="25"/>
  <c r="AX32" i="25"/>
  <c r="AT32" i="25"/>
  <c r="BA17" i="25"/>
  <c r="AW17" i="25"/>
  <c r="AS17" i="25"/>
  <c r="BB31" i="25"/>
  <c r="AX31" i="25"/>
  <c r="AT31" i="25"/>
  <c r="BC23" i="25"/>
  <c r="AY23" i="25"/>
  <c r="AU23" i="25"/>
  <c r="BA25" i="25"/>
  <c r="AW25" i="25"/>
  <c r="AS25" i="25"/>
  <c r="BC30" i="25"/>
  <c r="AY30" i="25"/>
  <c r="AU30" i="25"/>
  <c r="AW23" i="25"/>
  <c r="BA23" i="25"/>
  <c r="AS23" i="25"/>
  <c r="BC7" i="25"/>
  <c r="AY7" i="25"/>
  <c r="AU7" i="25"/>
  <c r="BB27" i="25"/>
  <c r="AX27" i="25"/>
  <c r="AT27" i="25"/>
  <c r="BC29" i="25"/>
  <c r="AY29" i="25"/>
  <c r="AU29" i="25"/>
  <c r="BC27" i="25"/>
  <c r="AY27" i="25"/>
  <c r="AU27" i="25"/>
  <c r="BC19" i="25"/>
  <c r="AY19" i="25"/>
  <c r="AU19" i="25"/>
  <c r="H50" i="25"/>
  <c r="AC39" i="25"/>
  <c r="BB34" i="25"/>
  <c r="AX34" i="25"/>
  <c r="AT34" i="25"/>
  <c r="BB29" i="25"/>
  <c r="AX29" i="25"/>
  <c r="AT29" i="25"/>
  <c r="BA9" i="25"/>
  <c r="AW9" i="25"/>
  <c r="AS9" i="25"/>
  <c r="BB19" i="25"/>
  <c r="AX19" i="25"/>
  <c r="AT19" i="25"/>
  <c r="BB15" i="25"/>
  <c r="AX15" i="25"/>
  <c r="AT15" i="25"/>
  <c r="AW13" i="25"/>
  <c r="BA13" i="25"/>
  <c r="AS13" i="25"/>
  <c r="BC28" i="25"/>
  <c r="AY28" i="25"/>
  <c r="AU28" i="25"/>
  <c r="BB20" i="25"/>
  <c r="AX20" i="25"/>
  <c r="AT20" i="25"/>
  <c r="BC8" i="25"/>
  <c r="AY8" i="25"/>
  <c r="AU8" i="25"/>
  <c r="BC21" i="25"/>
  <c r="AY21" i="25"/>
  <c r="AU21" i="25"/>
  <c r="AW32" i="25"/>
  <c r="BA32" i="25"/>
  <c r="AS32" i="25"/>
  <c r="BB17" i="25"/>
  <c r="AX17" i="25"/>
  <c r="AT17" i="25"/>
  <c r="BC17" i="25"/>
  <c r="AY17" i="25"/>
  <c r="AU17" i="25"/>
  <c r="BC12" i="25"/>
  <c r="AY12" i="25"/>
  <c r="AU12" i="25"/>
  <c r="AW20" i="25"/>
  <c r="BA20" i="25"/>
  <c r="AS20" i="25"/>
  <c r="AW28" i="25"/>
  <c r="BA28" i="25"/>
  <c r="AS28" i="25"/>
  <c r="AW26" i="25"/>
  <c r="BA26" i="25"/>
  <c r="AS26" i="25"/>
  <c r="BA6" i="25"/>
  <c r="AW6" i="25"/>
  <c r="AS6" i="25"/>
  <c r="BC15" i="25"/>
  <c r="AY15" i="25"/>
  <c r="AU15" i="25"/>
  <c r="BA30" i="25"/>
  <c r="AW30" i="25"/>
  <c r="AS30" i="25"/>
  <c r="BB13" i="25"/>
  <c r="AX13" i="25"/>
  <c r="AT13" i="25"/>
  <c r="BB30" i="25"/>
  <c r="AX30" i="25"/>
  <c r="AT30" i="25"/>
  <c r="BC18" i="25"/>
  <c r="AY18" i="25"/>
  <c r="AU18" i="25"/>
  <c r="AW24" i="25"/>
  <c r="BA24" i="25"/>
  <c r="AS24" i="25"/>
  <c r="BC10" i="25"/>
  <c r="AY10" i="25"/>
  <c r="AU10" i="25"/>
  <c r="BC22" i="25"/>
  <c r="AY22" i="25"/>
  <c r="AU22" i="25"/>
  <c r="BA14" i="25"/>
  <c r="AW14" i="25"/>
  <c r="AS14" i="25"/>
  <c r="AW7" i="25"/>
  <c r="BA7" i="25"/>
  <c r="AS7" i="25"/>
  <c r="BC14" i="25"/>
  <c r="AY14" i="25"/>
  <c r="AU14" i="25"/>
  <c r="H47" i="25"/>
  <c r="AW44" i="25"/>
  <c r="AT44" i="25"/>
  <c r="AC36" i="25"/>
  <c r="BA18" i="25"/>
  <c r="AW18" i="25"/>
  <c r="AS18" i="25"/>
  <c r="BB21" i="25"/>
  <c r="AX21" i="25"/>
  <c r="AT21" i="25"/>
  <c r="BB12" i="25"/>
  <c r="AX12" i="25"/>
  <c r="AT12" i="25"/>
  <c r="AW31" i="25"/>
  <c r="BA31" i="25"/>
  <c r="AS31" i="25"/>
  <c r="BC32" i="25"/>
  <c r="AY32" i="25"/>
  <c r="AU32" i="25"/>
  <c r="AW12" i="25"/>
  <c r="BA12" i="25"/>
  <c r="AS12" i="25"/>
  <c r="BC11" i="25"/>
  <c r="AY11" i="25"/>
  <c r="AU11" i="25"/>
  <c r="BC13" i="25"/>
  <c r="AY13" i="25"/>
  <c r="AU13" i="25"/>
  <c r="BB14" i="25"/>
  <c r="AX14" i="25"/>
  <c r="AT14" i="25"/>
  <c r="BC34" i="25"/>
  <c r="AY34" i="25"/>
  <c r="AU34" i="25"/>
  <c r="BB10" i="25"/>
  <c r="AX10" i="25"/>
  <c r="AT10" i="25"/>
  <c r="BC20" i="25"/>
  <c r="AY20" i="25"/>
  <c r="AU20" i="25"/>
  <c r="BA15" i="25"/>
  <c r="AW15" i="25"/>
  <c r="AS15" i="25"/>
  <c r="AW19" i="25"/>
  <c r="BA19" i="25"/>
  <c r="AS19" i="25"/>
  <c r="BB9" i="25"/>
  <c r="AX9" i="25"/>
  <c r="AT9" i="25"/>
  <c r="BC16" i="25"/>
  <c r="AY16" i="25"/>
  <c r="AU16" i="25"/>
  <c r="BB22" i="25"/>
  <c r="AX22" i="25"/>
  <c r="AT22" i="25"/>
  <c r="BC26" i="25"/>
  <c r="AY26" i="25"/>
  <c r="AU26" i="25"/>
  <c r="BC25" i="25"/>
  <c r="AY25" i="25"/>
  <c r="AU25" i="25"/>
  <c r="BB24" i="25"/>
  <c r="AX24" i="25"/>
  <c r="AT24" i="25"/>
  <c r="BC31" i="25"/>
  <c r="AY31" i="25"/>
  <c r="AU31" i="25"/>
  <c r="AW34" i="25"/>
  <c r="BA34" i="25"/>
  <c r="AS34" i="25"/>
  <c r="BC9" i="25"/>
  <c r="AY9" i="25"/>
  <c r="AU9" i="25"/>
  <c r="BA16" i="25"/>
  <c r="AW16" i="25"/>
  <c r="AS16" i="25"/>
  <c r="AW10" i="25"/>
  <c r="BA10" i="25"/>
  <c r="AS10" i="25"/>
  <c r="BB8" i="25"/>
  <c r="AX8" i="25"/>
  <c r="AT8" i="25"/>
  <c r="BC24" i="25"/>
  <c r="AY24" i="25"/>
  <c r="AU24" i="25"/>
  <c r="AW21" i="25"/>
  <c r="BA21" i="25"/>
  <c r="AS21" i="25"/>
  <c r="BB28" i="25"/>
  <c r="AX28" i="25"/>
  <c r="AT28" i="25"/>
  <c r="BA11" i="25"/>
  <c r="AW11" i="25"/>
  <c r="AS11" i="25"/>
  <c r="BB33" i="25"/>
  <c r="AX33" i="25"/>
  <c r="AT33" i="25"/>
  <c r="AW27" i="25"/>
  <c r="BA27" i="25"/>
  <c r="AS27" i="25"/>
  <c r="BB6" i="25"/>
  <c r="AX6" i="25"/>
  <c r="AT6" i="25"/>
  <c r="BC6" i="25"/>
  <c r="AY6" i="25"/>
  <c r="AU6" i="25"/>
  <c r="BA29" i="25"/>
  <c r="AW29" i="25"/>
  <c r="AS29" i="25"/>
  <c r="BB16" i="25"/>
  <c r="AX16" i="25"/>
  <c r="AT16" i="25"/>
  <c r="AW33" i="25"/>
  <c r="BA33" i="25"/>
  <c r="AS33" i="25"/>
  <c r="BC33" i="25"/>
  <c r="AY33" i="25"/>
  <c r="AU33" i="25"/>
  <c r="BA22" i="25"/>
  <c r="AW22" i="25"/>
  <c r="AS22" i="25"/>
  <c r="BC5" i="25"/>
  <c r="AY5" i="25"/>
  <c r="AU5" i="25"/>
  <c r="J77" i="25"/>
  <c r="AD36" i="25"/>
  <c r="J128" i="25"/>
  <c r="I128" i="25"/>
  <c r="H128" i="25"/>
  <c r="I127" i="25"/>
  <c r="H127" i="25"/>
  <c r="J127" i="25"/>
  <c r="J108" i="25"/>
  <c r="H108" i="25"/>
  <c r="I108" i="25"/>
  <c r="H135" i="25"/>
  <c r="J135" i="25"/>
  <c r="I135" i="25"/>
  <c r="I107" i="25"/>
  <c r="J107" i="25"/>
  <c r="H107" i="25"/>
  <c r="J122" i="25"/>
  <c r="H122" i="25"/>
  <c r="I122" i="25"/>
  <c r="J125" i="25"/>
  <c r="I125" i="25"/>
  <c r="H125" i="25"/>
  <c r="J133" i="25"/>
  <c r="I133" i="25"/>
  <c r="H133" i="25"/>
  <c r="J109" i="25"/>
  <c r="I109" i="25"/>
  <c r="H109" i="25"/>
  <c r="I131" i="25"/>
  <c r="H131" i="25"/>
  <c r="J131" i="25"/>
  <c r="H129" i="25"/>
  <c r="I129" i="25"/>
  <c r="J129" i="25"/>
  <c r="I121" i="25"/>
  <c r="H121" i="25"/>
  <c r="J121" i="25"/>
  <c r="I115" i="25"/>
  <c r="H115" i="25"/>
  <c r="J115" i="25"/>
  <c r="H130" i="25"/>
  <c r="J130" i="25"/>
  <c r="I130" i="25"/>
  <c r="J117" i="25"/>
  <c r="I117" i="25"/>
  <c r="H117" i="25"/>
  <c r="H111" i="25"/>
  <c r="J111" i="25"/>
  <c r="I111" i="25"/>
  <c r="H118" i="25"/>
  <c r="J118" i="25"/>
  <c r="I118" i="25"/>
  <c r="I119" i="25"/>
  <c r="H119" i="25"/>
  <c r="J119" i="25"/>
  <c r="H110" i="25"/>
  <c r="J110" i="25"/>
  <c r="I110" i="25"/>
  <c r="I123" i="25"/>
  <c r="H123" i="25"/>
  <c r="J123" i="25"/>
  <c r="I124" i="25"/>
  <c r="J124" i="25"/>
  <c r="H124" i="25"/>
  <c r="J114" i="25"/>
  <c r="H114" i="25"/>
  <c r="I114" i="25"/>
  <c r="J120" i="25"/>
  <c r="I120" i="25"/>
  <c r="H120" i="25"/>
  <c r="J116" i="25"/>
  <c r="H116" i="25"/>
  <c r="I116" i="25"/>
  <c r="H126" i="25"/>
  <c r="J126" i="25"/>
  <c r="I126" i="25"/>
  <c r="J112" i="25"/>
  <c r="I112" i="25"/>
  <c r="H112" i="25"/>
  <c r="J136" i="25"/>
  <c r="I136" i="25"/>
  <c r="H136" i="25"/>
  <c r="J132" i="25"/>
  <c r="I132" i="25"/>
  <c r="H132" i="25"/>
  <c r="H134" i="25"/>
  <c r="J134" i="25"/>
  <c r="I134" i="25"/>
  <c r="J113" i="25"/>
  <c r="H113" i="25"/>
  <c r="I113" i="25"/>
  <c r="H86" i="25"/>
  <c r="J86" i="25"/>
  <c r="I86" i="25"/>
  <c r="I88" i="25"/>
  <c r="J88" i="25"/>
  <c r="H88" i="25"/>
  <c r="H94" i="25"/>
  <c r="I94" i="25"/>
  <c r="J94" i="25"/>
  <c r="I77" i="25"/>
  <c r="H77" i="25"/>
  <c r="J78" i="25"/>
  <c r="I78" i="25"/>
  <c r="H78" i="25"/>
  <c r="J106" i="25"/>
  <c r="I106" i="25"/>
  <c r="H106" i="25"/>
  <c r="I104" i="25"/>
  <c r="J104" i="25"/>
  <c r="H104" i="25"/>
  <c r="H103" i="25"/>
  <c r="J103" i="25"/>
  <c r="I103" i="25"/>
  <c r="H105" i="25"/>
  <c r="J105" i="25"/>
  <c r="I105" i="25"/>
  <c r="I96" i="25"/>
  <c r="J96" i="25"/>
  <c r="H96" i="25"/>
  <c r="H99" i="25"/>
  <c r="J99" i="25"/>
  <c r="I99" i="25"/>
  <c r="H92" i="25"/>
  <c r="J92" i="25"/>
  <c r="I92" i="25"/>
  <c r="H91" i="25"/>
  <c r="J91" i="25"/>
  <c r="I91" i="25"/>
  <c r="H87" i="25"/>
  <c r="J87" i="25"/>
  <c r="I87" i="25"/>
  <c r="I81" i="25"/>
  <c r="J81" i="25"/>
  <c r="H81" i="25"/>
  <c r="J82" i="25"/>
  <c r="I82" i="25"/>
  <c r="H82" i="25"/>
  <c r="J89" i="25"/>
  <c r="I89" i="25"/>
  <c r="H89" i="25"/>
  <c r="J101" i="25"/>
  <c r="I101" i="25"/>
  <c r="H101" i="25"/>
  <c r="I80" i="25"/>
  <c r="H80" i="25"/>
  <c r="J80" i="25"/>
  <c r="AP21" i="25"/>
  <c r="J85" i="25"/>
  <c r="I85" i="25"/>
  <c r="H85" i="25"/>
  <c r="H102" i="25"/>
  <c r="J102" i="25"/>
  <c r="I102" i="25"/>
  <c r="I100" i="25"/>
  <c r="H100" i="25"/>
  <c r="J100" i="25"/>
  <c r="I84" i="25"/>
  <c r="J84" i="25"/>
  <c r="H84" i="25"/>
  <c r="J93" i="25"/>
  <c r="I93" i="25"/>
  <c r="H93" i="25"/>
  <c r="J69" i="25"/>
  <c r="I69" i="25"/>
  <c r="H69" i="25"/>
  <c r="I54" i="25"/>
  <c r="H54" i="25"/>
  <c r="J54" i="25"/>
  <c r="I62" i="25"/>
  <c r="J62" i="25"/>
  <c r="H62" i="25"/>
  <c r="J53" i="25"/>
  <c r="I53" i="25"/>
  <c r="H53" i="25"/>
  <c r="I60" i="25"/>
  <c r="H60" i="25"/>
  <c r="J60" i="25"/>
  <c r="H68" i="25"/>
  <c r="J68" i="25"/>
  <c r="I68" i="25"/>
  <c r="H71" i="25"/>
  <c r="J71" i="25"/>
  <c r="I71" i="25"/>
  <c r="I75" i="25"/>
  <c r="H75" i="25"/>
  <c r="J75" i="25"/>
  <c r="J57" i="25"/>
  <c r="H57" i="25"/>
  <c r="I57" i="25"/>
  <c r="J61" i="25"/>
  <c r="I61" i="25"/>
  <c r="H61" i="25"/>
  <c r="I49" i="25"/>
  <c r="J49" i="25"/>
  <c r="H49" i="25"/>
  <c r="I70" i="25"/>
  <c r="H70" i="25"/>
  <c r="J70" i="25"/>
  <c r="J63" i="25"/>
  <c r="I63" i="25"/>
  <c r="H63" i="25"/>
  <c r="J74" i="25"/>
  <c r="I74" i="25"/>
  <c r="H74" i="25"/>
  <c r="I48" i="25"/>
  <c r="H48" i="25"/>
  <c r="J48" i="25"/>
  <c r="I64" i="25"/>
  <c r="H64" i="25"/>
  <c r="J64" i="25"/>
  <c r="J73" i="25"/>
  <c r="I73" i="25"/>
  <c r="H73" i="25"/>
  <c r="I76" i="25"/>
  <c r="J76" i="25"/>
  <c r="H76" i="25"/>
  <c r="H59" i="25"/>
  <c r="J59" i="25"/>
  <c r="I59" i="25"/>
  <c r="H67" i="25"/>
  <c r="J67" i="25"/>
  <c r="I67" i="25"/>
  <c r="J66" i="25"/>
  <c r="I66" i="25"/>
  <c r="H66" i="25"/>
  <c r="J50" i="25"/>
  <c r="I50" i="25"/>
  <c r="I52" i="25"/>
  <c r="H52" i="25"/>
  <c r="J52" i="25"/>
  <c r="J47" i="25"/>
  <c r="I47" i="25"/>
  <c r="I65" i="25"/>
  <c r="J65" i="25"/>
  <c r="H65" i="25"/>
  <c r="I72" i="25"/>
  <c r="H72" i="25"/>
  <c r="J72" i="25"/>
  <c r="J58" i="25"/>
  <c r="I58" i="25"/>
  <c r="H58" i="25"/>
  <c r="I56" i="25"/>
  <c r="J56" i="25"/>
  <c r="H56" i="25"/>
  <c r="H51" i="25"/>
  <c r="J51" i="25"/>
  <c r="I51" i="25"/>
  <c r="J55" i="25"/>
  <c r="I55" i="25"/>
  <c r="H55" i="25"/>
  <c r="AH21" i="25"/>
  <c r="T57" i="26"/>
  <c r="D83" i="25"/>
  <c r="AD9" i="25"/>
  <c r="T47" i="26" s="1"/>
  <c r="BF12" i="2"/>
  <c r="X50" i="2" s="1"/>
  <c r="AC45" i="2"/>
  <c r="F4" i="35" s="1"/>
  <c r="L4" i="35"/>
  <c r="AB45" i="2"/>
  <c r="E4" i="35" s="1"/>
  <c r="C83" i="25"/>
  <c r="AE4" i="25"/>
  <c r="C108" i="25"/>
  <c r="D108" i="25"/>
  <c r="B108" i="25"/>
  <c r="AD14" i="25"/>
  <c r="B88" i="25"/>
  <c r="C88" i="25"/>
  <c r="D88" i="25"/>
  <c r="D132" i="25"/>
  <c r="B132" i="25"/>
  <c r="C132" i="25"/>
  <c r="AE28" i="25"/>
  <c r="AE31" i="25"/>
  <c r="D135" i="25"/>
  <c r="C135" i="25"/>
  <c r="B135" i="25"/>
  <c r="B131" i="25"/>
  <c r="C131" i="25"/>
  <c r="D131" i="25"/>
  <c r="AE27" i="25"/>
  <c r="T62" i="26"/>
  <c r="AP26" i="25"/>
  <c r="AH26" i="25"/>
  <c r="AL26" i="25"/>
  <c r="C54" i="25"/>
  <c r="AC10" i="25"/>
  <c r="D54" i="25"/>
  <c r="B54" i="25"/>
  <c r="AC9" i="25"/>
  <c r="C53" i="25"/>
  <c r="D53" i="25"/>
  <c r="B53" i="25"/>
  <c r="C111" i="25"/>
  <c r="D111" i="25"/>
  <c r="AE7" i="25"/>
  <c r="B111" i="25"/>
  <c r="D62" i="25"/>
  <c r="AC18" i="25"/>
  <c r="C62" i="25"/>
  <c r="B62" i="25"/>
  <c r="AP23" i="25"/>
  <c r="AH23" i="25"/>
  <c r="AL23" i="25"/>
  <c r="T59" i="26"/>
  <c r="C130" i="25"/>
  <c r="AE26" i="25"/>
  <c r="D130" i="25"/>
  <c r="B130" i="25"/>
  <c r="B101" i="25"/>
  <c r="D101" i="25"/>
  <c r="AD27" i="25"/>
  <c r="C101" i="25"/>
  <c r="B118" i="25"/>
  <c r="AE14" i="25"/>
  <c r="C118" i="25"/>
  <c r="D118" i="25"/>
  <c r="AC16" i="25"/>
  <c r="C60" i="25"/>
  <c r="D60" i="25"/>
  <c r="B60" i="25"/>
  <c r="C125" i="25"/>
  <c r="D125" i="25"/>
  <c r="B125" i="25"/>
  <c r="AE21" i="25"/>
  <c r="D67" i="25"/>
  <c r="B67" i="25"/>
  <c r="AC23" i="25"/>
  <c r="C67" i="25"/>
  <c r="AL24" i="25"/>
  <c r="AH24" i="25"/>
  <c r="AP24" i="25"/>
  <c r="T60" i="26"/>
  <c r="B133" i="25"/>
  <c r="AE29" i="25"/>
  <c r="C133" i="25"/>
  <c r="D133" i="25"/>
  <c r="D115" i="25"/>
  <c r="AE11" i="25"/>
  <c r="B115" i="25"/>
  <c r="C115" i="25"/>
  <c r="B89" i="25"/>
  <c r="D89" i="25"/>
  <c r="AD15" i="25"/>
  <c r="C89" i="25"/>
  <c r="AC14" i="25"/>
  <c r="D58" i="25"/>
  <c r="B58" i="25"/>
  <c r="C58" i="25"/>
  <c r="AC13" i="25"/>
  <c r="D57" i="25"/>
  <c r="B57" i="25"/>
  <c r="C57" i="25"/>
  <c r="D66" i="25"/>
  <c r="B66" i="25"/>
  <c r="AC22" i="25"/>
  <c r="C66" i="25"/>
  <c r="C109" i="25"/>
  <c r="AE5" i="25"/>
  <c r="B109" i="25"/>
  <c r="D109" i="25"/>
  <c r="C64" i="25"/>
  <c r="D64" i="25"/>
  <c r="B64" i="25"/>
  <c r="AC20" i="25"/>
  <c r="D110" i="25"/>
  <c r="AE6" i="25"/>
  <c r="B110" i="25"/>
  <c r="C110" i="25"/>
  <c r="D102" i="25"/>
  <c r="B102" i="25"/>
  <c r="C102" i="25"/>
  <c r="AD28" i="25"/>
  <c r="B69" i="25"/>
  <c r="C69" i="25"/>
  <c r="AC25" i="25"/>
  <c r="D69" i="25"/>
  <c r="AM11" i="25"/>
  <c r="T82" i="26"/>
  <c r="AQ11" i="25"/>
  <c r="AI11" i="25"/>
  <c r="C123" i="25"/>
  <c r="D123" i="25"/>
  <c r="AE19" i="25"/>
  <c r="B123" i="25"/>
  <c r="AO13" i="25"/>
  <c r="T14" i="26"/>
  <c r="AK13" i="25"/>
  <c r="AG13" i="25"/>
  <c r="C78" i="25"/>
  <c r="D78" i="25"/>
  <c r="AD4" i="25"/>
  <c r="B78" i="25"/>
  <c r="AH22" i="25"/>
  <c r="AL22" i="25"/>
  <c r="T58" i="26"/>
  <c r="AP22" i="25"/>
  <c r="T29" i="26"/>
  <c r="AK28" i="25"/>
  <c r="AO28" i="25"/>
  <c r="AG28" i="25"/>
  <c r="B75" i="25"/>
  <c r="AC31" i="25"/>
  <c r="C75" i="25"/>
  <c r="D75" i="25"/>
  <c r="B92" i="25"/>
  <c r="D92" i="25"/>
  <c r="C92" i="25"/>
  <c r="AD18" i="25"/>
  <c r="C122" i="25"/>
  <c r="D122" i="25"/>
  <c r="B122" i="25"/>
  <c r="AE18" i="25"/>
  <c r="AU44" i="25"/>
  <c r="AV44" i="25"/>
  <c r="AE3" i="25"/>
  <c r="D107" i="25"/>
  <c r="B107" i="25"/>
  <c r="C107" i="25"/>
  <c r="B80" i="25"/>
  <c r="C80" i="25"/>
  <c r="AD6" i="25"/>
  <c r="D80" i="25"/>
  <c r="C85" i="25"/>
  <c r="D85" i="25"/>
  <c r="B85" i="25"/>
  <c r="AD11" i="25"/>
  <c r="T54" i="26"/>
  <c r="AP18" i="25"/>
  <c r="AH18" i="25"/>
  <c r="AL18" i="25"/>
  <c r="C47" i="25"/>
  <c r="D47" i="25"/>
  <c r="B47" i="25"/>
  <c r="AD26" i="25"/>
  <c r="D100" i="25"/>
  <c r="C100" i="25"/>
  <c r="B100" i="25"/>
  <c r="B76" i="25"/>
  <c r="C76" i="25"/>
  <c r="D76" i="25"/>
  <c r="AC32" i="25"/>
  <c r="C71" i="25"/>
  <c r="B71" i="25"/>
  <c r="D71" i="25"/>
  <c r="AC27" i="25"/>
  <c r="C86" i="25"/>
  <c r="D86" i="25"/>
  <c r="AD12" i="25"/>
  <c r="B86" i="25"/>
  <c r="C120" i="25"/>
  <c r="B120" i="25"/>
  <c r="D120" i="25"/>
  <c r="AE16" i="25"/>
  <c r="AC4" i="25"/>
  <c r="AG6" i="25" s="1"/>
  <c r="C48" i="25"/>
  <c r="D48" i="25"/>
  <c r="B48" i="25"/>
  <c r="C82" i="25"/>
  <c r="D82" i="25"/>
  <c r="B82" i="25"/>
  <c r="AD8" i="25"/>
  <c r="B119" i="25"/>
  <c r="D119" i="25"/>
  <c r="C119" i="25"/>
  <c r="AE15" i="25"/>
  <c r="C65" i="25"/>
  <c r="D65" i="25"/>
  <c r="AC21" i="25"/>
  <c r="B65" i="25"/>
  <c r="AC15" i="25"/>
  <c r="C59" i="25"/>
  <c r="D59" i="25"/>
  <c r="B59" i="25"/>
  <c r="B103" i="25"/>
  <c r="C103" i="25"/>
  <c r="AD29" i="25"/>
  <c r="D103" i="25"/>
  <c r="W51" i="2"/>
  <c r="BF18" i="2"/>
  <c r="X51" i="2" s="1"/>
  <c r="T61" i="26"/>
  <c r="AL25" i="25"/>
  <c r="AP25" i="25"/>
  <c r="AH25" i="25"/>
  <c r="B127" i="25"/>
  <c r="C127" i="25"/>
  <c r="D127" i="25"/>
  <c r="AE23" i="25"/>
  <c r="AU45" i="25"/>
  <c r="AV45" i="25"/>
  <c r="AT45" i="25"/>
  <c r="AW45" i="25"/>
  <c r="W52" i="2"/>
  <c r="BF24" i="2"/>
  <c r="X52" i="2" s="1"/>
  <c r="AE25" i="25"/>
  <c r="B129" i="25"/>
  <c r="C129" i="25"/>
  <c r="D129" i="25"/>
  <c r="D50" i="25"/>
  <c r="B50" i="25"/>
  <c r="C50" i="25"/>
  <c r="AC6" i="25"/>
  <c r="C77" i="25"/>
  <c r="D77" i="25"/>
  <c r="B77" i="25"/>
  <c r="AD3" i="25"/>
  <c r="AE10" i="25"/>
  <c r="D114" i="25"/>
  <c r="B114" i="25"/>
  <c r="C114" i="25"/>
  <c r="B74" i="25"/>
  <c r="D74" i="25"/>
  <c r="C74" i="25"/>
  <c r="AC30" i="25"/>
  <c r="B121" i="25"/>
  <c r="C121" i="25"/>
  <c r="D121" i="25"/>
  <c r="AE17" i="25"/>
  <c r="C117" i="25"/>
  <c r="D117" i="25"/>
  <c r="AE13" i="25"/>
  <c r="B117" i="25"/>
  <c r="AD10" i="25"/>
  <c r="B84" i="25"/>
  <c r="C84" i="25"/>
  <c r="D84" i="25"/>
  <c r="C73" i="25"/>
  <c r="AC29" i="25"/>
  <c r="D73" i="25"/>
  <c r="B73" i="25"/>
  <c r="AC12" i="25"/>
  <c r="C56" i="25"/>
  <c r="B56" i="25"/>
  <c r="D56" i="25"/>
  <c r="B106" i="25"/>
  <c r="AD32" i="25"/>
  <c r="C106" i="25"/>
  <c r="D106" i="25"/>
  <c r="AE12" i="25"/>
  <c r="B116" i="25"/>
  <c r="C116" i="25"/>
  <c r="D116" i="25"/>
  <c r="B61" i="25"/>
  <c r="C61" i="25"/>
  <c r="AC17" i="25"/>
  <c r="D61" i="25"/>
  <c r="B105" i="25"/>
  <c r="C105" i="25"/>
  <c r="D105" i="25"/>
  <c r="AD31" i="25"/>
  <c r="D49" i="25"/>
  <c r="B49" i="25"/>
  <c r="C49" i="25"/>
  <c r="AC5" i="25"/>
  <c r="C99" i="25"/>
  <c r="B99" i="25"/>
  <c r="D99" i="25"/>
  <c r="AD25" i="25"/>
  <c r="AC28" i="25"/>
  <c r="C72" i="25"/>
  <c r="D72" i="25"/>
  <c r="B72" i="25"/>
  <c r="T43" i="26"/>
  <c r="AP7" i="25"/>
  <c r="AL7" i="25"/>
  <c r="AH7" i="25"/>
  <c r="AE20" i="25"/>
  <c r="B124" i="25"/>
  <c r="D124" i="25"/>
  <c r="C124" i="25"/>
  <c r="D136" i="25"/>
  <c r="C136" i="25"/>
  <c r="B136" i="25"/>
  <c r="AE32" i="25"/>
  <c r="C104" i="25"/>
  <c r="D104" i="25"/>
  <c r="B104" i="25"/>
  <c r="AD30" i="25"/>
  <c r="B134" i="25"/>
  <c r="C134" i="25"/>
  <c r="D134" i="25"/>
  <c r="AE30" i="25"/>
  <c r="AC8" i="25"/>
  <c r="B52" i="25"/>
  <c r="C52" i="25"/>
  <c r="D52" i="25"/>
  <c r="AD7" i="25"/>
  <c r="C81" i="25"/>
  <c r="B81" i="25"/>
  <c r="D81" i="25"/>
  <c r="B126" i="25"/>
  <c r="C126" i="25"/>
  <c r="D126" i="25"/>
  <c r="AE22" i="25"/>
  <c r="B51" i="25"/>
  <c r="AC7" i="25"/>
  <c r="C51" i="25"/>
  <c r="D51" i="25"/>
  <c r="AD17" i="25"/>
  <c r="D91" i="25"/>
  <c r="B91" i="25"/>
  <c r="C91" i="25"/>
  <c r="B128" i="25"/>
  <c r="C128" i="25"/>
  <c r="AE24" i="25"/>
  <c r="D128" i="25"/>
  <c r="C63" i="25"/>
  <c r="D63" i="25"/>
  <c r="AC19" i="25"/>
  <c r="AG21" i="25" s="1"/>
  <c r="B63" i="25"/>
  <c r="D112" i="25"/>
  <c r="B112" i="25"/>
  <c r="C112" i="25"/>
  <c r="AE8" i="25"/>
  <c r="AV46" i="25"/>
  <c r="AU46" i="25"/>
  <c r="AT46" i="25"/>
  <c r="AW46" i="25"/>
  <c r="AC24" i="25"/>
  <c r="B68" i="25"/>
  <c r="C68" i="25"/>
  <c r="D68" i="25"/>
  <c r="B87" i="25"/>
  <c r="C87" i="25"/>
  <c r="D87" i="25"/>
  <c r="AD13" i="25"/>
  <c r="AU54" i="25" l="1"/>
  <c r="AA4" i="35" s="1"/>
  <c r="AT54" i="25"/>
  <c r="Y4" i="35" s="1"/>
  <c r="AV54" i="25"/>
  <c r="AC4" i="35" s="1"/>
  <c r="M57" i="26"/>
  <c r="V57" i="26"/>
  <c r="W57" i="26"/>
  <c r="W60" i="26"/>
  <c r="V60" i="26"/>
  <c r="W14" i="26"/>
  <c r="V14" i="26"/>
  <c r="V54" i="26"/>
  <c r="W54" i="26"/>
  <c r="V43" i="26"/>
  <c r="W43" i="26"/>
  <c r="V61" i="26"/>
  <c r="W61" i="26"/>
  <c r="V59" i="26"/>
  <c r="W59" i="26"/>
  <c r="W29" i="26"/>
  <c r="V29" i="26"/>
  <c r="V58" i="26"/>
  <c r="W58" i="26"/>
  <c r="W82" i="26"/>
  <c r="V82" i="26"/>
  <c r="W62" i="26"/>
  <c r="V62" i="26"/>
  <c r="V47" i="26"/>
  <c r="W47" i="26"/>
  <c r="AH54" i="25"/>
  <c r="X4" i="35" s="1"/>
  <c r="AH50" i="25"/>
  <c r="AU50" i="25"/>
  <c r="BB5" i="25"/>
  <c r="AV38" i="25" s="1"/>
  <c r="AO4" i="35" s="1"/>
  <c r="AX5" i="25"/>
  <c r="AU38" i="25" s="1"/>
  <c r="AM4" i="35" s="1"/>
  <c r="AT5" i="25"/>
  <c r="AT38" i="25" s="1"/>
  <c r="AK4" i="35" s="1"/>
  <c r="AT50" i="25"/>
  <c r="BA8" i="25"/>
  <c r="AW8" i="25"/>
  <c r="AS8" i="25"/>
  <c r="AJ54" i="25"/>
  <c r="AB4" i="35" s="1"/>
  <c r="AV50" i="25"/>
  <c r="AT52" i="25"/>
  <c r="BI4" i="35" s="1"/>
  <c r="AV51" i="25"/>
  <c r="AI54" i="25"/>
  <c r="Z4" i="35" s="1"/>
  <c r="AV52" i="25"/>
  <c r="BM4" i="35" s="1"/>
  <c r="AT39" i="25"/>
  <c r="AQ4" i="35" s="1"/>
  <c r="AT51" i="25"/>
  <c r="AU52" i="25"/>
  <c r="BK4" i="35" s="1"/>
  <c r="AU39" i="25"/>
  <c r="AS4" i="35" s="1"/>
  <c r="AU51" i="25"/>
  <c r="AV39" i="25"/>
  <c r="AU4" i="35" s="1"/>
  <c r="AS5" i="25"/>
  <c r="AW5" i="25"/>
  <c r="BA5" i="25"/>
  <c r="P57" i="26"/>
  <c r="O57" i="26"/>
  <c r="L57" i="26"/>
  <c r="AH11" i="25"/>
  <c r="R84" i="36"/>
  <c r="N84" i="36"/>
  <c r="I84" i="36"/>
  <c r="E84" i="36"/>
  <c r="F84" i="36"/>
  <c r="Q84" i="36"/>
  <c r="M84" i="36"/>
  <c r="H84" i="36"/>
  <c r="D84" i="36"/>
  <c r="K84" i="36"/>
  <c r="B84" i="36"/>
  <c r="P84" i="36"/>
  <c r="L84" i="36"/>
  <c r="G84" i="36"/>
  <c r="C84" i="36"/>
  <c r="O84" i="36"/>
  <c r="P60" i="36"/>
  <c r="L60" i="36"/>
  <c r="G60" i="36"/>
  <c r="C60" i="36"/>
  <c r="O60" i="36"/>
  <c r="K60" i="36"/>
  <c r="F60" i="36"/>
  <c r="B60" i="36"/>
  <c r="R60" i="36"/>
  <c r="N60" i="36"/>
  <c r="I60" i="36"/>
  <c r="E60" i="36"/>
  <c r="Q60" i="36"/>
  <c r="M60" i="36"/>
  <c r="H60" i="36"/>
  <c r="D60" i="36"/>
  <c r="P49" i="36"/>
  <c r="L49" i="36"/>
  <c r="G49" i="36"/>
  <c r="C49" i="36"/>
  <c r="H49" i="36"/>
  <c r="O49" i="36"/>
  <c r="K49" i="36"/>
  <c r="F49" i="36"/>
  <c r="B49" i="36"/>
  <c r="M49" i="36"/>
  <c r="R49" i="36"/>
  <c r="N49" i="36"/>
  <c r="I49" i="36"/>
  <c r="E49" i="36"/>
  <c r="Q49" i="36"/>
  <c r="D49" i="36"/>
  <c r="Q45" i="36"/>
  <c r="M45" i="36"/>
  <c r="H45" i="36"/>
  <c r="D45" i="36"/>
  <c r="R45" i="36"/>
  <c r="E45" i="36"/>
  <c r="P45" i="36"/>
  <c r="L45" i="36"/>
  <c r="G45" i="36"/>
  <c r="C45" i="36"/>
  <c r="N45" i="36"/>
  <c r="O45" i="36"/>
  <c r="K45" i="36"/>
  <c r="F45" i="36"/>
  <c r="B45" i="36"/>
  <c r="I45" i="36"/>
  <c r="P56" i="36"/>
  <c r="L56" i="36"/>
  <c r="G56" i="36"/>
  <c r="C56" i="36"/>
  <c r="O56" i="36"/>
  <c r="K56" i="36"/>
  <c r="F56" i="36"/>
  <c r="B56" i="36"/>
  <c r="R56" i="36"/>
  <c r="N56" i="36"/>
  <c r="I56" i="36"/>
  <c r="E56" i="36"/>
  <c r="Q56" i="36"/>
  <c r="M56" i="36"/>
  <c r="H56" i="36"/>
  <c r="D56" i="36"/>
  <c r="P64" i="36"/>
  <c r="L64" i="36"/>
  <c r="G64" i="36"/>
  <c r="C64" i="36"/>
  <c r="O64" i="36"/>
  <c r="K64" i="36"/>
  <c r="F64" i="36"/>
  <c r="B64" i="36"/>
  <c r="R64" i="36"/>
  <c r="N64" i="36"/>
  <c r="I64" i="36"/>
  <c r="E64" i="36"/>
  <c r="Q64" i="36"/>
  <c r="M64" i="36"/>
  <c r="H64" i="36"/>
  <c r="D64" i="36"/>
  <c r="N57" i="26"/>
  <c r="P59" i="36"/>
  <c r="L59" i="36"/>
  <c r="G59" i="36"/>
  <c r="C59" i="36"/>
  <c r="O59" i="36"/>
  <c r="K59" i="36"/>
  <c r="F59" i="36"/>
  <c r="B59" i="36"/>
  <c r="R59" i="36"/>
  <c r="N59" i="36"/>
  <c r="I59" i="36"/>
  <c r="E59" i="36"/>
  <c r="Q59" i="36"/>
  <c r="M59" i="36"/>
  <c r="H59" i="36"/>
  <c r="D59" i="36"/>
  <c r="P63" i="36"/>
  <c r="L63" i="36"/>
  <c r="G63" i="36"/>
  <c r="C63" i="36"/>
  <c r="O63" i="36"/>
  <c r="K63" i="36"/>
  <c r="F63" i="36"/>
  <c r="B63" i="36"/>
  <c r="R63" i="36"/>
  <c r="N63" i="36"/>
  <c r="I63" i="36"/>
  <c r="E63" i="36"/>
  <c r="Q63" i="36"/>
  <c r="M63" i="36"/>
  <c r="H63" i="36"/>
  <c r="D63" i="36"/>
  <c r="P62" i="36"/>
  <c r="L62" i="36"/>
  <c r="G62" i="36"/>
  <c r="C62" i="36"/>
  <c r="O62" i="36"/>
  <c r="K62" i="36"/>
  <c r="F62" i="36"/>
  <c r="B62" i="36"/>
  <c r="R62" i="36"/>
  <c r="N62" i="36"/>
  <c r="I62" i="36"/>
  <c r="E62" i="36"/>
  <c r="Q62" i="36"/>
  <c r="M62" i="36"/>
  <c r="H62" i="36"/>
  <c r="D62" i="36"/>
  <c r="P61" i="36"/>
  <c r="L61" i="36"/>
  <c r="G61" i="36"/>
  <c r="C61" i="36"/>
  <c r="O61" i="36"/>
  <c r="K61" i="36"/>
  <c r="F61" i="36"/>
  <c r="B61" i="36"/>
  <c r="R61" i="36"/>
  <c r="N61" i="36"/>
  <c r="I61" i="36"/>
  <c r="E61" i="36"/>
  <c r="Q61" i="36"/>
  <c r="M61" i="36"/>
  <c r="H61" i="36"/>
  <c r="D61" i="36"/>
  <c r="R16" i="36"/>
  <c r="P16" i="36"/>
  <c r="N16" i="36"/>
  <c r="L16" i="36"/>
  <c r="I16" i="36"/>
  <c r="G16" i="36"/>
  <c r="Q16" i="36"/>
  <c r="O16" i="36"/>
  <c r="M16" i="36"/>
  <c r="K16" i="36"/>
  <c r="H16" i="36"/>
  <c r="E16" i="36"/>
  <c r="C16" i="36"/>
  <c r="F16" i="36"/>
  <c r="D16" i="36"/>
  <c r="B16" i="36"/>
  <c r="Q31" i="36"/>
  <c r="O31" i="36"/>
  <c r="M31" i="36"/>
  <c r="K31" i="36"/>
  <c r="H31" i="36"/>
  <c r="R31" i="36"/>
  <c r="P31" i="36"/>
  <c r="N31" i="36"/>
  <c r="L31" i="36"/>
  <c r="I31" i="36"/>
  <c r="G31" i="36"/>
  <c r="C31" i="36"/>
  <c r="F31" i="36"/>
  <c r="D31" i="36"/>
  <c r="B31" i="36"/>
  <c r="E31" i="36"/>
  <c r="Q57" i="26"/>
  <c r="R57" i="26"/>
  <c r="AL11" i="25"/>
  <c r="AP11" i="25"/>
  <c r="K57" i="26"/>
  <c r="X53" i="2"/>
  <c r="AU47" i="25"/>
  <c r="BR4" i="35" s="1"/>
  <c r="T55" i="26"/>
  <c r="AP19" i="25"/>
  <c r="AL19" i="25"/>
  <c r="AH19" i="25"/>
  <c r="AI51" i="25"/>
  <c r="BD4" i="35" s="1"/>
  <c r="N29" i="26"/>
  <c r="O29" i="26"/>
  <c r="Q29" i="26"/>
  <c r="K29" i="26"/>
  <c r="L29" i="26"/>
  <c r="P29" i="26"/>
  <c r="R29" i="26"/>
  <c r="M29" i="26"/>
  <c r="AK24" i="25"/>
  <c r="AG24" i="25"/>
  <c r="T25" i="26"/>
  <c r="AO24" i="25"/>
  <c r="T101" i="26"/>
  <c r="AQ30" i="25"/>
  <c r="AM30" i="25"/>
  <c r="AI30" i="25"/>
  <c r="AO32" i="25"/>
  <c r="AG32" i="25"/>
  <c r="AK32" i="25"/>
  <c r="T33" i="26"/>
  <c r="AT47" i="25"/>
  <c r="BQ4" i="35" s="1"/>
  <c r="M82" i="26"/>
  <c r="Q82" i="26"/>
  <c r="N82" i="26"/>
  <c r="O82" i="26"/>
  <c r="P82" i="26"/>
  <c r="L82" i="26"/>
  <c r="R82" i="26"/>
  <c r="K82" i="26"/>
  <c r="AL30" i="25"/>
  <c r="T66" i="26"/>
  <c r="AH30" i="25"/>
  <c r="AP30" i="25"/>
  <c r="AM9" i="25"/>
  <c r="AI9" i="25"/>
  <c r="T80" i="26"/>
  <c r="AQ9" i="25"/>
  <c r="AK11" i="25"/>
  <c r="AO11" i="25"/>
  <c r="AG11" i="25"/>
  <c r="T12" i="26"/>
  <c r="T52" i="26"/>
  <c r="AL16" i="25"/>
  <c r="AP16" i="25"/>
  <c r="AH16" i="25"/>
  <c r="T83" i="26"/>
  <c r="AM12" i="25"/>
  <c r="AI12" i="25"/>
  <c r="AQ12" i="25"/>
  <c r="T98" i="26"/>
  <c r="AQ27" i="25"/>
  <c r="AI27" i="25"/>
  <c r="AM27" i="25"/>
  <c r="AP31" i="25"/>
  <c r="AL31" i="25"/>
  <c r="AH31" i="25"/>
  <c r="T67" i="26"/>
  <c r="AK17" i="25"/>
  <c r="AG17" i="25"/>
  <c r="T18" i="26"/>
  <c r="AO17" i="25"/>
  <c r="T7" i="26"/>
  <c r="AO6" i="25"/>
  <c r="AK6" i="25"/>
  <c r="T50" i="26"/>
  <c r="AP14" i="25"/>
  <c r="AL14" i="25"/>
  <c r="AH14" i="25"/>
  <c r="AO5" i="25"/>
  <c r="AK5" i="25"/>
  <c r="T6" i="26"/>
  <c r="AK44" i="25"/>
  <c r="AW47" i="25"/>
  <c r="N58" i="26"/>
  <c r="Q58" i="26"/>
  <c r="O58" i="26"/>
  <c r="P58" i="26"/>
  <c r="R58" i="26"/>
  <c r="L58" i="26"/>
  <c r="K58" i="26"/>
  <c r="M58" i="26"/>
  <c r="AI21" i="25"/>
  <c r="AM21" i="25"/>
  <c r="T92" i="26"/>
  <c r="AQ21" i="25"/>
  <c r="AQ23" i="25"/>
  <c r="T94" i="26"/>
  <c r="AM23" i="25"/>
  <c r="AI23" i="25"/>
  <c r="AI28" i="25"/>
  <c r="T99" i="26"/>
  <c r="AQ28" i="25"/>
  <c r="AM28" i="25"/>
  <c r="AI14" i="25"/>
  <c r="T85" i="26"/>
  <c r="AM14" i="25"/>
  <c r="AQ14" i="25"/>
  <c r="AJ50" i="25"/>
  <c r="T44" i="26"/>
  <c r="AH8" i="25"/>
  <c r="AP8" i="25"/>
  <c r="AL8" i="25"/>
  <c r="AH6" i="25"/>
  <c r="T42" i="26"/>
  <c r="AP6" i="25"/>
  <c r="AL6" i="25"/>
  <c r="AO15" i="25"/>
  <c r="AK15" i="25"/>
  <c r="T16" i="26"/>
  <c r="AG15" i="25"/>
  <c r="AL33" i="25"/>
  <c r="T69" i="26"/>
  <c r="AP33" i="25"/>
  <c r="AH33" i="25"/>
  <c r="T9" i="26"/>
  <c r="AK8" i="25"/>
  <c r="AO8" i="25"/>
  <c r="AG8" i="25"/>
  <c r="AP10" i="25"/>
  <c r="T46" i="26"/>
  <c r="AL10" i="25"/>
  <c r="AH10" i="25"/>
  <c r="R47" i="26"/>
  <c r="P47" i="26"/>
  <c r="L47" i="26"/>
  <c r="Q47" i="26"/>
  <c r="M47" i="26"/>
  <c r="K47" i="26"/>
  <c r="N47" i="26"/>
  <c r="O47" i="26"/>
  <c r="AH20" i="25"/>
  <c r="T56" i="26"/>
  <c r="AP20" i="25"/>
  <c r="AL20" i="25"/>
  <c r="AQ8" i="25"/>
  <c r="AM8" i="25"/>
  <c r="AI8" i="25"/>
  <c r="T79" i="26"/>
  <c r="AK21" i="25"/>
  <c r="T22" i="26"/>
  <c r="AO21" i="25"/>
  <c r="T93" i="26"/>
  <c r="AQ22" i="25"/>
  <c r="AM22" i="25"/>
  <c r="AI22" i="25"/>
  <c r="T15" i="26"/>
  <c r="AO14" i="25"/>
  <c r="AK14" i="25"/>
  <c r="AG14" i="25"/>
  <c r="AL15" i="25"/>
  <c r="AH15" i="25"/>
  <c r="T51" i="26"/>
  <c r="AP15" i="25"/>
  <c r="AM10" i="25"/>
  <c r="AI10" i="25"/>
  <c r="T81" i="26"/>
  <c r="AQ10" i="25"/>
  <c r="AO9" i="25"/>
  <c r="AG9" i="25"/>
  <c r="T10" i="26"/>
  <c r="AK9" i="25"/>
  <c r="AL32" i="25"/>
  <c r="AP32" i="25"/>
  <c r="AH32" i="25"/>
  <c r="T68" i="26"/>
  <c r="T8" i="26"/>
  <c r="AO7" i="25"/>
  <c r="AG7" i="25"/>
  <c r="AK7" i="25"/>
  <c r="AH34" i="25"/>
  <c r="AL34" i="25"/>
  <c r="T70" i="26"/>
  <c r="AP34" i="25"/>
  <c r="AQ19" i="25"/>
  <c r="AI19" i="25"/>
  <c r="T90" i="26"/>
  <c r="AM19" i="25"/>
  <c r="T41" i="26"/>
  <c r="AK45" i="25"/>
  <c r="AL5" i="25"/>
  <c r="AP5" i="25"/>
  <c r="AH5" i="25"/>
  <c r="T96" i="26"/>
  <c r="AM25" i="25"/>
  <c r="AI25" i="25"/>
  <c r="AQ25" i="25"/>
  <c r="AI18" i="25"/>
  <c r="T89" i="26"/>
  <c r="AQ18" i="25"/>
  <c r="AM18" i="25"/>
  <c r="AK34" i="25"/>
  <c r="T35" i="26"/>
  <c r="AG34" i="25"/>
  <c r="AO34" i="25"/>
  <c r="AI52" i="25"/>
  <c r="BJ4" i="35" s="1"/>
  <c r="T91" i="26"/>
  <c r="AQ20" i="25"/>
  <c r="AM20" i="25"/>
  <c r="AI20" i="25"/>
  <c r="AO22" i="25"/>
  <c r="T23" i="26"/>
  <c r="AK22" i="25"/>
  <c r="AG22" i="25"/>
  <c r="AM7" i="25"/>
  <c r="T78" i="26"/>
  <c r="AQ7" i="25"/>
  <c r="AI7" i="25"/>
  <c r="T102" i="26"/>
  <c r="AQ31" i="25"/>
  <c r="AM31" i="25"/>
  <c r="AI31" i="25"/>
  <c r="AG18" i="25"/>
  <c r="T19" i="26"/>
  <c r="AO18" i="25"/>
  <c r="AK18" i="25"/>
  <c r="AH29" i="25"/>
  <c r="T65" i="26"/>
  <c r="AP29" i="25"/>
  <c r="AL29" i="25"/>
  <c r="P62" i="26"/>
  <c r="R62" i="26"/>
  <c r="M62" i="26"/>
  <c r="K62" i="26"/>
  <c r="N62" i="26"/>
  <c r="O62" i="26"/>
  <c r="L62" i="26"/>
  <c r="Q62" i="26"/>
  <c r="AI17" i="25"/>
  <c r="AQ17" i="25"/>
  <c r="T88" i="26"/>
  <c r="AM17" i="25"/>
  <c r="AO26" i="25"/>
  <c r="AG26" i="25"/>
  <c r="AK26" i="25"/>
  <c r="T27" i="26"/>
  <c r="AK10" i="25"/>
  <c r="T11" i="26"/>
  <c r="AO10" i="25"/>
  <c r="AG10" i="25"/>
  <c r="AO30" i="25"/>
  <c r="AG30" i="25"/>
  <c r="T31" i="26"/>
  <c r="AK30" i="25"/>
  <c r="AP12" i="25"/>
  <c r="AH12" i="25"/>
  <c r="AL12" i="25"/>
  <c r="T48" i="26"/>
  <c r="AH51" i="25"/>
  <c r="BB4" i="35" s="1"/>
  <c r="M61" i="26"/>
  <c r="R61" i="26"/>
  <c r="O61" i="26"/>
  <c r="Q61" i="26"/>
  <c r="L61" i="26"/>
  <c r="K61" i="26"/>
  <c r="N61" i="26"/>
  <c r="P61" i="26"/>
  <c r="AK23" i="25"/>
  <c r="T24" i="26"/>
  <c r="AO23" i="25"/>
  <c r="AG23" i="25"/>
  <c r="AP28" i="25"/>
  <c r="AH28" i="25"/>
  <c r="T64" i="26"/>
  <c r="AL28" i="25"/>
  <c r="AH52" i="25"/>
  <c r="BH4" i="35" s="1"/>
  <c r="T28" i="26"/>
  <c r="AK27" i="25"/>
  <c r="AG27" i="25"/>
  <c r="AO27" i="25"/>
  <c r="AK16" i="25"/>
  <c r="T17" i="26"/>
  <c r="AO16" i="25"/>
  <c r="AG16" i="25"/>
  <c r="L59" i="26"/>
  <c r="K59" i="26"/>
  <c r="M59" i="26"/>
  <c r="Q59" i="26"/>
  <c r="O59" i="26"/>
  <c r="P59" i="26"/>
  <c r="R59" i="26"/>
  <c r="N59" i="26"/>
  <c r="AG20" i="25"/>
  <c r="T21" i="26"/>
  <c r="AO20" i="25"/>
  <c r="AK20" i="25"/>
  <c r="T13" i="26"/>
  <c r="AO12" i="25"/>
  <c r="AK12" i="25"/>
  <c r="AG12" i="25"/>
  <c r="AQ29" i="25"/>
  <c r="AM29" i="25"/>
  <c r="AI29" i="25"/>
  <c r="T100" i="26"/>
  <c r="T97" i="26"/>
  <c r="AI26" i="25"/>
  <c r="AQ26" i="25"/>
  <c r="AM26" i="25"/>
  <c r="AH9" i="25"/>
  <c r="AP9" i="25"/>
  <c r="T45" i="26"/>
  <c r="AL9" i="25"/>
  <c r="M43" i="26"/>
  <c r="K43" i="26"/>
  <c r="N43" i="26"/>
  <c r="Q43" i="26"/>
  <c r="P43" i="26"/>
  <c r="R43" i="26"/>
  <c r="L43" i="26"/>
  <c r="O43" i="26"/>
  <c r="T20" i="26"/>
  <c r="AO19" i="25"/>
  <c r="AK19" i="25"/>
  <c r="AG19" i="25"/>
  <c r="AQ15" i="25"/>
  <c r="AM15" i="25"/>
  <c r="AI15" i="25"/>
  <c r="T86" i="26"/>
  <c r="P54" i="26"/>
  <c r="R54" i="26"/>
  <c r="L54" i="26"/>
  <c r="K54" i="26"/>
  <c r="M54" i="26"/>
  <c r="Q54" i="26"/>
  <c r="N54" i="26"/>
  <c r="O54" i="26"/>
  <c r="AM5" i="25"/>
  <c r="AI5" i="25"/>
  <c r="AQ5" i="25"/>
  <c r="T76" i="26"/>
  <c r="AK46" i="25"/>
  <c r="AL17" i="25"/>
  <c r="AP17" i="25"/>
  <c r="AH17" i="25"/>
  <c r="T53" i="26"/>
  <c r="T87" i="26"/>
  <c r="AQ16" i="25"/>
  <c r="AM16" i="25"/>
  <c r="AI16" i="25"/>
  <c r="T105" i="26"/>
  <c r="AI34" i="25"/>
  <c r="AQ34" i="25"/>
  <c r="AM34" i="25"/>
  <c r="AI50" i="25"/>
  <c r="AH13" i="25"/>
  <c r="AL13" i="25"/>
  <c r="T49" i="26"/>
  <c r="AP13" i="25"/>
  <c r="AK33" i="25"/>
  <c r="AO33" i="25"/>
  <c r="AG33" i="25"/>
  <c r="T34" i="26"/>
  <c r="T95" i="26"/>
  <c r="AQ24" i="25"/>
  <c r="AM24" i="25"/>
  <c r="AI24" i="25"/>
  <c r="T103" i="26"/>
  <c r="AI32" i="25"/>
  <c r="AQ32" i="25"/>
  <c r="AM32" i="25"/>
  <c r="T63" i="26"/>
  <c r="AL27" i="25"/>
  <c r="AH27" i="25"/>
  <c r="AP27" i="25"/>
  <c r="AG31" i="25"/>
  <c r="T32" i="26"/>
  <c r="AO31" i="25"/>
  <c r="AK31" i="25"/>
  <c r="AJ51" i="25"/>
  <c r="BF4" i="35" s="1"/>
  <c r="AG29" i="25"/>
  <c r="T30" i="26"/>
  <c r="AK29" i="25"/>
  <c r="AO29" i="25"/>
  <c r="AJ52" i="25"/>
  <c r="BL4" i="35" s="1"/>
  <c r="AV47" i="25"/>
  <c r="BS4" i="35" s="1"/>
  <c r="P14" i="26"/>
  <c r="Q14" i="26"/>
  <c r="N14" i="26"/>
  <c r="K14" i="26"/>
  <c r="L14" i="26"/>
  <c r="R14" i="26"/>
  <c r="M14" i="26"/>
  <c r="O14" i="26"/>
  <c r="AQ13" i="25"/>
  <c r="AM13" i="25"/>
  <c r="AI13" i="25"/>
  <c r="T84" i="26"/>
  <c r="Q60" i="26"/>
  <c r="M60" i="26"/>
  <c r="R60" i="26"/>
  <c r="L60" i="26"/>
  <c r="K60" i="26"/>
  <c r="N60" i="26"/>
  <c r="O60" i="26"/>
  <c r="P60" i="26"/>
  <c r="T26" i="26"/>
  <c r="AO25" i="25"/>
  <c r="AK25" i="25"/>
  <c r="AG25" i="25"/>
  <c r="AI33" i="25"/>
  <c r="AM33" i="25"/>
  <c r="AQ33" i="25"/>
  <c r="T104" i="26"/>
  <c r="AM6" i="25"/>
  <c r="AI6" i="25"/>
  <c r="T77" i="26"/>
  <c r="AQ6" i="25"/>
  <c r="AI53" i="25" l="1"/>
  <c r="AV53" i="25"/>
  <c r="AU53" i="25"/>
  <c r="AT53" i="25"/>
  <c r="AU41" i="25"/>
  <c r="U4" i="35" s="1"/>
  <c r="AH44" i="25"/>
  <c r="AV41" i="25"/>
  <c r="W4" i="35" s="1"/>
  <c r="W32" i="26"/>
  <c r="V32" i="26"/>
  <c r="W86" i="26"/>
  <c r="V86" i="26"/>
  <c r="W103" i="26"/>
  <c r="V103" i="26"/>
  <c r="V45" i="26"/>
  <c r="W45" i="26"/>
  <c r="W89" i="26"/>
  <c r="V89" i="26"/>
  <c r="W56" i="26"/>
  <c r="V56" i="26"/>
  <c r="W92" i="26"/>
  <c r="V92" i="26"/>
  <c r="W18" i="26"/>
  <c r="V18" i="26"/>
  <c r="V80" i="26"/>
  <c r="W80" i="26"/>
  <c r="V33" i="26"/>
  <c r="W33" i="26"/>
  <c r="W77" i="26"/>
  <c r="V77" i="26"/>
  <c r="W100" i="26"/>
  <c r="V100" i="26"/>
  <c r="W11" i="26"/>
  <c r="V11" i="26"/>
  <c r="W19" i="26"/>
  <c r="V19" i="26"/>
  <c r="W78" i="26"/>
  <c r="V78" i="26"/>
  <c r="W68" i="26"/>
  <c r="V68" i="26"/>
  <c r="W16" i="26"/>
  <c r="V16" i="26"/>
  <c r="W70" i="26"/>
  <c r="V70" i="26"/>
  <c r="W44" i="26"/>
  <c r="V44" i="26"/>
  <c r="V99" i="26"/>
  <c r="W99" i="26"/>
  <c r="V25" i="26"/>
  <c r="W25" i="26"/>
  <c r="W21" i="26"/>
  <c r="V21" i="26"/>
  <c r="W104" i="26"/>
  <c r="V104" i="26"/>
  <c r="W84" i="26"/>
  <c r="V84" i="26"/>
  <c r="W30" i="26"/>
  <c r="V30" i="26"/>
  <c r="W28" i="26"/>
  <c r="V28" i="26"/>
  <c r="W31" i="26"/>
  <c r="V31" i="26"/>
  <c r="V41" i="26"/>
  <c r="W41" i="26"/>
  <c r="W15" i="26"/>
  <c r="V15" i="26"/>
  <c r="W79" i="26"/>
  <c r="V79" i="26"/>
  <c r="W98" i="26"/>
  <c r="V98" i="26"/>
  <c r="W52" i="26"/>
  <c r="V52" i="26"/>
  <c r="W81" i="26"/>
  <c r="V81" i="26"/>
  <c r="W26" i="26"/>
  <c r="V26" i="26"/>
  <c r="V49" i="26"/>
  <c r="W49" i="26"/>
  <c r="W24" i="26"/>
  <c r="V24" i="26"/>
  <c r="W76" i="26"/>
  <c r="V76" i="26"/>
  <c r="V65" i="26"/>
  <c r="W65" i="26"/>
  <c r="W23" i="26"/>
  <c r="V23" i="26"/>
  <c r="W50" i="26"/>
  <c r="V50" i="26"/>
  <c r="V67" i="26"/>
  <c r="W67" i="26"/>
  <c r="W12" i="26"/>
  <c r="V12" i="26"/>
  <c r="V63" i="26"/>
  <c r="W63" i="26"/>
  <c r="W95" i="26"/>
  <c r="V95" i="26"/>
  <c r="W102" i="26"/>
  <c r="V102" i="26"/>
  <c r="W35" i="26"/>
  <c r="V35" i="26"/>
  <c r="W90" i="26"/>
  <c r="V90" i="26"/>
  <c r="W10" i="26"/>
  <c r="V10" i="26"/>
  <c r="W51" i="26"/>
  <c r="V51" i="26"/>
  <c r="V46" i="26"/>
  <c r="W46" i="26"/>
  <c r="V69" i="26"/>
  <c r="W69" i="26"/>
  <c r="V42" i="26"/>
  <c r="W42" i="26"/>
  <c r="W22" i="26"/>
  <c r="V22" i="26"/>
  <c r="V55" i="26"/>
  <c r="W55" i="26"/>
  <c r="W105" i="26"/>
  <c r="V105" i="26"/>
  <c r="W27" i="26"/>
  <c r="V27" i="26"/>
  <c r="W34" i="26"/>
  <c r="V34" i="26"/>
  <c r="W64" i="26"/>
  <c r="V64" i="26"/>
  <c r="W48" i="26"/>
  <c r="V48" i="26"/>
  <c r="W96" i="26"/>
  <c r="V96" i="26"/>
  <c r="W85" i="26"/>
  <c r="V85" i="26"/>
  <c r="W94" i="26"/>
  <c r="V94" i="26"/>
  <c r="W6" i="26"/>
  <c r="V6" i="26"/>
  <c r="V66" i="26"/>
  <c r="W66" i="26"/>
  <c r="W101" i="26"/>
  <c r="V101" i="26"/>
  <c r="V91" i="26"/>
  <c r="W91" i="26"/>
  <c r="W9" i="26"/>
  <c r="V9" i="26"/>
  <c r="V87" i="26"/>
  <c r="W87" i="26"/>
  <c r="W17" i="26"/>
  <c r="V17" i="26"/>
  <c r="V53" i="26"/>
  <c r="W53" i="26"/>
  <c r="V20" i="26"/>
  <c r="W20" i="26"/>
  <c r="W97" i="26"/>
  <c r="V97" i="26"/>
  <c r="V13" i="26"/>
  <c r="W13" i="26"/>
  <c r="W88" i="26"/>
  <c r="V88" i="26"/>
  <c r="V8" i="26"/>
  <c r="W8" i="26"/>
  <c r="W93" i="26"/>
  <c r="V93" i="26"/>
  <c r="W7" i="26"/>
  <c r="V7" i="26"/>
  <c r="W83" i="26"/>
  <c r="V83" i="26"/>
  <c r="AZ4" i="35"/>
  <c r="AJ53" i="25"/>
  <c r="BE4" i="35"/>
  <c r="AW4" i="35"/>
  <c r="BG4" i="35"/>
  <c r="AH37" i="25"/>
  <c r="AD4" i="35" s="1"/>
  <c r="AV37" i="25"/>
  <c r="BA4" i="35"/>
  <c r="AH41" i="25"/>
  <c r="R4" i="35" s="1"/>
  <c r="AI41" i="25"/>
  <c r="T4" i="35" s="1"/>
  <c r="AU37" i="25"/>
  <c r="AY4" i="35"/>
  <c r="AJ41" i="25"/>
  <c r="V4" i="35" s="1"/>
  <c r="AT41" i="25"/>
  <c r="S4" i="35" s="1"/>
  <c r="AT37" i="25"/>
  <c r="BC4" i="35"/>
  <c r="AH53" i="25"/>
  <c r="AV4" i="35"/>
  <c r="P105" i="36"/>
  <c r="L105" i="36"/>
  <c r="G105" i="36"/>
  <c r="C105" i="36"/>
  <c r="O105" i="36"/>
  <c r="K105" i="36"/>
  <c r="F105" i="36"/>
  <c r="B105" i="36"/>
  <c r="R105" i="36"/>
  <c r="N105" i="36"/>
  <c r="I105" i="36"/>
  <c r="E105" i="36"/>
  <c r="H105" i="36"/>
  <c r="M105" i="36"/>
  <c r="D105" i="36"/>
  <c r="Q105" i="36"/>
  <c r="P97" i="36"/>
  <c r="L97" i="36"/>
  <c r="G97" i="36"/>
  <c r="C97" i="36"/>
  <c r="O97" i="36"/>
  <c r="K97" i="36"/>
  <c r="F97" i="36"/>
  <c r="B97" i="36"/>
  <c r="R97" i="36"/>
  <c r="N97" i="36"/>
  <c r="I97" i="36"/>
  <c r="E97" i="36"/>
  <c r="H97" i="36"/>
  <c r="M97" i="36"/>
  <c r="D97" i="36"/>
  <c r="Q97" i="36"/>
  <c r="P104" i="36"/>
  <c r="L104" i="36"/>
  <c r="G104" i="36"/>
  <c r="C104" i="36"/>
  <c r="O104" i="36"/>
  <c r="K104" i="36"/>
  <c r="F104" i="36"/>
  <c r="B104" i="36"/>
  <c r="R104" i="36"/>
  <c r="N104" i="36"/>
  <c r="I104" i="36"/>
  <c r="E104" i="36"/>
  <c r="H104" i="36"/>
  <c r="D104" i="36"/>
  <c r="Q104" i="36"/>
  <c r="M104" i="36"/>
  <c r="P93" i="36"/>
  <c r="L93" i="36"/>
  <c r="G93" i="36"/>
  <c r="C93" i="36"/>
  <c r="O93" i="36"/>
  <c r="K93" i="36"/>
  <c r="F93" i="36"/>
  <c r="B93" i="36"/>
  <c r="R93" i="36"/>
  <c r="N93" i="36"/>
  <c r="I93" i="36"/>
  <c r="E93" i="36"/>
  <c r="H93" i="36"/>
  <c r="M93" i="36"/>
  <c r="D93" i="36"/>
  <c r="Q93" i="36"/>
  <c r="P91" i="36"/>
  <c r="L91" i="36"/>
  <c r="G91" i="36"/>
  <c r="C91" i="36"/>
  <c r="O91" i="36"/>
  <c r="K91" i="36"/>
  <c r="F91" i="36"/>
  <c r="B91" i="36"/>
  <c r="R91" i="36"/>
  <c r="N91" i="36"/>
  <c r="I91" i="36"/>
  <c r="E91" i="36"/>
  <c r="H91" i="36"/>
  <c r="D91" i="36"/>
  <c r="Q91" i="36"/>
  <c r="M91" i="36"/>
  <c r="P92" i="36"/>
  <c r="L92" i="36"/>
  <c r="G92" i="36"/>
  <c r="C92" i="36"/>
  <c r="O92" i="36"/>
  <c r="K92" i="36"/>
  <c r="F92" i="36"/>
  <c r="B92" i="36"/>
  <c r="R92" i="36"/>
  <c r="N92" i="36"/>
  <c r="I92" i="36"/>
  <c r="E92" i="36"/>
  <c r="H92" i="36"/>
  <c r="D92" i="36"/>
  <c r="M92" i="36"/>
  <c r="Q92" i="36"/>
  <c r="R83" i="36"/>
  <c r="N83" i="36"/>
  <c r="I83" i="36"/>
  <c r="E83" i="36"/>
  <c r="K83" i="36"/>
  <c r="B83" i="36"/>
  <c r="Q83" i="36"/>
  <c r="M83" i="36"/>
  <c r="H83" i="36"/>
  <c r="D83" i="36"/>
  <c r="F83" i="36"/>
  <c r="P83" i="36"/>
  <c r="L83" i="36"/>
  <c r="G83" i="36"/>
  <c r="C83" i="36"/>
  <c r="O83" i="36"/>
  <c r="O79" i="36"/>
  <c r="K79" i="36"/>
  <c r="F79" i="36"/>
  <c r="B79" i="36"/>
  <c r="G79" i="36"/>
  <c r="R79" i="36"/>
  <c r="N79" i="36"/>
  <c r="I79" i="36"/>
  <c r="E79" i="36"/>
  <c r="P79" i="36"/>
  <c r="C79" i="36"/>
  <c r="Q79" i="36"/>
  <c r="M79" i="36"/>
  <c r="H79" i="36"/>
  <c r="D79" i="36"/>
  <c r="L79" i="36"/>
  <c r="P106" i="36"/>
  <c r="L106" i="36"/>
  <c r="G106" i="36"/>
  <c r="C106" i="36"/>
  <c r="O106" i="36"/>
  <c r="K106" i="36"/>
  <c r="F106" i="36"/>
  <c r="B106" i="36"/>
  <c r="R106" i="36"/>
  <c r="N106" i="36"/>
  <c r="I106" i="36"/>
  <c r="E106" i="36"/>
  <c r="H106" i="36"/>
  <c r="D106" i="36"/>
  <c r="M106" i="36"/>
  <c r="Q106" i="36"/>
  <c r="P86" i="36"/>
  <c r="N86" i="36"/>
  <c r="I86" i="36"/>
  <c r="E86" i="36"/>
  <c r="K86" i="36"/>
  <c r="B86" i="36"/>
  <c r="R86" i="36"/>
  <c r="M86" i="36"/>
  <c r="H86" i="36"/>
  <c r="D86" i="36"/>
  <c r="F86" i="36"/>
  <c r="Q86" i="36"/>
  <c r="L86" i="36"/>
  <c r="G86" i="36"/>
  <c r="C86" i="36"/>
  <c r="O86" i="36"/>
  <c r="P107" i="36"/>
  <c r="L107" i="36"/>
  <c r="G107" i="36"/>
  <c r="C107" i="36"/>
  <c r="O107" i="36"/>
  <c r="K107" i="36"/>
  <c r="F107" i="36"/>
  <c r="B107" i="36"/>
  <c r="R107" i="36"/>
  <c r="N107" i="36"/>
  <c r="I107" i="36"/>
  <c r="E107" i="36"/>
  <c r="H107" i="36"/>
  <c r="D107" i="36"/>
  <c r="Q107" i="36"/>
  <c r="M107" i="36"/>
  <c r="P89" i="36"/>
  <c r="L89" i="36"/>
  <c r="G89" i="36"/>
  <c r="C89" i="36"/>
  <c r="O89" i="36"/>
  <c r="K89" i="36"/>
  <c r="F89" i="36"/>
  <c r="B89" i="36"/>
  <c r="R89" i="36"/>
  <c r="M89" i="36"/>
  <c r="D89" i="36"/>
  <c r="I89" i="36"/>
  <c r="N89" i="36"/>
  <c r="Q89" i="36"/>
  <c r="H89" i="36"/>
  <c r="E89" i="36"/>
  <c r="P98" i="36"/>
  <c r="L98" i="36"/>
  <c r="G98" i="36"/>
  <c r="C98" i="36"/>
  <c r="O98" i="36"/>
  <c r="K98" i="36"/>
  <c r="F98" i="36"/>
  <c r="B98" i="36"/>
  <c r="R98" i="36"/>
  <c r="N98" i="36"/>
  <c r="I98" i="36"/>
  <c r="E98" i="36"/>
  <c r="H98" i="36"/>
  <c r="D98" i="36"/>
  <c r="M98" i="36"/>
  <c r="Q98" i="36"/>
  <c r="P94" i="36"/>
  <c r="L94" i="36"/>
  <c r="G94" i="36"/>
  <c r="C94" i="36"/>
  <c r="O94" i="36"/>
  <c r="K94" i="36"/>
  <c r="F94" i="36"/>
  <c r="B94" i="36"/>
  <c r="R94" i="36"/>
  <c r="N94" i="36"/>
  <c r="I94" i="36"/>
  <c r="E94" i="36"/>
  <c r="H94" i="36"/>
  <c r="D94" i="36"/>
  <c r="Q94" i="36"/>
  <c r="M94" i="36"/>
  <c r="P100" i="36"/>
  <c r="L100" i="36"/>
  <c r="G100" i="36"/>
  <c r="C100" i="36"/>
  <c r="O100" i="36"/>
  <c r="K100" i="36"/>
  <c r="F100" i="36"/>
  <c r="B100" i="36"/>
  <c r="R100" i="36"/>
  <c r="N100" i="36"/>
  <c r="I100" i="36"/>
  <c r="E100" i="36"/>
  <c r="H100" i="36"/>
  <c r="M100" i="36"/>
  <c r="D100" i="36"/>
  <c r="Q100" i="36"/>
  <c r="R85" i="36"/>
  <c r="N85" i="36"/>
  <c r="I85" i="36"/>
  <c r="E85" i="36"/>
  <c r="F85" i="36"/>
  <c r="B85" i="36"/>
  <c r="Q85" i="36"/>
  <c r="M85" i="36"/>
  <c r="H85" i="36"/>
  <c r="D85" i="36"/>
  <c r="K85" i="36"/>
  <c r="P85" i="36"/>
  <c r="L85" i="36"/>
  <c r="G85" i="36"/>
  <c r="C85" i="36"/>
  <c r="O85" i="36"/>
  <c r="P99" i="36"/>
  <c r="L99" i="36"/>
  <c r="G99" i="36"/>
  <c r="C99" i="36"/>
  <c r="O99" i="36"/>
  <c r="K99" i="36"/>
  <c r="F99" i="36"/>
  <c r="B99" i="36"/>
  <c r="R99" i="36"/>
  <c r="N99" i="36"/>
  <c r="I99" i="36"/>
  <c r="E99" i="36"/>
  <c r="H99" i="36"/>
  <c r="D99" i="36"/>
  <c r="Q99" i="36"/>
  <c r="M99" i="36"/>
  <c r="P90" i="36"/>
  <c r="L90" i="36"/>
  <c r="G90" i="36"/>
  <c r="C90" i="36"/>
  <c r="O90" i="36"/>
  <c r="K90" i="36"/>
  <c r="F90" i="36"/>
  <c r="B90" i="36"/>
  <c r="R90" i="36"/>
  <c r="N90" i="36"/>
  <c r="I90" i="36"/>
  <c r="E90" i="36"/>
  <c r="H90" i="36"/>
  <c r="M90" i="36"/>
  <c r="D90" i="36"/>
  <c r="Q90" i="36"/>
  <c r="P95" i="36"/>
  <c r="L95" i="36"/>
  <c r="G95" i="36"/>
  <c r="C95" i="36"/>
  <c r="O95" i="36"/>
  <c r="K95" i="36"/>
  <c r="F95" i="36"/>
  <c r="B95" i="36"/>
  <c r="R95" i="36"/>
  <c r="N95" i="36"/>
  <c r="I95" i="36"/>
  <c r="E95" i="36"/>
  <c r="H95" i="36"/>
  <c r="D95" i="36"/>
  <c r="M95" i="36"/>
  <c r="Q95" i="36"/>
  <c r="P87" i="36"/>
  <c r="L87" i="36"/>
  <c r="G87" i="36"/>
  <c r="C87" i="36"/>
  <c r="O87" i="36"/>
  <c r="K87" i="36"/>
  <c r="F87" i="36"/>
  <c r="B87" i="36"/>
  <c r="M87" i="36"/>
  <c r="D87" i="36"/>
  <c r="E87" i="36"/>
  <c r="R87" i="36"/>
  <c r="I87" i="36"/>
  <c r="N87" i="36"/>
  <c r="Q87" i="36"/>
  <c r="H87" i="36"/>
  <c r="P101" i="36"/>
  <c r="L101" i="36"/>
  <c r="G101" i="36"/>
  <c r="C101" i="36"/>
  <c r="O101" i="36"/>
  <c r="K101" i="36"/>
  <c r="F101" i="36"/>
  <c r="B101" i="36"/>
  <c r="R101" i="36"/>
  <c r="N101" i="36"/>
  <c r="I101" i="36"/>
  <c r="E101" i="36"/>
  <c r="H101" i="36"/>
  <c r="D101" i="36"/>
  <c r="M101" i="36"/>
  <c r="Q101" i="36"/>
  <c r="P96" i="36"/>
  <c r="L96" i="36"/>
  <c r="G96" i="36"/>
  <c r="C96" i="36"/>
  <c r="O96" i="36"/>
  <c r="K96" i="36"/>
  <c r="F96" i="36"/>
  <c r="B96" i="36"/>
  <c r="R96" i="36"/>
  <c r="N96" i="36"/>
  <c r="I96" i="36"/>
  <c r="E96" i="36"/>
  <c r="H96" i="36"/>
  <c r="M96" i="36"/>
  <c r="D96" i="36"/>
  <c r="Q96" i="36"/>
  <c r="P103" i="36"/>
  <c r="L103" i="36"/>
  <c r="G103" i="36"/>
  <c r="C103" i="36"/>
  <c r="O103" i="36"/>
  <c r="K103" i="36"/>
  <c r="F103" i="36"/>
  <c r="B103" i="36"/>
  <c r="R103" i="36"/>
  <c r="N103" i="36"/>
  <c r="I103" i="36"/>
  <c r="E103" i="36"/>
  <c r="H103" i="36"/>
  <c r="D103" i="36"/>
  <c r="M103" i="36"/>
  <c r="Q103" i="36"/>
  <c r="P78" i="36"/>
  <c r="L78" i="36"/>
  <c r="G78" i="36"/>
  <c r="C78" i="36"/>
  <c r="M78" i="36"/>
  <c r="H78" i="36"/>
  <c r="O78" i="36"/>
  <c r="K78" i="36"/>
  <c r="F78" i="36"/>
  <c r="B78" i="36"/>
  <c r="D78" i="36"/>
  <c r="R78" i="36"/>
  <c r="N78" i="36"/>
  <c r="I78" i="36"/>
  <c r="E78" i="36"/>
  <c r="Q78" i="36"/>
  <c r="P88" i="36"/>
  <c r="L88" i="36"/>
  <c r="G88" i="36"/>
  <c r="C88" i="36"/>
  <c r="O88" i="36"/>
  <c r="K88" i="36"/>
  <c r="F88" i="36"/>
  <c r="B88" i="36"/>
  <c r="M88" i="36"/>
  <c r="D88" i="36"/>
  <c r="N88" i="36"/>
  <c r="R88" i="36"/>
  <c r="I88" i="36"/>
  <c r="Q88" i="36"/>
  <c r="H88" i="36"/>
  <c r="E88" i="36"/>
  <c r="P102" i="36"/>
  <c r="L102" i="36"/>
  <c r="G102" i="36"/>
  <c r="C102" i="36"/>
  <c r="O102" i="36"/>
  <c r="K102" i="36"/>
  <c r="F102" i="36"/>
  <c r="B102" i="36"/>
  <c r="R102" i="36"/>
  <c r="N102" i="36"/>
  <c r="I102" i="36"/>
  <c r="E102" i="36"/>
  <c r="H102" i="36"/>
  <c r="D102" i="36"/>
  <c r="Q102" i="36"/>
  <c r="M102" i="36"/>
  <c r="O80" i="36"/>
  <c r="K80" i="36"/>
  <c r="F80" i="36"/>
  <c r="B80" i="36"/>
  <c r="P80" i="36"/>
  <c r="C80" i="36"/>
  <c r="R80" i="36"/>
  <c r="N80" i="36"/>
  <c r="I80" i="36"/>
  <c r="E80" i="36"/>
  <c r="G80" i="36"/>
  <c r="Q80" i="36"/>
  <c r="M80" i="36"/>
  <c r="H80" i="36"/>
  <c r="D80" i="36"/>
  <c r="L80" i="36"/>
  <c r="R81" i="36"/>
  <c r="N81" i="36"/>
  <c r="I81" i="36"/>
  <c r="E81" i="36"/>
  <c r="O81" i="36"/>
  <c r="F81" i="36"/>
  <c r="Q81" i="36"/>
  <c r="M81" i="36"/>
  <c r="H81" i="36"/>
  <c r="D81" i="36"/>
  <c r="B81" i="36"/>
  <c r="P81" i="36"/>
  <c r="L81" i="36"/>
  <c r="G81" i="36"/>
  <c r="C81" i="36"/>
  <c r="K81" i="36"/>
  <c r="R82" i="36"/>
  <c r="N82" i="36"/>
  <c r="I82" i="36"/>
  <c r="E82" i="36"/>
  <c r="K82" i="36"/>
  <c r="Q82" i="36"/>
  <c r="M82" i="36"/>
  <c r="H82" i="36"/>
  <c r="D82" i="36"/>
  <c r="F82" i="36"/>
  <c r="P82" i="36"/>
  <c r="L82" i="36"/>
  <c r="G82" i="36"/>
  <c r="C82" i="36"/>
  <c r="O82" i="36"/>
  <c r="B82" i="36"/>
  <c r="P65" i="36"/>
  <c r="L65" i="36"/>
  <c r="G65" i="36"/>
  <c r="C65" i="36"/>
  <c r="O65" i="36"/>
  <c r="K65" i="36"/>
  <c r="F65" i="36"/>
  <c r="B65" i="36"/>
  <c r="R65" i="36"/>
  <c r="N65" i="36"/>
  <c r="I65" i="36"/>
  <c r="E65" i="36"/>
  <c r="Q65" i="36"/>
  <c r="M65" i="36"/>
  <c r="H65" i="36"/>
  <c r="D65" i="36"/>
  <c r="P47" i="36"/>
  <c r="L47" i="36"/>
  <c r="G47" i="36"/>
  <c r="C47" i="36"/>
  <c r="M47" i="36"/>
  <c r="O47" i="36"/>
  <c r="K47" i="36"/>
  <c r="F47" i="36"/>
  <c r="B47" i="36"/>
  <c r="D47" i="36"/>
  <c r="R47" i="36"/>
  <c r="N47" i="36"/>
  <c r="I47" i="36"/>
  <c r="E47" i="36"/>
  <c r="Q47" i="36"/>
  <c r="H47" i="36"/>
  <c r="P72" i="36"/>
  <c r="L72" i="36"/>
  <c r="G72" i="36"/>
  <c r="C72" i="36"/>
  <c r="O72" i="36"/>
  <c r="K72" i="36"/>
  <c r="F72" i="36"/>
  <c r="B72" i="36"/>
  <c r="R72" i="36"/>
  <c r="N72" i="36"/>
  <c r="I72" i="36"/>
  <c r="E72" i="36"/>
  <c r="Q72" i="36"/>
  <c r="M72" i="36"/>
  <c r="H72" i="36"/>
  <c r="D72" i="36"/>
  <c r="P53" i="36"/>
  <c r="L53" i="36"/>
  <c r="G53" i="36"/>
  <c r="C53" i="36"/>
  <c r="O53" i="36"/>
  <c r="K53" i="36"/>
  <c r="F53" i="36"/>
  <c r="B53" i="36"/>
  <c r="R53" i="36"/>
  <c r="N53" i="36"/>
  <c r="I53" i="36"/>
  <c r="E53" i="36"/>
  <c r="Q53" i="36"/>
  <c r="M53" i="36"/>
  <c r="H53" i="36"/>
  <c r="D53" i="36"/>
  <c r="P68" i="36"/>
  <c r="L68" i="36"/>
  <c r="G68" i="36"/>
  <c r="C68" i="36"/>
  <c r="O68" i="36"/>
  <c r="K68" i="36"/>
  <c r="F68" i="36"/>
  <c r="B68" i="36"/>
  <c r="R68" i="36"/>
  <c r="N68" i="36"/>
  <c r="I68" i="36"/>
  <c r="E68" i="36"/>
  <c r="Q68" i="36"/>
  <c r="M68" i="36"/>
  <c r="H68" i="36"/>
  <c r="D68" i="36"/>
  <c r="P66" i="36"/>
  <c r="L66" i="36"/>
  <c r="G66" i="36"/>
  <c r="C66" i="36"/>
  <c r="O66" i="36"/>
  <c r="K66" i="36"/>
  <c r="F66" i="36"/>
  <c r="B66" i="36"/>
  <c r="R66" i="36"/>
  <c r="N66" i="36"/>
  <c r="I66" i="36"/>
  <c r="E66" i="36"/>
  <c r="Q66" i="36"/>
  <c r="M66" i="36"/>
  <c r="H66" i="36"/>
  <c r="D66" i="36"/>
  <c r="P50" i="36"/>
  <c r="L50" i="36"/>
  <c r="G50" i="36"/>
  <c r="C50" i="36"/>
  <c r="Q50" i="36"/>
  <c r="D50" i="36"/>
  <c r="O50" i="36"/>
  <c r="K50" i="36"/>
  <c r="F50" i="36"/>
  <c r="B50" i="36"/>
  <c r="H50" i="36"/>
  <c r="R50" i="36"/>
  <c r="N50" i="36"/>
  <c r="I50" i="36"/>
  <c r="E50" i="36"/>
  <c r="M50" i="36"/>
  <c r="P58" i="36"/>
  <c r="L58" i="36"/>
  <c r="G58" i="36"/>
  <c r="C58" i="36"/>
  <c r="O58" i="36"/>
  <c r="K58" i="36"/>
  <c r="F58" i="36"/>
  <c r="B58" i="36"/>
  <c r="R58" i="36"/>
  <c r="N58" i="36"/>
  <c r="I58" i="36"/>
  <c r="E58" i="36"/>
  <c r="Q58" i="36"/>
  <c r="M58" i="36"/>
  <c r="H58" i="36"/>
  <c r="D58" i="36"/>
  <c r="P48" i="36"/>
  <c r="L48" i="36"/>
  <c r="G48" i="36"/>
  <c r="C48" i="36"/>
  <c r="M48" i="36"/>
  <c r="H48" i="36"/>
  <c r="O48" i="36"/>
  <c r="K48" i="36"/>
  <c r="F48" i="36"/>
  <c r="B48" i="36"/>
  <c r="Q48" i="36"/>
  <c r="D48" i="36"/>
  <c r="R48" i="36"/>
  <c r="N48" i="36"/>
  <c r="I48" i="36"/>
  <c r="E48" i="36"/>
  <c r="P71" i="36"/>
  <c r="L71" i="36"/>
  <c r="G71" i="36"/>
  <c r="C71" i="36"/>
  <c r="O71" i="36"/>
  <c r="K71" i="36"/>
  <c r="F71" i="36"/>
  <c r="B71" i="36"/>
  <c r="R71" i="36"/>
  <c r="N71" i="36"/>
  <c r="I71" i="36"/>
  <c r="E71" i="36"/>
  <c r="Q71" i="36"/>
  <c r="M71" i="36"/>
  <c r="H71" i="36"/>
  <c r="D71" i="36"/>
  <c r="R44" i="36"/>
  <c r="N44" i="36"/>
  <c r="I44" i="36"/>
  <c r="E44" i="36"/>
  <c r="K44" i="36"/>
  <c r="F44" i="36"/>
  <c r="Q44" i="36"/>
  <c r="M44" i="36"/>
  <c r="H44" i="36"/>
  <c r="D44" i="36"/>
  <c r="O44" i="36"/>
  <c r="P44" i="36"/>
  <c r="L44" i="36"/>
  <c r="G44" i="36"/>
  <c r="C44" i="36"/>
  <c r="B44" i="36"/>
  <c r="P52" i="36"/>
  <c r="L52" i="36"/>
  <c r="G52" i="36"/>
  <c r="C52" i="36"/>
  <c r="O52" i="36"/>
  <c r="K52" i="36"/>
  <c r="F52" i="36"/>
  <c r="B52" i="36"/>
  <c r="R52" i="36"/>
  <c r="N52" i="36"/>
  <c r="I52" i="36"/>
  <c r="E52" i="36"/>
  <c r="Q52" i="36"/>
  <c r="M52" i="36"/>
  <c r="H52" i="36"/>
  <c r="D52" i="36"/>
  <c r="P54" i="36"/>
  <c r="L54" i="36"/>
  <c r="G54" i="36"/>
  <c r="C54" i="36"/>
  <c r="O54" i="36"/>
  <c r="K54" i="36"/>
  <c r="F54" i="36"/>
  <c r="B54" i="36"/>
  <c r="R54" i="36"/>
  <c r="N54" i="36"/>
  <c r="I54" i="36"/>
  <c r="E54" i="36"/>
  <c r="Q54" i="36"/>
  <c r="M54" i="36"/>
  <c r="H54" i="36"/>
  <c r="D54" i="36"/>
  <c r="P51" i="36"/>
  <c r="O51" i="36"/>
  <c r="R51" i="36"/>
  <c r="Q51" i="36"/>
  <c r="L51" i="36"/>
  <c r="G51" i="36"/>
  <c r="C51" i="36"/>
  <c r="M51" i="36"/>
  <c r="K51" i="36"/>
  <c r="F51" i="36"/>
  <c r="B51" i="36"/>
  <c r="H51" i="36"/>
  <c r="N51" i="36"/>
  <c r="I51" i="36"/>
  <c r="E51" i="36"/>
  <c r="D51" i="36"/>
  <c r="P55" i="36"/>
  <c r="L55" i="36"/>
  <c r="G55" i="36"/>
  <c r="C55" i="36"/>
  <c r="O55" i="36"/>
  <c r="K55" i="36"/>
  <c r="F55" i="36"/>
  <c r="B55" i="36"/>
  <c r="R55" i="36"/>
  <c r="N55" i="36"/>
  <c r="I55" i="36"/>
  <c r="E55" i="36"/>
  <c r="Q55" i="36"/>
  <c r="M55" i="36"/>
  <c r="H55" i="36"/>
  <c r="D55" i="36"/>
  <c r="R43" i="36"/>
  <c r="N43" i="36"/>
  <c r="I43" i="36"/>
  <c r="E43" i="36"/>
  <c r="K43" i="36"/>
  <c r="Q43" i="36"/>
  <c r="M43" i="36"/>
  <c r="H43" i="36"/>
  <c r="D43" i="36"/>
  <c r="O43" i="36"/>
  <c r="B43" i="36"/>
  <c r="P43" i="36"/>
  <c r="L43" i="36"/>
  <c r="G43" i="36"/>
  <c r="C43" i="36"/>
  <c r="F43" i="36"/>
  <c r="Q46" i="36"/>
  <c r="M46" i="36"/>
  <c r="H46" i="36"/>
  <c r="D46" i="36"/>
  <c r="R46" i="36"/>
  <c r="I46" i="36"/>
  <c r="P46" i="36"/>
  <c r="L46" i="36"/>
  <c r="G46" i="36"/>
  <c r="C46" i="36"/>
  <c r="E46" i="36"/>
  <c r="O46" i="36"/>
  <c r="K46" i="36"/>
  <c r="F46" i="36"/>
  <c r="B46" i="36"/>
  <c r="N46" i="36"/>
  <c r="P69" i="36"/>
  <c r="L69" i="36"/>
  <c r="G69" i="36"/>
  <c r="C69" i="36"/>
  <c r="O69" i="36"/>
  <c r="K69" i="36"/>
  <c r="F69" i="36"/>
  <c r="B69" i="36"/>
  <c r="R69" i="36"/>
  <c r="N69" i="36"/>
  <c r="I69" i="36"/>
  <c r="E69" i="36"/>
  <c r="Q69" i="36"/>
  <c r="M69" i="36"/>
  <c r="H69" i="36"/>
  <c r="D69" i="36"/>
  <c r="P67" i="36"/>
  <c r="L67" i="36"/>
  <c r="G67" i="36"/>
  <c r="C67" i="36"/>
  <c r="O67" i="36"/>
  <c r="K67" i="36"/>
  <c r="F67" i="36"/>
  <c r="B67" i="36"/>
  <c r="R67" i="36"/>
  <c r="N67" i="36"/>
  <c r="I67" i="36"/>
  <c r="E67" i="36"/>
  <c r="Q67" i="36"/>
  <c r="M67" i="36"/>
  <c r="H67" i="36"/>
  <c r="D67" i="36"/>
  <c r="P70" i="36"/>
  <c r="L70" i="36"/>
  <c r="G70" i="36"/>
  <c r="C70" i="36"/>
  <c r="O70" i="36"/>
  <c r="K70" i="36"/>
  <c r="F70" i="36"/>
  <c r="B70" i="36"/>
  <c r="R70" i="36"/>
  <c r="N70" i="36"/>
  <c r="I70" i="36"/>
  <c r="E70" i="36"/>
  <c r="Q70" i="36"/>
  <c r="M70" i="36"/>
  <c r="H70" i="36"/>
  <c r="D70" i="36"/>
  <c r="P57" i="36"/>
  <c r="L57" i="36"/>
  <c r="G57" i="36"/>
  <c r="C57" i="36"/>
  <c r="O57" i="36"/>
  <c r="K57" i="36"/>
  <c r="F57" i="36"/>
  <c r="B57" i="36"/>
  <c r="R57" i="36"/>
  <c r="N57" i="36"/>
  <c r="I57" i="36"/>
  <c r="E57" i="36"/>
  <c r="Q57" i="36"/>
  <c r="M57" i="36"/>
  <c r="H57" i="36"/>
  <c r="D57" i="36"/>
  <c r="Q34" i="36"/>
  <c r="O34" i="36"/>
  <c r="M34" i="36"/>
  <c r="K34" i="36"/>
  <c r="H34" i="36"/>
  <c r="R34" i="36"/>
  <c r="P34" i="36"/>
  <c r="N34" i="36"/>
  <c r="L34" i="36"/>
  <c r="I34" i="36"/>
  <c r="G34" i="36"/>
  <c r="F34" i="36"/>
  <c r="D34" i="36"/>
  <c r="B34" i="36"/>
  <c r="E34" i="36"/>
  <c r="C34" i="36"/>
  <c r="R13" i="36"/>
  <c r="P13" i="36"/>
  <c r="N13" i="36"/>
  <c r="L13" i="36"/>
  <c r="I13" i="36"/>
  <c r="G13" i="36"/>
  <c r="Q13" i="36"/>
  <c r="O13" i="36"/>
  <c r="M13" i="36"/>
  <c r="K13" i="36"/>
  <c r="H13" i="36"/>
  <c r="F13" i="36"/>
  <c r="D13" i="36"/>
  <c r="B13" i="36"/>
  <c r="E13" i="36"/>
  <c r="C13" i="36"/>
  <c r="R21" i="36"/>
  <c r="P21" i="36"/>
  <c r="N21" i="36"/>
  <c r="L21" i="36"/>
  <c r="I21" i="36"/>
  <c r="G21" i="36"/>
  <c r="Q21" i="36"/>
  <c r="O21" i="36"/>
  <c r="M21" i="36"/>
  <c r="K21" i="36"/>
  <c r="H21" i="36"/>
  <c r="F21" i="36"/>
  <c r="D21" i="36"/>
  <c r="E21" i="36"/>
  <c r="C21" i="36"/>
  <c r="B21" i="36"/>
  <c r="R25" i="36"/>
  <c r="P25" i="36"/>
  <c r="N25" i="36"/>
  <c r="L25" i="36"/>
  <c r="I25" i="36"/>
  <c r="G25" i="36"/>
  <c r="Q25" i="36"/>
  <c r="O25" i="36"/>
  <c r="M25" i="36"/>
  <c r="K25" i="36"/>
  <c r="H25" i="36"/>
  <c r="B25" i="36"/>
  <c r="E25" i="36"/>
  <c r="C25" i="36"/>
  <c r="F25" i="36"/>
  <c r="D25" i="36"/>
  <c r="Q8" i="36"/>
  <c r="O8" i="36"/>
  <c r="M8" i="36"/>
  <c r="K8" i="36"/>
  <c r="H8" i="36"/>
  <c r="R8" i="36"/>
  <c r="P8" i="36"/>
  <c r="N8" i="36"/>
  <c r="L8" i="36"/>
  <c r="I8" i="36"/>
  <c r="G8" i="36"/>
  <c r="F8" i="36"/>
  <c r="D8" i="36"/>
  <c r="B8" i="36"/>
  <c r="E8" i="36"/>
  <c r="C8" i="36"/>
  <c r="R20" i="36"/>
  <c r="P20" i="36"/>
  <c r="N20" i="36"/>
  <c r="L20" i="36"/>
  <c r="I20" i="36"/>
  <c r="G20" i="36"/>
  <c r="Q20" i="36"/>
  <c r="O20" i="36"/>
  <c r="M20" i="36"/>
  <c r="K20" i="36"/>
  <c r="H20" i="36"/>
  <c r="E20" i="36"/>
  <c r="C20" i="36"/>
  <c r="F20" i="36"/>
  <c r="D20" i="36"/>
  <c r="B20" i="36"/>
  <c r="Q35" i="36"/>
  <c r="O35" i="36"/>
  <c r="M35" i="36"/>
  <c r="K35" i="36"/>
  <c r="H35" i="36"/>
  <c r="R35" i="36"/>
  <c r="P35" i="36"/>
  <c r="N35" i="36"/>
  <c r="L35" i="36"/>
  <c r="I35" i="36"/>
  <c r="G35" i="36"/>
  <c r="E35" i="36"/>
  <c r="F35" i="36"/>
  <c r="D35" i="36"/>
  <c r="B35" i="36"/>
  <c r="C35" i="36"/>
  <c r="R28" i="36"/>
  <c r="P28" i="36"/>
  <c r="N28" i="36"/>
  <c r="L28" i="36"/>
  <c r="I28" i="36"/>
  <c r="G28" i="36"/>
  <c r="Q28" i="36"/>
  <c r="O28" i="36"/>
  <c r="M28" i="36"/>
  <c r="K28" i="36"/>
  <c r="H28" i="36"/>
  <c r="E28" i="36"/>
  <c r="C28" i="36"/>
  <c r="F28" i="36"/>
  <c r="D28" i="36"/>
  <c r="B28" i="36"/>
  <c r="R37" i="36"/>
  <c r="P37" i="36"/>
  <c r="N37" i="36"/>
  <c r="L37" i="36"/>
  <c r="I37" i="36"/>
  <c r="G37" i="36"/>
  <c r="Q37" i="36"/>
  <c r="O37" i="36"/>
  <c r="M37" i="36"/>
  <c r="K37" i="36"/>
  <c r="H37" i="36"/>
  <c r="B37" i="36"/>
  <c r="E37" i="36"/>
  <c r="C37" i="36"/>
  <c r="F37" i="36"/>
  <c r="D37" i="36"/>
  <c r="R12" i="36"/>
  <c r="P12" i="36"/>
  <c r="N12" i="36"/>
  <c r="L12" i="36"/>
  <c r="I12" i="36"/>
  <c r="G12" i="36"/>
  <c r="Q12" i="36"/>
  <c r="O12" i="36"/>
  <c r="M12" i="36"/>
  <c r="K12" i="36"/>
  <c r="H12" i="36"/>
  <c r="E12" i="36"/>
  <c r="C12" i="36"/>
  <c r="F12" i="36"/>
  <c r="D12" i="36"/>
  <c r="B12" i="36"/>
  <c r="Q18" i="36"/>
  <c r="O18" i="36"/>
  <c r="M18" i="36"/>
  <c r="K18" i="36"/>
  <c r="H18" i="36"/>
  <c r="R18" i="36"/>
  <c r="P18" i="36"/>
  <c r="N18" i="36"/>
  <c r="L18" i="36"/>
  <c r="I18" i="36"/>
  <c r="G18" i="36"/>
  <c r="F18" i="36"/>
  <c r="D18" i="36"/>
  <c r="B18" i="36"/>
  <c r="E18" i="36"/>
  <c r="C18" i="36"/>
  <c r="Q27" i="36"/>
  <c r="O27" i="36"/>
  <c r="M27" i="36"/>
  <c r="K27" i="36"/>
  <c r="H27" i="36"/>
  <c r="R27" i="36"/>
  <c r="P27" i="36"/>
  <c r="N27" i="36"/>
  <c r="L27" i="36"/>
  <c r="I27" i="36"/>
  <c r="G27" i="36"/>
  <c r="F27" i="36"/>
  <c r="D27" i="36"/>
  <c r="B27" i="36"/>
  <c r="E27" i="36"/>
  <c r="C27" i="36"/>
  <c r="R36" i="36"/>
  <c r="P36" i="36"/>
  <c r="N36" i="36"/>
  <c r="L36" i="36"/>
  <c r="I36" i="36"/>
  <c r="G36" i="36"/>
  <c r="Q36" i="36"/>
  <c r="O36" i="36"/>
  <c r="M36" i="36"/>
  <c r="K36" i="36"/>
  <c r="H36" i="36"/>
  <c r="E36" i="36"/>
  <c r="C36" i="36"/>
  <c r="F36" i="36"/>
  <c r="D36" i="36"/>
  <c r="B36" i="36"/>
  <c r="Q23" i="36"/>
  <c r="O23" i="36"/>
  <c r="M23" i="36"/>
  <c r="K23" i="36"/>
  <c r="H23" i="36"/>
  <c r="R23" i="36"/>
  <c r="P23" i="36"/>
  <c r="N23" i="36"/>
  <c r="L23" i="36"/>
  <c r="I23" i="36"/>
  <c r="G23" i="36"/>
  <c r="E23" i="36"/>
  <c r="F23" i="36"/>
  <c r="D23" i="36"/>
  <c r="B23" i="36"/>
  <c r="C23" i="36"/>
  <c r="Q19" i="36"/>
  <c r="O19" i="36"/>
  <c r="M19" i="36"/>
  <c r="K19" i="36"/>
  <c r="H19" i="36"/>
  <c r="R19" i="36"/>
  <c r="P19" i="36"/>
  <c r="N19" i="36"/>
  <c r="L19" i="36"/>
  <c r="I19" i="36"/>
  <c r="G19" i="36"/>
  <c r="C19" i="36"/>
  <c r="F19" i="36"/>
  <c r="D19" i="36"/>
  <c r="B19" i="36"/>
  <c r="E19" i="36"/>
  <c r="R29" i="36"/>
  <c r="P29" i="36"/>
  <c r="N29" i="36"/>
  <c r="L29" i="36"/>
  <c r="I29" i="36"/>
  <c r="G29" i="36"/>
  <c r="Q29" i="36"/>
  <c r="O29" i="36"/>
  <c r="M29" i="36"/>
  <c r="K29" i="36"/>
  <c r="H29" i="36"/>
  <c r="F29" i="36"/>
  <c r="E29" i="36"/>
  <c r="C29" i="36"/>
  <c r="D29" i="36"/>
  <c r="B29" i="36"/>
  <c r="R24" i="36"/>
  <c r="P24" i="36"/>
  <c r="N24" i="36"/>
  <c r="L24" i="36"/>
  <c r="I24" i="36"/>
  <c r="G24" i="36"/>
  <c r="Q24" i="36"/>
  <c r="O24" i="36"/>
  <c r="M24" i="36"/>
  <c r="K24" i="36"/>
  <c r="H24" i="36"/>
  <c r="E24" i="36"/>
  <c r="C24" i="36"/>
  <c r="F24" i="36"/>
  <c r="D24" i="36"/>
  <c r="B24" i="36"/>
  <c r="R9" i="36"/>
  <c r="P9" i="36"/>
  <c r="N9" i="36"/>
  <c r="L9" i="36"/>
  <c r="I9" i="36"/>
  <c r="G9" i="36"/>
  <c r="Q9" i="36"/>
  <c r="O9" i="36"/>
  <c r="M9" i="36"/>
  <c r="K9" i="36"/>
  <c r="H9" i="36"/>
  <c r="F9" i="36"/>
  <c r="E9" i="36"/>
  <c r="C9" i="36"/>
  <c r="B9" i="36"/>
  <c r="D9" i="36"/>
  <c r="R32" i="36"/>
  <c r="P32" i="36"/>
  <c r="N32" i="36"/>
  <c r="L32" i="36"/>
  <c r="I32" i="36"/>
  <c r="G32" i="36"/>
  <c r="Q32" i="36"/>
  <c r="O32" i="36"/>
  <c r="M32" i="36"/>
  <c r="K32" i="36"/>
  <c r="H32" i="36"/>
  <c r="E32" i="36"/>
  <c r="C32" i="36"/>
  <c r="F32" i="36"/>
  <c r="D32" i="36"/>
  <c r="B32" i="36"/>
  <c r="Q22" i="36"/>
  <c r="O22" i="36"/>
  <c r="M22" i="36"/>
  <c r="K22" i="36"/>
  <c r="H22" i="36"/>
  <c r="R22" i="36"/>
  <c r="P22" i="36"/>
  <c r="N22" i="36"/>
  <c r="L22" i="36"/>
  <c r="I22" i="36"/>
  <c r="G22" i="36"/>
  <c r="F22" i="36"/>
  <c r="D22" i="36"/>
  <c r="B22" i="36"/>
  <c r="E22" i="36"/>
  <c r="C22" i="36"/>
  <c r="Q15" i="36"/>
  <c r="O15" i="36"/>
  <c r="M15" i="36"/>
  <c r="K15" i="36"/>
  <c r="H15" i="36"/>
  <c r="F15" i="36"/>
  <c r="R15" i="36"/>
  <c r="P15" i="36"/>
  <c r="N15" i="36"/>
  <c r="L15" i="36"/>
  <c r="I15" i="36"/>
  <c r="G15" i="36"/>
  <c r="D15" i="36"/>
  <c r="B15" i="36"/>
  <c r="E15" i="36"/>
  <c r="C15" i="36"/>
  <c r="Q30" i="36"/>
  <c r="O30" i="36"/>
  <c r="M30" i="36"/>
  <c r="K30" i="36"/>
  <c r="H30" i="36"/>
  <c r="R30" i="36"/>
  <c r="P30" i="36"/>
  <c r="N30" i="36"/>
  <c r="L30" i="36"/>
  <c r="I30" i="36"/>
  <c r="G30" i="36"/>
  <c r="F30" i="36"/>
  <c r="D30" i="36"/>
  <c r="B30" i="36"/>
  <c r="E30" i="36"/>
  <c r="C30" i="36"/>
  <c r="Q26" i="36"/>
  <c r="O26" i="36"/>
  <c r="M26" i="36"/>
  <c r="K26" i="36"/>
  <c r="H26" i="36"/>
  <c r="R26" i="36"/>
  <c r="P26" i="36"/>
  <c r="N26" i="36"/>
  <c r="L26" i="36"/>
  <c r="I26" i="36"/>
  <c r="G26" i="36"/>
  <c r="F26" i="36"/>
  <c r="D26" i="36"/>
  <c r="B26" i="36"/>
  <c r="E26" i="36"/>
  <c r="C26" i="36"/>
  <c r="R33" i="36"/>
  <c r="P33" i="36"/>
  <c r="N33" i="36"/>
  <c r="L33" i="36"/>
  <c r="I33" i="36"/>
  <c r="G33" i="36"/>
  <c r="Q33" i="36"/>
  <c r="O33" i="36"/>
  <c r="M33" i="36"/>
  <c r="K33" i="36"/>
  <c r="H33" i="36"/>
  <c r="D33" i="36"/>
  <c r="E33" i="36"/>
  <c r="C33" i="36"/>
  <c r="F33" i="36"/>
  <c r="B33" i="36"/>
  <c r="Q10" i="36"/>
  <c r="O10" i="36"/>
  <c r="M10" i="36"/>
  <c r="K10" i="36"/>
  <c r="H10" i="36"/>
  <c r="F10" i="36"/>
  <c r="R10" i="36"/>
  <c r="P10" i="36"/>
  <c r="N10" i="36"/>
  <c r="L10" i="36"/>
  <c r="I10" i="36"/>
  <c r="G10" i="36"/>
  <c r="D10" i="36"/>
  <c r="B10" i="36"/>
  <c r="E10" i="36"/>
  <c r="C10" i="36"/>
  <c r="R17" i="36"/>
  <c r="P17" i="36"/>
  <c r="N17" i="36"/>
  <c r="L17" i="36"/>
  <c r="I17" i="36"/>
  <c r="G17" i="36"/>
  <c r="Q17" i="36"/>
  <c r="O17" i="36"/>
  <c r="M17" i="36"/>
  <c r="K17" i="36"/>
  <c r="H17" i="36"/>
  <c r="F17" i="36"/>
  <c r="E17" i="36"/>
  <c r="C17" i="36"/>
  <c r="D17" i="36"/>
  <c r="B17" i="36"/>
  <c r="Q11" i="36"/>
  <c r="O11" i="36"/>
  <c r="M11" i="36"/>
  <c r="K11" i="36"/>
  <c r="H11" i="36"/>
  <c r="F11" i="36"/>
  <c r="R11" i="36"/>
  <c r="P11" i="36"/>
  <c r="N11" i="36"/>
  <c r="L11" i="36"/>
  <c r="I11" i="36"/>
  <c r="G11" i="36"/>
  <c r="E11" i="36"/>
  <c r="C11" i="36"/>
  <c r="D11" i="36"/>
  <c r="B11" i="36"/>
  <c r="Q14" i="36"/>
  <c r="O14" i="36"/>
  <c r="M14" i="36"/>
  <c r="K14" i="36"/>
  <c r="H14" i="36"/>
  <c r="R14" i="36"/>
  <c r="P14" i="36"/>
  <c r="N14" i="36"/>
  <c r="L14" i="36"/>
  <c r="I14" i="36"/>
  <c r="G14" i="36"/>
  <c r="D14" i="36"/>
  <c r="B14" i="36"/>
  <c r="F14" i="36"/>
  <c r="E14" i="36"/>
  <c r="C14" i="36"/>
  <c r="AX4" i="35"/>
  <c r="AJ46" i="25"/>
  <c r="AJ39" i="25"/>
  <c r="AT4" i="35" s="1"/>
  <c r="O20" i="26"/>
  <c r="K20" i="26"/>
  <c r="P20" i="26"/>
  <c r="Q20" i="26"/>
  <c r="N20" i="26"/>
  <c r="R20" i="26"/>
  <c r="L20" i="26"/>
  <c r="M20" i="26"/>
  <c r="L102" i="26"/>
  <c r="R102" i="26"/>
  <c r="N102" i="26"/>
  <c r="O102" i="26"/>
  <c r="P102" i="26"/>
  <c r="Q102" i="26"/>
  <c r="M102" i="26"/>
  <c r="K102" i="26"/>
  <c r="P91" i="26"/>
  <c r="L91" i="26"/>
  <c r="Q91" i="26"/>
  <c r="R91" i="26"/>
  <c r="M91" i="26"/>
  <c r="K91" i="26"/>
  <c r="O91" i="26"/>
  <c r="N91" i="26"/>
  <c r="K41" i="26"/>
  <c r="M41" i="26"/>
  <c r="O41" i="26"/>
  <c r="L41" i="26"/>
  <c r="P41" i="26"/>
  <c r="N41" i="26"/>
  <c r="R41" i="26"/>
  <c r="Q41" i="26"/>
  <c r="P70" i="26"/>
  <c r="K70" i="26"/>
  <c r="M70" i="26"/>
  <c r="O70" i="26"/>
  <c r="R70" i="26"/>
  <c r="N70" i="26"/>
  <c r="L70" i="26"/>
  <c r="Q70" i="26"/>
  <c r="Q8" i="26"/>
  <c r="L8" i="26"/>
  <c r="K8" i="26"/>
  <c r="N8" i="26"/>
  <c r="R8" i="26"/>
  <c r="M8" i="26"/>
  <c r="O8" i="26"/>
  <c r="P8" i="26"/>
  <c r="L10" i="26"/>
  <c r="Q10" i="26"/>
  <c r="M10" i="26"/>
  <c r="O10" i="26"/>
  <c r="N10" i="26"/>
  <c r="R10" i="26"/>
  <c r="P10" i="26"/>
  <c r="K10" i="26"/>
  <c r="L93" i="26"/>
  <c r="N93" i="26"/>
  <c r="M93" i="26"/>
  <c r="K93" i="26"/>
  <c r="R93" i="26"/>
  <c r="O93" i="26"/>
  <c r="P93" i="26"/>
  <c r="Q93" i="26"/>
  <c r="N85" i="26"/>
  <c r="L85" i="26"/>
  <c r="P85" i="26"/>
  <c r="K85" i="26"/>
  <c r="M85" i="26"/>
  <c r="R85" i="26"/>
  <c r="Q85" i="26"/>
  <c r="O85" i="26"/>
  <c r="P66" i="26"/>
  <c r="L66" i="26"/>
  <c r="Q66" i="26"/>
  <c r="M66" i="26"/>
  <c r="R66" i="26"/>
  <c r="N66" i="26"/>
  <c r="K66" i="26"/>
  <c r="O66" i="26"/>
  <c r="L101" i="26"/>
  <c r="R101" i="26"/>
  <c r="N101" i="26"/>
  <c r="Q101" i="26"/>
  <c r="M101" i="26"/>
  <c r="O101" i="26"/>
  <c r="K101" i="26"/>
  <c r="P101" i="26"/>
  <c r="O84" i="26"/>
  <c r="P84" i="26"/>
  <c r="R84" i="26"/>
  <c r="L84" i="26"/>
  <c r="Q84" i="26"/>
  <c r="K84" i="26"/>
  <c r="N84" i="26"/>
  <c r="M84" i="26"/>
  <c r="K34" i="26"/>
  <c r="L34" i="26"/>
  <c r="R34" i="26"/>
  <c r="M34" i="26"/>
  <c r="Q34" i="26"/>
  <c r="N34" i="26"/>
  <c r="P34" i="26"/>
  <c r="O34" i="26"/>
  <c r="O105" i="26"/>
  <c r="L105" i="26"/>
  <c r="R105" i="26"/>
  <c r="M105" i="26"/>
  <c r="P105" i="26"/>
  <c r="K105" i="26"/>
  <c r="N105" i="26"/>
  <c r="Q105" i="26"/>
  <c r="AH46" i="25"/>
  <c r="AH39" i="25"/>
  <c r="AP4" i="35" s="1"/>
  <c r="P11" i="26"/>
  <c r="R11" i="26"/>
  <c r="L11" i="26"/>
  <c r="K11" i="26"/>
  <c r="M11" i="26"/>
  <c r="Q11" i="26"/>
  <c r="O11" i="26"/>
  <c r="N11" i="26"/>
  <c r="Q19" i="26"/>
  <c r="R19" i="26"/>
  <c r="N19" i="26"/>
  <c r="L19" i="26"/>
  <c r="K19" i="26"/>
  <c r="P19" i="26"/>
  <c r="M19" i="26"/>
  <c r="O19" i="26"/>
  <c r="P23" i="26"/>
  <c r="R23" i="26"/>
  <c r="L23" i="26"/>
  <c r="Q23" i="26"/>
  <c r="N23" i="26"/>
  <c r="K23" i="26"/>
  <c r="M23" i="26"/>
  <c r="O23" i="26"/>
  <c r="M96" i="26"/>
  <c r="K96" i="26"/>
  <c r="N96" i="26"/>
  <c r="O96" i="26"/>
  <c r="P96" i="26"/>
  <c r="L96" i="26"/>
  <c r="Q96" i="26"/>
  <c r="R96" i="26"/>
  <c r="N68" i="26"/>
  <c r="R68" i="26"/>
  <c r="Q68" i="26"/>
  <c r="P68" i="26"/>
  <c r="L68" i="26"/>
  <c r="K68" i="26"/>
  <c r="O68" i="26"/>
  <c r="M68" i="26"/>
  <c r="K69" i="26"/>
  <c r="O69" i="26"/>
  <c r="Q69" i="26"/>
  <c r="L69" i="26"/>
  <c r="P69" i="26"/>
  <c r="M69" i="26"/>
  <c r="R69" i="26"/>
  <c r="N69" i="26"/>
  <c r="P6" i="26"/>
  <c r="Q6" i="26"/>
  <c r="N6" i="26"/>
  <c r="R6" i="26"/>
  <c r="L6" i="26"/>
  <c r="K6" i="26"/>
  <c r="M6" i="26"/>
  <c r="O6" i="26"/>
  <c r="L50" i="26"/>
  <c r="R50" i="26"/>
  <c r="N50" i="26"/>
  <c r="K50" i="26"/>
  <c r="M50" i="26"/>
  <c r="O50" i="26"/>
  <c r="P50" i="26"/>
  <c r="Q50" i="26"/>
  <c r="R18" i="26"/>
  <c r="M18" i="26"/>
  <c r="Q18" i="26"/>
  <c r="L18" i="26"/>
  <c r="K18" i="26"/>
  <c r="N18" i="26"/>
  <c r="P18" i="26"/>
  <c r="O18" i="26"/>
  <c r="L52" i="26"/>
  <c r="P52" i="26"/>
  <c r="M52" i="26"/>
  <c r="Q52" i="26"/>
  <c r="N52" i="26"/>
  <c r="R52" i="26"/>
  <c r="K52" i="26"/>
  <c r="O52" i="26"/>
  <c r="M80" i="26"/>
  <c r="R80" i="26"/>
  <c r="K80" i="26"/>
  <c r="Q80" i="26"/>
  <c r="L80" i="26"/>
  <c r="O80" i="26"/>
  <c r="P80" i="26"/>
  <c r="N80" i="26"/>
  <c r="M77" i="26"/>
  <c r="P77" i="26"/>
  <c r="N77" i="26"/>
  <c r="Q77" i="26"/>
  <c r="R77" i="26"/>
  <c r="K77" i="26"/>
  <c r="L77" i="26"/>
  <c r="O77" i="26"/>
  <c r="N30" i="26"/>
  <c r="P30" i="26"/>
  <c r="L30" i="26"/>
  <c r="K30" i="26"/>
  <c r="Q30" i="26"/>
  <c r="M30" i="26"/>
  <c r="O30" i="26"/>
  <c r="R30" i="26"/>
  <c r="P95" i="26"/>
  <c r="R95" i="26"/>
  <c r="L95" i="26"/>
  <c r="K95" i="26"/>
  <c r="M95" i="26"/>
  <c r="Q95" i="26"/>
  <c r="N95" i="26"/>
  <c r="O95" i="26"/>
  <c r="N53" i="26"/>
  <c r="M53" i="26"/>
  <c r="O53" i="26"/>
  <c r="R53" i="26"/>
  <c r="Q53" i="26"/>
  <c r="L53" i="26"/>
  <c r="K53" i="26"/>
  <c r="P53" i="26"/>
  <c r="N13" i="26"/>
  <c r="K13" i="26"/>
  <c r="M13" i="26"/>
  <c r="O13" i="26"/>
  <c r="P13" i="26"/>
  <c r="Q13" i="26"/>
  <c r="R13" i="26"/>
  <c r="L13" i="26"/>
  <c r="M103" i="26"/>
  <c r="Q103" i="26"/>
  <c r="L103" i="26"/>
  <c r="K103" i="26"/>
  <c r="N103" i="26"/>
  <c r="O103" i="26"/>
  <c r="R103" i="26"/>
  <c r="P103" i="26"/>
  <c r="AI46" i="25"/>
  <c r="AI39" i="25"/>
  <c r="AR4" i="35" s="1"/>
  <c r="R28" i="26"/>
  <c r="P28" i="26"/>
  <c r="K28" i="26"/>
  <c r="L28" i="26"/>
  <c r="O28" i="26"/>
  <c r="Q28" i="26"/>
  <c r="M28" i="26"/>
  <c r="N28" i="26"/>
  <c r="R31" i="26"/>
  <c r="L31" i="26"/>
  <c r="Q31" i="26"/>
  <c r="M31" i="26"/>
  <c r="K31" i="26"/>
  <c r="N31" i="26"/>
  <c r="O31" i="26"/>
  <c r="P31" i="26"/>
  <c r="M88" i="26"/>
  <c r="Q88" i="26"/>
  <c r="N88" i="26"/>
  <c r="O88" i="26"/>
  <c r="P88" i="26"/>
  <c r="R88" i="26"/>
  <c r="K88" i="26"/>
  <c r="L88" i="26"/>
  <c r="Q89" i="26"/>
  <c r="O89" i="26"/>
  <c r="P89" i="26"/>
  <c r="L89" i="26"/>
  <c r="K89" i="26"/>
  <c r="M89" i="26"/>
  <c r="R89" i="26"/>
  <c r="N89" i="26"/>
  <c r="AH45" i="25"/>
  <c r="AH47" i="25" s="1"/>
  <c r="AH38" i="25"/>
  <c r="AJ4" i="35" s="1"/>
  <c r="P90" i="26"/>
  <c r="L90" i="26"/>
  <c r="R90" i="26"/>
  <c r="M90" i="26"/>
  <c r="Q90" i="26"/>
  <c r="N90" i="26"/>
  <c r="K90" i="26"/>
  <c r="O90" i="26"/>
  <c r="N51" i="26"/>
  <c r="P51" i="26"/>
  <c r="R51" i="26"/>
  <c r="L51" i="26"/>
  <c r="K51" i="26"/>
  <c r="M51" i="26"/>
  <c r="O51" i="26"/>
  <c r="Q51" i="26"/>
  <c r="Q15" i="26"/>
  <c r="L15" i="26"/>
  <c r="K15" i="26"/>
  <c r="R15" i="26"/>
  <c r="O15" i="26"/>
  <c r="N15" i="26"/>
  <c r="P15" i="26"/>
  <c r="M15" i="26"/>
  <c r="P44" i="26"/>
  <c r="K44" i="26"/>
  <c r="L44" i="26"/>
  <c r="Q44" i="26"/>
  <c r="M44" i="26"/>
  <c r="R44" i="26"/>
  <c r="N44" i="26"/>
  <c r="O44" i="26"/>
  <c r="N94" i="26"/>
  <c r="K94" i="26"/>
  <c r="P94" i="26"/>
  <c r="R94" i="26"/>
  <c r="O94" i="26"/>
  <c r="L94" i="26"/>
  <c r="Q94" i="26"/>
  <c r="M94" i="26"/>
  <c r="AI44" i="25"/>
  <c r="AI37" i="25"/>
  <c r="P12" i="26"/>
  <c r="M12" i="26"/>
  <c r="L12" i="26"/>
  <c r="K12" i="26"/>
  <c r="O12" i="26"/>
  <c r="Q12" i="26"/>
  <c r="R12" i="26"/>
  <c r="N12" i="26"/>
  <c r="L25" i="26"/>
  <c r="K25" i="26"/>
  <c r="M25" i="26"/>
  <c r="R25" i="26"/>
  <c r="N25" i="26"/>
  <c r="O25" i="26"/>
  <c r="P25" i="26"/>
  <c r="Q25" i="26"/>
  <c r="O49" i="26"/>
  <c r="P49" i="26"/>
  <c r="Q49" i="26"/>
  <c r="L49" i="26"/>
  <c r="K49" i="26"/>
  <c r="R49" i="26"/>
  <c r="M49" i="26"/>
  <c r="N49" i="26"/>
  <c r="Q104" i="26"/>
  <c r="N104" i="26"/>
  <c r="L104" i="26"/>
  <c r="P104" i="26"/>
  <c r="M104" i="26"/>
  <c r="K104" i="26"/>
  <c r="O104" i="26"/>
  <c r="R104" i="26"/>
  <c r="L21" i="26"/>
  <c r="O21" i="26"/>
  <c r="N21" i="26"/>
  <c r="P21" i="26"/>
  <c r="M21" i="26"/>
  <c r="Q21" i="26"/>
  <c r="K21" i="26"/>
  <c r="R21" i="26"/>
  <c r="M17" i="26"/>
  <c r="K17" i="26"/>
  <c r="N17" i="26"/>
  <c r="O17" i="26"/>
  <c r="Q17" i="26"/>
  <c r="L17" i="26"/>
  <c r="P17" i="26"/>
  <c r="R17" i="26"/>
  <c r="M48" i="26"/>
  <c r="Q48" i="26"/>
  <c r="O48" i="26"/>
  <c r="N48" i="26"/>
  <c r="P48" i="26"/>
  <c r="K48" i="26"/>
  <c r="L48" i="26"/>
  <c r="R48" i="26"/>
  <c r="M27" i="26"/>
  <c r="R27" i="26"/>
  <c r="P27" i="26"/>
  <c r="O27" i="26"/>
  <c r="Q27" i="26"/>
  <c r="K27" i="26"/>
  <c r="N27" i="26"/>
  <c r="L27" i="26"/>
  <c r="Q65" i="26"/>
  <c r="L65" i="26"/>
  <c r="K65" i="26"/>
  <c r="M65" i="26"/>
  <c r="R65" i="26"/>
  <c r="N65" i="26"/>
  <c r="O65" i="26"/>
  <c r="P65" i="26"/>
  <c r="P78" i="26"/>
  <c r="R78" i="26"/>
  <c r="L78" i="26"/>
  <c r="Q78" i="26"/>
  <c r="M78" i="26"/>
  <c r="K78" i="26"/>
  <c r="O78" i="26"/>
  <c r="N78" i="26"/>
  <c r="AJ45" i="25"/>
  <c r="AJ38" i="25"/>
  <c r="AN4" i="35" s="1"/>
  <c r="O22" i="26"/>
  <c r="P22" i="26"/>
  <c r="R22" i="26"/>
  <c r="N22" i="26"/>
  <c r="Q22" i="26"/>
  <c r="K22" i="26"/>
  <c r="L22" i="26"/>
  <c r="M22" i="26"/>
  <c r="M42" i="26"/>
  <c r="Q42" i="26"/>
  <c r="N42" i="26"/>
  <c r="O42" i="26"/>
  <c r="P42" i="26"/>
  <c r="R42" i="26"/>
  <c r="K42" i="26"/>
  <c r="L42" i="26"/>
  <c r="AJ44" i="25"/>
  <c r="AJ37" i="25"/>
  <c r="K83" i="26"/>
  <c r="O83" i="26"/>
  <c r="Q83" i="26"/>
  <c r="L83" i="26"/>
  <c r="P83" i="26"/>
  <c r="M83" i="26"/>
  <c r="N83" i="26"/>
  <c r="R83" i="26"/>
  <c r="Q26" i="26"/>
  <c r="L26" i="26"/>
  <c r="M26" i="26"/>
  <c r="O26" i="26"/>
  <c r="K26" i="26"/>
  <c r="R26" i="26"/>
  <c r="P26" i="26"/>
  <c r="N26" i="26"/>
  <c r="M63" i="26"/>
  <c r="K63" i="26"/>
  <c r="L63" i="26"/>
  <c r="O63" i="26"/>
  <c r="Q63" i="26"/>
  <c r="P63" i="26"/>
  <c r="N63" i="26"/>
  <c r="R63" i="26"/>
  <c r="P45" i="26"/>
  <c r="L45" i="26"/>
  <c r="O45" i="26"/>
  <c r="M45" i="26"/>
  <c r="R45" i="26"/>
  <c r="N45" i="26"/>
  <c r="Q45" i="26"/>
  <c r="K45" i="26"/>
  <c r="K97" i="26"/>
  <c r="L97" i="26"/>
  <c r="R97" i="26"/>
  <c r="M97" i="26"/>
  <c r="P97" i="26"/>
  <c r="N97" i="26"/>
  <c r="Q97" i="26"/>
  <c r="O97" i="26"/>
  <c r="Q24" i="26"/>
  <c r="M24" i="26"/>
  <c r="O24" i="26"/>
  <c r="N24" i="26"/>
  <c r="R24" i="26"/>
  <c r="P24" i="26"/>
  <c r="L24" i="26"/>
  <c r="K24" i="26"/>
  <c r="O35" i="26"/>
  <c r="P35" i="26"/>
  <c r="R35" i="26"/>
  <c r="Q35" i="26"/>
  <c r="L35" i="26"/>
  <c r="K35" i="26"/>
  <c r="M35" i="26"/>
  <c r="N35" i="26"/>
  <c r="AI38" i="25"/>
  <c r="AL4" i="35" s="1"/>
  <c r="AI45" i="25"/>
  <c r="P81" i="26"/>
  <c r="M81" i="26"/>
  <c r="O81" i="26"/>
  <c r="Q81" i="26"/>
  <c r="K81" i="26"/>
  <c r="N81" i="26"/>
  <c r="R81" i="26"/>
  <c r="L81" i="26"/>
  <c r="P9" i="26"/>
  <c r="M9" i="26"/>
  <c r="N9" i="26"/>
  <c r="O9" i="26"/>
  <c r="Q9" i="26"/>
  <c r="K9" i="26"/>
  <c r="R9" i="26"/>
  <c r="L9" i="26"/>
  <c r="L16" i="26"/>
  <c r="Q16" i="26"/>
  <c r="O16" i="26"/>
  <c r="P16" i="26"/>
  <c r="K16" i="26"/>
  <c r="R16" i="26"/>
  <c r="M16" i="26"/>
  <c r="N16" i="26"/>
  <c r="M99" i="26"/>
  <c r="Q99" i="26"/>
  <c r="L99" i="26"/>
  <c r="O99" i="26"/>
  <c r="N99" i="26"/>
  <c r="R99" i="26"/>
  <c r="P99" i="26"/>
  <c r="K99" i="26"/>
  <c r="Q67" i="26"/>
  <c r="P67" i="26"/>
  <c r="L67" i="26"/>
  <c r="K67" i="26"/>
  <c r="M67" i="26"/>
  <c r="O67" i="26"/>
  <c r="R67" i="26"/>
  <c r="N67" i="26"/>
  <c r="L32" i="26"/>
  <c r="K32" i="26"/>
  <c r="P32" i="26"/>
  <c r="N32" i="26"/>
  <c r="Q32" i="26"/>
  <c r="M32" i="26"/>
  <c r="O32" i="26"/>
  <c r="R32" i="26"/>
  <c r="N87" i="26"/>
  <c r="Q87" i="26"/>
  <c r="O87" i="26"/>
  <c r="K87" i="26"/>
  <c r="P87" i="26"/>
  <c r="L87" i="26"/>
  <c r="R87" i="26"/>
  <c r="M87" i="26"/>
  <c r="K76" i="26"/>
  <c r="O76" i="26"/>
  <c r="Q76" i="26"/>
  <c r="L76" i="26"/>
  <c r="R76" i="26"/>
  <c r="M76" i="26"/>
  <c r="N76" i="26"/>
  <c r="P76" i="26"/>
  <c r="AB80" i="26" s="1"/>
  <c r="AS22" i="26" s="1"/>
  <c r="R86" i="26"/>
  <c r="L86" i="26"/>
  <c r="O86" i="26"/>
  <c r="M86" i="26"/>
  <c r="K86" i="26"/>
  <c r="Q86" i="26"/>
  <c r="P86" i="26"/>
  <c r="N86" i="26"/>
  <c r="N100" i="26"/>
  <c r="L100" i="26"/>
  <c r="R100" i="26"/>
  <c r="K100" i="26"/>
  <c r="M100" i="26"/>
  <c r="Q100" i="26"/>
  <c r="O100" i="26"/>
  <c r="P100" i="26"/>
  <c r="O64" i="26"/>
  <c r="Q64" i="26"/>
  <c r="N64" i="26"/>
  <c r="P64" i="26"/>
  <c r="K64" i="26"/>
  <c r="L64" i="26"/>
  <c r="R64" i="26"/>
  <c r="M64" i="26"/>
  <c r="L79" i="26"/>
  <c r="K79" i="26"/>
  <c r="M79" i="26"/>
  <c r="Q79" i="26"/>
  <c r="P79" i="26"/>
  <c r="R79" i="26"/>
  <c r="O79" i="26"/>
  <c r="N79" i="26"/>
  <c r="O56" i="26"/>
  <c r="R56" i="26"/>
  <c r="N56" i="26"/>
  <c r="K56" i="26"/>
  <c r="P56" i="26"/>
  <c r="M56" i="26"/>
  <c r="Q56" i="26"/>
  <c r="L56" i="26"/>
  <c r="M46" i="26"/>
  <c r="R46" i="26"/>
  <c r="Q46" i="26"/>
  <c r="P46" i="26"/>
  <c r="K46" i="26"/>
  <c r="L46" i="26"/>
  <c r="O46" i="26"/>
  <c r="N46" i="26"/>
  <c r="N92" i="26"/>
  <c r="K92" i="26"/>
  <c r="L92" i="26"/>
  <c r="R92" i="26"/>
  <c r="M92" i="26"/>
  <c r="O92" i="26"/>
  <c r="P92" i="26"/>
  <c r="Q92" i="26"/>
  <c r="AK47" i="25"/>
  <c r="O7" i="26"/>
  <c r="L7" i="26"/>
  <c r="Q7" i="26"/>
  <c r="N7" i="26"/>
  <c r="K7" i="26"/>
  <c r="M7" i="26"/>
  <c r="P7" i="26"/>
  <c r="R7" i="26"/>
  <c r="M98" i="26"/>
  <c r="P98" i="26"/>
  <c r="N98" i="26"/>
  <c r="Q98" i="26"/>
  <c r="K98" i="26"/>
  <c r="R98" i="26"/>
  <c r="L98" i="26"/>
  <c r="O98" i="26"/>
  <c r="Q33" i="26"/>
  <c r="R33" i="26"/>
  <c r="L33" i="26"/>
  <c r="K33" i="26"/>
  <c r="N33" i="26"/>
  <c r="P33" i="26"/>
  <c r="M33" i="26"/>
  <c r="O33" i="26"/>
  <c r="N55" i="26"/>
  <c r="R55" i="26"/>
  <c r="Q55" i="26"/>
  <c r="O55" i="26"/>
  <c r="L55" i="26"/>
  <c r="M55" i="26"/>
  <c r="P55" i="26"/>
  <c r="K55" i="26"/>
  <c r="AB85" i="26" l="1"/>
  <c r="AS34" i="26" s="1"/>
  <c r="AT94" i="26" s="1"/>
  <c r="AB79" i="26"/>
  <c r="AS19" i="26" s="1"/>
  <c r="AB75" i="26"/>
  <c r="AS7" i="26" s="1"/>
  <c r="AB78" i="26"/>
  <c r="AS16" i="26" s="1"/>
  <c r="AB77" i="26"/>
  <c r="AS13" i="26" s="1"/>
  <c r="AB82" i="26"/>
  <c r="AS28" i="26" s="1"/>
  <c r="AB76" i="26"/>
  <c r="AS10" i="26" s="1"/>
  <c r="AB81" i="26"/>
  <c r="AS25" i="26" s="1"/>
  <c r="AB84" i="26"/>
  <c r="AS31" i="26" s="1"/>
  <c r="AT91" i="26" s="1"/>
  <c r="AB42" i="26"/>
  <c r="AS12" i="26" s="1"/>
  <c r="AB40" i="26"/>
  <c r="AS6" i="26" s="1"/>
  <c r="AB46" i="26"/>
  <c r="AS24" i="26" s="1"/>
  <c r="AB47" i="26"/>
  <c r="AS27" i="26" s="1"/>
  <c r="AB50" i="26"/>
  <c r="AS33" i="26" s="1"/>
  <c r="AT93" i="26" s="1"/>
  <c r="AB49" i="26"/>
  <c r="AS30" i="26" s="1"/>
  <c r="AT90" i="26" s="1"/>
  <c r="AB43" i="26"/>
  <c r="AS15" i="26" s="1"/>
  <c r="AB45" i="26"/>
  <c r="AS21" i="26" s="1"/>
  <c r="AT81" i="26" s="1"/>
  <c r="AB41" i="26"/>
  <c r="AS9" i="26" s="1"/>
  <c r="AT69" i="26" s="1"/>
  <c r="AB44" i="26"/>
  <c r="AS18" i="26" s="1"/>
  <c r="AB5" i="26"/>
  <c r="AS5" i="26" s="1"/>
  <c r="AT65" i="26" s="1"/>
  <c r="AB8" i="26"/>
  <c r="AS14" i="26" s="1"/>
  <c r="AT74" i="26" s="1"/>
  <c r="AB14" i="26"/>
  <c r="AS29" i="26" s="1"/>
  <c r="AT89" i="26" s="1"/>
  <c r="AB15" i="26"/>
  <c r="AS32" i="26" s="1"/>
  <c r="AT92" i="26" s="1"/>
  <c r="AB11" i="26"/>
  <c r="AS23" i="26" s="1"/>
  <c r="AT83" i="26" s="1"/>
  <c r="AB10" i="26"/>
  <c r="AS20" i="26" s="1"/>
  <c r="AT80" i="26" s="1"/>
  <c r="AB9" i="26"/>
  <c r="AS17" i="26" s="1"/>
  <c r="AT77" i="26" s="1"/>
  <c r="AI4" i="35"/>
  <c r="AV40" i="25"/>
  <c r="AB7" i="26"/>
  <c r="AS11" i="26" s="1"/>
  <c r="AT71" i="26" s="1"/>
  <c r="AB6" i="26"/>
  <c r="AS8" i="26" s="1"/>
  <c r="AT68" i="26" s="1"/>
  <c r="AB12" i="26"/>
  <c r="AS26" i="26" s="1"/>
  <c r="AT86" i="26" s="1"/>
  <c r="AG4" i="35"/>
  <c r="AU40" i="25"/>
  <c r="AE4" i="35"/>
  <c r="AT40" i="25"/>
  <c r="AH4" i="35"/>
  <c r="AJ40" i="25"/>
  <c r="AH40" i="25"/>
  <c r="AF4" i="35"/>
  <c r="AI40" i="25"/>
  <c r="U46" i="36"/>
  <c r="U48" i="36"/>
  <c r="AD47" i="36"/>
  <c r="AD83" i="36"/>
  <c r="AD77" i="36"/>
  <c r="U80" i="36"/>
  <c r="U79" i="36"/>
  <c r="AD81" i="36"/>
  <c r="U82" i="36"/>
  <c r="U78" i="36"/>
  <c r="U84" i="36"/>
  <c r="U77" i="36"/>
  <c r="U83" i="36"/>
  <c r="AD78" i="36"/>
  <c r="AD84" i="36"/>
  <c r="AD80" i="36"/>
  <c r="U81" i="36"/>
  <c r="AD79" i="36"/>
  <c r="AD82" i="36"/>
  <c r="U45" i="36"/>
  <c r="U42" i="36"/>
  <c r="AD44" i="36"/>
  <c r="U49" i="36"/>
  <c r="U43" i="36"/>
  <c r="AD46" i="36"/>
  <c r="AD48" i="36"/>
  <c r="AD45" i="36"/>
  <c r="U47" i="36"/>
  <c r="AD43" i="36"/>
  <c r="U44" i="36"/>
  <c r="AD42" i="36"/>
  <c r="AD49" i="36"/>
  <c r="U7" i="36"/>
  <c r="AD7" i="36"/>
  <c r="U9" i="36"/>
  <c r="U10" i="36"/>
  <c r="U12" i="36"/>
  <c r="AD12" i="36"/>
  <c r="U11" i="36"/>
  <c r="U14" i="36"/>
  <c r="AD14" i="36"/>
  <c r="AD11" i="36"/>
  <c r="AD10" i="36"/>
  <c r="U8" i="36"/>
  <c r="AD9" i="36"/>
  <c r="AD8" i="36"/>
  <c r="U13" i="36"/>
  <c r="AD13" i="36"/>
  <c r="AJ47" i="25"/>
  <c r="BP4" i="35" s="1"/>
  <c r="AT76" i="26"/>
  <c r="AT67" i="26"/>
  <c r="AT73" i="26"/>
  <c r="AT85" i="26"/>
  <c r="AT82" i="26"/>
  <c r="AT79" i="26"/>
  <c r="AT78" i="26"/>
  <c r="AT84" i="26"/>
  <c r="AT72" i="26"/>
  <c r="AT88" i="26"/>
  <c r="BN4" i="35"/>
  <c r="AT87" i="26"/>
  <c r="AT66" i="26"/>
  <c r="AT70" i="26"/>
  <c r="AI47" i="25"/>
  <c r="BO4" i="35" s="1"/>
  <c r="AT75" i="26"/>
  <c r="AP12" i="36" l="1"/>
  <c r="AP23" i="36"/>
  <c r="AP11" i="36"/>
  <c r="AP13" i="36"/>
  <c r="AP10" i="36"/>
  <c r="AP8" i="36"/>
  <c r="AP20" i="36"/>
  <c r="AP9" i="36"/>
  <c r="AP7" i="36"/>
  <c r="AP22" i="36"/>
  <c r="AP19" i="36"/>
  <c r="AP24" i="36"/>
  <c r="AP14" i="36"/>
  <c r="AP18" i="36"/>
  <c r="AP21" i="36"/>
  <c r="AP17" i="36"/>
  <c r="BJ12" i="26"/>
  <c r="BJ25" i="26" s="1"/>
  <c r="BJ9" i="26"/>
  <c r="BJ22" i="26" s="1"/>
  <c r="BJ5" i="26"/>
  <c r="BJ18" i="26" s="1"/>
  <c r="BJ8" i="26"/>
  <c r="BJ21" i="26" s="1"/>
  <c r="BJ11" i="26"/>
  <c r="BJ24" i="26" s="1"/>
  <c r="BJ6" i="26"/>
  <c r="BJ19" i="26" s="1"/>
  <c r="BJ7" i="26"/>
  <c r="BJ20" i="26" s="1"/>
  <c r="BJ10" i="26"/>
  <c r="BJ23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Amlung</author>
  </authors>
  <commentList>
    <comment ref="F2" authorId="0" shapeId="0" xr:uid="{00000000-0006-0000-0B00-000001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M2" authorId="0" shapeId="0" xr:uid="{00000000-0006-0000-0B00-000002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T2" authorId="0" shapeId="0" xr:uid="{00000000-0006-0000-0B00-000003000000}">
      <text>
        <r>
          <rPr>
            <b/>
            <sz val="10"/>
            <color indexed="81"/>
            <rFont val="Calibri"/>
            <family val="2"/>
          </rPr>
          <t>Michael Amlung:
Original rule:
Approach = max consumption
Ambivalent = &lt; Max and &gt; 0
Avoid = 0
Rule 2:
Apporach = max consumption and max-1
Ambivalent = In between
Avoid = 0</t>
        </r>
      </text>
    </comment>
  </commentList>
</comments>
</file>

<file path=xl/sharedStrings.xml><?xml version="1.0" encoding="utf-8"?>
<sst xmlns="http://schemas.openxmlformats.org/spreadsheetml/2006/main" count="2894" uniqueCount="427">
  <si>
    <t>Group</t>
  </si>
  <si>
    <t>Choice</t>
  </si>
  <si>
    <t>ISI</t>
  </si>
  <si>
    <t>price</t>
  </si>
  <si>
    <t>PRICES</t>
  </si>
  <si>
    <t>Run 1</t>
  </si>
  <si>
    <t>Run 2</t>
  </si>
  <si>
    <t>Run 3</t>
  </si>
  <si>
    <t>Response</t>
  </si>
  <si>
    <t>Item#</t>
  </si>
  <si>
    <t>Run1</t>
  </si>
  <si>
    <t>Run2</t>
  </si>
  <si>
    <t>Run3</t>
  </si>
  <si>
    <t>Price</t>
  </si>
  <si>
    <t>Intensity</t>
  </si>
  <si>
    <t>Omax</t>
  </si>
  <si>
    <t>Breakpoint</t>
  </si>
  <si>
    <t>Expenditure</t>
  </si>
  <si>
    <t>aptTrials</t>
  </si>
  <si>
    <t>MISSING</t>
  </si>
  <si>
    <t>TOTAL MISSING</t>
  </si>
  <si>
    <t xml:space="preserve"> </t>
  </si>
  <si>
    <t>R1</t>
  </si>
  <si>
    <t>R2</t>
  </si>
  <si>
    <t>R3</t>
  </si>
  <si>
    <t>Run 3 Alcohol</t>
  </si>
  <si>
    <t>Overall</t>
  </si>
  <si>
    <t>Reversal?</t>
  </si>
  <si>
    <t>--</t>
  </si>
  <si>
    <t># Reversals</t>
  </si>
  <si>
    <t>Consistency</t>
  </si>
  <si>
    <t>AVERAGE CONSUMPTION</t>
  </si>
  <si>
    <t>EXPENDITURE</t>
  </si>
  <si>
    <t>Omax (Max Expenditure)</t>
  </si>
  <si>
    <t>Breakpoint Price</t>
  </si>
  <si>
    <t>Potential Breakpoint?</t>
  </si>
  <si>
    <t>DEMAND INDICES</t>
  </si>
  <si>
    <t>Trial</t>
  </si>
  <si>
    <t>Decide Total Duration</t>
  </si>
  <si>
    <t>Input Total Duration</t>
  </si>
  <si>
    <t>Running Total</t>
  </si>
  <si>
    <t>INSTRUCTIONS</t>
  </si>
  <si>
    <t>x</t>
  </si>
  <si>
    <t>Max</t>
  </si>
  <si>
    <t>aptTrial</t>
  </si>
  <si>
    <t>StartOffset</t>
  </si>
  <si>
    <t>InputOffset</t>
  </si>
  <si>
    <t>RT</t>
  </si>
  <si>
    <t>Slop</t>
  </si>
  <si>
    <t>&lt;5000</t>
  </si>
  <si>
    <t>Instructions Onset</t>
  </si>
  <si>
    <t>Final ISI Offset</t>
  </si>
  <si>
    <t>Target</t>
  </si>
  <si>
    <t>ERROR (Actual - Target)</t>
  </si>
  <si>
    <t xml:space="preserve">Actual Duration </t>
  </si>
  <si>
    <t>Trigger</t>
  </si>
  <si>
    <t>&lt;--Use this to subtract time before scanner started</t>
  </si>
  <si>
    <t>Instructions Offset</t>
  </si>
  <si>
    <t>Decide</t>
  </si>
  <si>
    <t>Input</t>
  </si>
  <si>
    <t>(RT)</t>
  </si>
  <si>
    <t>Submitted</t>
  </si>
  <si>
    <t>Onset-Actual</t>
  </si>
  <si>
    <t>Start-Onset</t>
  </si>
  <si>
    <t>Duration-Actual</t>
  </si>
  <si>
    <t>Onset-Adjusted</t>
  </si>
  <si>
    <t>Start-Onset Adjusted</t>
  </si>
  <si>
    <t>Start-Offset</t>
  </si>
  <si>
    <t>Submitted-Onset</t>
  </si>
  <si>
    <t>Start-Offset-Adjusted</t>
  </si>
  <si>
    <t>Submitted-Onset-Adjusted</t>
  </si>
  <si>
    <t>Offset-Actual</t>
  </si>
  <si>
    <t>Offset-Adjusted</t>
  </si>
  <si>
    <t>TargetedISI</t>
  </si>
  <si>
    <t>Error</t>
  </si>
  <si>
    <t>Duration</t>
  </si>
  <si>
    <t>CUMULATIVE START</t>
  </si>
  <si>
    <t>EXTRACT APPROACH</t>
  </si>
  <si>
    <t>EXTRACT AMBIVALENT</t>
  </si>
  <si>
    <t>EXTRACT AVOID</t>
  </si>
  <si>
    <t>type</t>
  </si>
  <si>
    <t>RT1</t>
  </si>
  <si>
    <t>RT2</t>
  </si>
  <si>
    <t>RT3</t>
  </si>
  <si>
    <t>Run1Type</t>
  </si>
  <si>
    <t>Run2Type</t>
  </si>
  <si>
    <t>Run3Type</t>
  </si>
  <si>
    <t>APPROACH_RT</t>
  </si>
  <si>
    <t>AMBIVALENT_RT</t>
  </si>
  <si>
    <t>AVOID_RT</t>
  </si>
  <si>
    <t>Approach</t>
  </si>
  <si>
    <t>Ambivalent</t>
  </si>
  <si>
    <t>Avoid</t>
  </si>
  <si>
    <t>Missing</t>
  </si>
  <si>
    <t>APPROACH</t>
  </si>
  <si>
    <t>AMBIV</t>
  </si>
  <si>
    <t>AVOID</t>
  </si>
  <si>
    <t>&lt;--in seconds</t>
  </si>
  <si>
    <t>Concatenate</t>
  </si>
  <si>
    <t>Cumulative</t>
  </si>
  <si>
    <t>Choice Type</t>
  </si>
  <si>
    <t xml:space="preserve">Run1 </t>
  </si>
  <si>
    <t>Onset</t>
  </si>
  <si>
    <t xml:space="preserve">Run2 </t>
  </si>
  <si>
    <t>APPROACH_COUNT</t>
  </si>
  <si>
    <t>AMBIVALENT_COUNT</t>
  </si>
  <si>
    <t>AVOID_COUNT</t>
  </si>
  <si>
    <t>MISSING_COUNT</t>
  </si>
  <si>
    <t>AMBIVALENT_AVG_CONS</t>
  </si>
  <si>
    <t>APPROACH_AVG_CONS</t>
  </si>
  <si>
    <t>AVOID_AVG_CONS</t>
  </si>
  <si>
    <t>TOTAL:</t>
  </si>
  <si>
    <t>Rule 2 (see comment)</t>
  </si>
  <si>
    <t>Original Rule</t>
  </si>
  <si>
    <t>CONSISTENCY</t>
  </si>
  <si>
    <t># Reversal</t>
  </si>
  <si>
    <t>COUNT</t>
  </si>
  <si>
    <t>AVERAGE CONSISTENCY</t>
  </si>
  <si>
    <t>VERSION FOR PASTING INTO TERMINAL TO CREATE 1D STIM_TIMES FILES</t>
  </si>
  <si>
    <t>SUBJECT ID CHECK:</t>
  </si>
  <si>
    <t>^^^^^^^^</t>
  </si>
  <si>
    <t>COPY THE GREEN CELLS ABOVE (INCLUDING BLANK CELL AT BOTTOM) AND PASTE INTO A TERMINAL IN THE PARTICIPANT'S FMRI DATA DIRECTORY</t>
  </si>
  <si>
    <t>CONCATENATE INDIVIDUAL RUNS</t>
  </si>
  <si>
    <t>Run1-3</t>
  </si>
  <si>
    <t>CONCATENATE THREE RUNS</t>
  </si>
  <si>
    <t>Instructions Duration</t>
  </si>
  <si>
    <t>&gt;7000</t>
  </si>
  <si>
    <t># &gt; 7 SEC</t>
  </si>
  <si>
    <t>mkdir stim_times</t>
  </si>
  <si>
    <t>mv *stim*1D stim_times</t>
  </si>
  <si>
    <t>Participant ID</t>
  </si>
  <si>
    <t>Final APT run</t>
  </si>
  <si>
    <t>% missing data</t>
  </si>
  <si>
    <t>^^ if this doesn't say LOW you have pasted the data into the wrong macro</t>
  </si>
  <si>
    <t>Mean Intensity</t>
  </si>
  <si>
    <t>Mean Omax</t>
  </si>
  <si>
    <t>Mean Breakpoint</t>
  </si>
  <si>
    <t>R1 Intensity</t>
  </si>
  <si>
    <t>R1 Omax</t>
  </si>
  <si>
    <t>R1 Breakpoint</t>
  </si>
  <si>
    <t>R2 Intensity</t>
  </si>
  <si>
    <t>R2 Omax</t>
  </si>
  <si>
    <t>R2 Breakpoint</t>
  </si>
  <si>
    <t>R3 Intensity</t>
  </si>
  <si>
    <t>R3 Omax</t>
  </si>
  <si>
    <t>R3 Breakpoint</t>
  </si>
  <si>
    <t>Copy and paste into Excel spreadsheet (paste as VALUES):</t>
  </si>
  <si>
    <t>Formulation of Timing Files For Each Run</t>
  </si>
  <si>
    <t>PASTE INTO MASTER SPREADSHEETS</t>
  </si>
  <si>
    <t>ONSET</t>
  </si>
  <si>
    <t>RUN 1</t>
  </si>
  <si>
    <t>DURATION</t>
  </si>
  <si>
    <t>ALL RUNS</t>
  </si>
  <si>
    <t xml:space="preserve">ONSET </t>
  </si>
  <si>
    <t>INPUT</t>
  </si>
  <si>
    <t>Stim</t>
  </si>
  <si>
    <t xml:space="preserve">Decide </t>
  </si>
  <si>
    <t xml:space="preserve">Input </t>
  </si>
  <si>
    <t>Approach_Decide</t>
  </si>
  <si>
    <t>Approach_Input</t>
  </si>
  <si>
    <t>Ambivalent_Decide</t>
  </si>
  <si>
    <t>Ambivalent_Input</t>
  </si>
  <si>
    <t>Avoid_Decide</t>
  </si>
  <si>
    <t>Avoid_Input</t>
  </si>
  <si>
    <t>Missing_Decide</t>
  </si>
  <si>
    <t>Missing_Input</t>
  </si>
  <si>
    <t>RUN 2</t>
  </si>
  <si>
    <t>RUN 3</t>
  </si>
  <si>
    <t>NEW RULE:</t>
  </si>
  <si>
    <t>ExperimentName</t>
  </si>
  <si>
    <t>Subject</t>
  </si>
  <si>
    <t>Session</t>
  </si>
  <si>
    <t>Clock.Information</t>
  </si>
  <si>
    <t>DataFile.Basename</t>
  </si>
  <si>
    <t>Display.RefreshRate</t>
  </si>
  <si>
    <t>ExperimentVersion</t>
  </si>
  <si>
    <t>Instructions.Duration</t>
  </si>
  <si>
    <t>Instructions.DurationError</t>
  </si>
  <si>
    <t>Instructions.OffsetDelay</t>
  </si>
  <si>
    <t>Instructions.OffsetTime</t>
  </si>
  <si>
    <t>Instructions.OnsetDelay</t>
  </si>
  <si>
    <t>Instructions.OnsetTime</t>
  </si>
  <si>
    <t>Instructions.OnsetToOnsetTime</t>
  </si>
  <si>
    <t>Instructions.RESP</t>
  </si>
  <si>
    <t>Instructions.RT</t>
  </si>
  <si>
    <t>Instructions.RTTime</t>
  </si>
  <si>
    <t>RandomSeed</t>
  </si>
  <si>
    <t>RuntimeCapabilities</t>
  </si>
  <si>
    <t>RuntimeVersion</t>
  </si>
  <si>
    <t>RuntimeVersionExpected</t>
  </si>
  <si>
    <t>SessionDate</t>
  </si>
  <si>
    <t>SessionStartDateTimeUtc</t>
  </si>
  <si>
    <t>SessionTime</t>
  </si>
  <si>
    <t>StudioVersion</t>
  </si>
  <si>
    <t>Trigger.DEVICE</t>
  </si>
  <si>
    <t>Trigger.Duration</t>
  </si>
  <si>
    <t>Trigger.DurationError</t>
  </si>
  <si>
    <t>Trigger.OffsetTime</t>
  </si>
  <si>
    <t>Trigger.OnsetDelay</t>
  </si>
  <si>
    <t>Trigger.OnsetTime</t>
  </si>
  <si>
    <t>Trigger.OnsetToOnsetTime</t>
  </si>
  <si>
    <t>Trigger.RESP</t>
  </si>
  <si>
    <t>Trigger.RT</t>
  </si>
  <si>
    <t>Trigger.RTTime</t>
  </si>
  <si>
    <t>Block</t>
  </si>
  <si>
    <t>aptTrials.Cycle</t>
  </si>
  <si>
    <t>aptTrials.Sample</t>
  </si>
  <si>
    <t>currentChoice</t>
  </si>
  <si>
    <t>decideduration</t>
  </si>
  <si>
    <t>decideNew.ACC</t>
  </si>
  <si>
    <t>decideNew.CRESP</t>
  </si>
  <si>
    <t>decideNew.Duration</t>
  </si>
  <si>
    <t>decideNew.DurationError</t>
  </si>
  <si>
    <t>decideNew.FinishTime</t>
  </si>
  <si>
    <t>decideNew.OffsetDelay</t>
  </si>
  <si>
    <t>decideNew.OffsetTime</t>
  </si>
  <si>
    <t>decideNew.OnsetDelay</t>
  </si>
  <si>
    <t>decideNew.OnsetTime</t>
  </si>
  <si>
    <t>decideNew.OnsetToOnsetTime</t>
  </si>
  <si>
    <t>decideNew.PreRelease</t>
  </si>
  <si>
    <t>decideNew.RESP</t>
  </si>
  <si>
    <t>decideNew.RT</t>
  </si>
  <si>
    <t>decideNew.RTTime</t>
  </si>
  <si>
    <t>decideNew.StartTime</t>
  </si>
  <si>
    <t>decideNew.TargetOffsetTime</t>
  </si>
  <si>
    <t>decideNew.TargetOnsetTime</t>
  </si>
  <si>
    <t>inputduration</t>
  </si>
  <si>
    <t>inputresponse.ACC</t>
  </si>
  <si>
    <t>inputresponse.CRESP</t>
  </si>
  <si>
    <t>inputresponse.DEVICE</t>
  </si>
  <si>
    <t>inputresponse.Duration</t>
  </si>
  <si>
    <t>inputresponse.DurationError</t>
  </si>
  <si>
    <t>inputresponse.FinishTime</t>
  </si>
  <si>
    <t>inputresponse.OffsetTime</t>
  </si>
  <si>
    <t>inputresponse.OnsetDelay</t>
  </si>
  <si>
    <t>inputresponse.OnsetTime</t>
  </si>
  <si>
    <t>inputresponse.OnsetToOnsetTime</t>
  </si>
  <si>
    <t>inputresponse.PreRelease</t>
  </si>
  <si>
    <t>inputresponse.RESP</t>
  </si>
  <si>
    <t>inputresponse.RT</t>
  </si>
  <si>
    <t>inputresponse.RTTime</t>
  </si>
  <si>
    <t>inputresponse.StartTime</t>
  </si>
  <si>
    <t>inputresponse.TargetOffsetTime</t>
  </si>
  <si>
    <t>inputresponse.TargetOnsetTime</t>
  </si>
  <si>
    <t>ISI.ACC</t>
  </si>
  <si>
    <t>ISI.CRESP</t>
  </si>
  <si>
    <t>ISI.Duration</t>
  </si>
  <si>
    <t>ISI.DurationError</t>
  </si>
  <si>
    <t>ISI.FinishTime</t>
  </si>
  <si>
    <t>ISI.OffsetDelay</t>
  </si>
  <si>
    <t>ISI.OffsetTime</t>
  </si>
  <si>
    <t>ISI.OnsetDelay</t>
  </si>
  <si>
    <t>ISI.OnsetTime</t>
  </si>
  <si>
    <t>ISI.OnsetToOnsetTime</t>
  </si>
  <si>
    <t>ISI.PreRelease</t>
  </si>
  <si>
    <t>ISI.RESP</t>
  </si>
  <si>
    <t>ISI.RT</t>
  </si>
  <si>
    <t>ISI.RTTime</t>
  </si>
  <si>
    <t>ISI.StartTime</t>
  </si>
  <si>
    <t>ISI.TargetOffsetTime</t>
  </si>
  <si>
    <t>ISI.TargetOnsetTime</t>
  </si>
  <si>
    <t>maxpos</t>
  </si>
  <si>
    <t>minpos</t>
  </si>
  <si>
    <t>pos1</t>
  </si>
  <si>
    <t>pos10</t>
  </si>
  <si>
    <t>pos11</t>
  </si>
  <si>
    <t>pos2</t>
  </si>
  <si>
    <t>pos3</t>
  </si>
  <si>
    <t>pos4</t>
  </si>
  <si>
    <t>pos5</t>
  </si>
  <si>
    <t>pos6</t>
  </si>
  <si>
    <t>pos7</t>
  </si>
  <si>
    <t>pos8</t>
  </si>
  <si>
    <t>pos9</t>
  </si>
  <si>
    <t>Procedure</t>
  </si>
  <si>
    <t>Running</t>
  </si>
  <si>
    <t>start.Duration</t>
  </si>
  <si>
    <t>start.DurationError</t>
  </si>
  <si>
    <t>start.OffsetTime</t>
  </si>
  <si>
    <t>start.OnsetDelay</t>
  </si>
  <si>
    <t>start.OnsetTime</t>
  </si>
  <si>
    <t>start.OnsetToOnsetTime</t>
  </si>
  <si>
    <t>submitduration</t>
  </si>
  <si>
    <t>submitted.ACC</t>
  </si>
  <si>
    <t>submitted.CRESP</t>
  </si>
  <si>
    <t>submitted.Duration</t>
  </si>
  <si>
    <t>submitted.DurationError</t>
  </si>
  <si>
    <t>submitted.FinishTime</t>
  </si>
  <si>
    <t>submitted.OffsetDelay</t>
  </si>
  <si>
    <t>submitted.OffsetTime</t>
  </si>
  <si>
    <t>submitted.OnsetDelay</t>
  </si>
  <si>
    <t>submitted.OnsetTime</t>
  </si>
  <si>
    <t>submitted.OnsetToOnsetTime</t>
  </si>
  <si>
    <t>submitted.PreRelease</t>
  </si>
  <si>
    <t>submitted.RESP</t>
  </si>
  <si>
    <t>submitted.RT</t>
  </si>
  <si>
    <t>submitted.RTTime</t>
  </si>
  <si>
    <t>submitted.StartTime</t>
  </si>
  <si>
    <t>submitted.TargetOffsetTime</t>
  </si>
  <si>
    <t>submitted.TargetOnsetTime</t>
  </si>
  <si>
    <t>trialnumber</t>
  </si>
  <si>
    <t>R01_NE_APT Run 1_Penultimate Prices EP3_Mar22</t>
  </si>
  <si>
    <t>1.0.0.107</t>
  </si>
  <si>
    <t>Full</t>
  </si>
  <si>
    <t>3.0.3.80</t>
  </si>
  <si>
    <t>3.0.3.82</t>
  </si>
  <si>
    <t>Keyboard</t>
  </si>
  <si>
    <t>?</t>
  </si>
  <si>
    <t>aptTrialProc</t>
  </si>
  <si>
    <t>R01_NE_APT Run 2_Penultimate Prices EP3_Mar22</t>
  </si>
  <si>
    <t>1.0.0.105</t>
  </si>
  <si>
    <t>R01_NE_APT Run 3_OverSampleLow_Penultimate Prices EP3_Mar22</t>
  </si>
  <si>
    <t>1.0.0.111</t>
  </si>
  <si>
    <t>ORIGINAL RULE:</t>
  </si>
  <si>
    <t>RULE 2:</t>
  </si>
  <si>
    <t>Mean Approach RT (OR)</t>
  </si>
  <si>
    <t>Mean Approach RT (NR)</t>
  </si>
  <si>
    <t>Mean Ambivalent RT (OR)</t>
  </si>
  <si>
    <t>Mean Ambivalent RT (NR)</t>
  </si>
  <si>
    <t>Mean Avoid RT (OR)</t>
  </si>
  <si>
    <t>Mean Avoid RT (NR)</t>
  </si>
  <si>
    <t>Mean Approach Consumption (OR)</t>
  </si>
  <si>
    <t>Mean Ambivalent Consumption (OR)</t>
  </si>
  <si>
    <t>Mean Avoid Consumption (OR)</t>
  </si>
  <si>
    <t>R1 Approach RT (OR)</t>
  </si>
  <si>
    <t>R1 Ambivalent RT (OR)</t>
  </si>
  <si>
    <t>R1 Avoid RT (OR)</t>
  </si>
  <si>
    <t>R2 Approach RT (OR)</t>
  </si>
  <si>
    <t>R2 Ambivalent RT (OR)</t>
  </si>
  <si>
    <t>R2 Avoid RT (OR)</t>
  </si>
  <si>
    <t>R3 Approach RT (OR)</t>
  </si>
  <si>
    <t>R3 Ambivalent RT (OR)</t>
  </si>
  <si>
    <t>R3 Avoid RT (OR)</t>
  </si>
  <si>
    <t>R1 Approach Consumption (OR)</t>
  </si>
  <si>
    <t>R1 Ambivalent Consumption (OR)</t>
  </si>
  <si>
    <t>R1 Avoid Consumption (OR)</t>
  </si>
  <si>
    <t>R2 Approach Consumption (OR)</t>
  </si>
  <si>
    <t>R2 Ambivalent Consumption (OR)</t>
  </si>
  <si>
    <t>R2 Avoid Consumption (OR)</t>
  </si>
  <si>
    <t>R3 Approach Consumption (OR)</t>
  </si>
  <si>
    <t>R3 Ambivalent Consumption (OR)</t>
  </si>
  <si>
    <t>R3 Avoid Consumption (OR)</t>
  </si>
  <si>
    <t>Mean Approach Consumption (NR)</t>
  </si>
  <si>
    <t>Mean Ambivalent Consumption (NR)</t>
  </si>
  <si>
    <t>Mean Avoid Consumption (NR)</t>
  </si>
  <si>
    <t>R1 Approach RT (NR)</t>
  </si>
  <si>
    <t>R1 Ambivalent RT (NR)</t>
  </si>
  <si>
    <t>R1 Avoid RT (NR)</t>
  </si>
  <si>
    <t>R2 Approach RT (NR)</t>
  </si>
  <si>
    <t>R2 Ambivalent RT (NR)</t>
  </si>
  <si>
    <t>R2 Avoid RT (NR)</t>
  </si>
  <si>
    <t>R3 Approach RT (NR)</t>
  </si>
  <si>
    <t>R3 Ambivalent RT (NR)</t>
  </si>
  <si>
    <t>R3 Avoid RT (NR)</t>
  </si>
  <si>
    <t>R1 Approach Consumption (NR)</t>
  </si>
  <si>
    <t>R1 Ambivalent Consumption (NR)</t>
  </si>
  <si>
    <t>R1 Avoid Consumption (NR)</t>
  </si>
  <si>
    <t>R2 Approach Consumption (NR)</t>
  </si>
  <si>
    <t>R2 Ambivalent Consumption (NR)</t>
  </si>
  <si>
    <t>R2 Avoid Consumption (NR)</t>
  </si>
  <si>
    <t>R3 Approach Consumption (NR)</t>
  </si>
  <si>
    <t>R3 Ambivalent Consumption (NR)</t>
  </si>
  <si>
    <t>R3 Avoid Consumption (NR)</t>
  </si>
  <si>
    <t>Total Approach (OR)</t>
  </si>
  <si>
    <t>Total Ambivalent (OR)</t>
  </si>
  <si>
    <t>Total Avoid (OR)</t>
  </si>
  <si>
    <t>Total Approach (NR)</t>
  </si>
  <si>
    <t>Total Ambivalent (NR)</t>
  </si>
  <si>
    <t>Total Avoid (NR)</t>
  </si>
  <si>
    <t>MEAN OF MEANS:</t>
  </si>
  <si>
    <t>TOTAL MEAN:</t>
  </si>
  <si>
    <t>Overall Mean Reaction Time</t>
  </si>
  <si>
    <t>Changed to 0 for local</t>
  </si>
  <si>
    <t>changed to 0 for local</t>
  </si>
  <si>
    <t>ALL CHOICES + MISSING</t>
  </si>
  <si>
    <t>AllChoices</t>
  </si>
  <si>
    <t>AFNI PROC PY VERSION OF TIMINGS (LOCAL TIMES, 1 RUN PER ROW, 9999:9999 FOR NO TRIALS IN A CONDITION</t>
  </si>
  <si>
    <t>Runs 1-3</t>
  </si>
  <si>
    <t>COMMANDS FOR PASTING INTO TERMINAL TO CREATE .TXT STIM_TIMES FILES</t>
  </si>
  <si>
    <t>NOTE the use of append "&gt;&gt;" instead of "&gt;"</t>
  </si>
  <si>
    <t>AppDec_local.txt</t>
  </si>
  <si>
    <t>AppInp_local.txt</t>
  </si>
  <si>
    <t>AmbDec_local.txt</t>
  </si>
  <si>
    <t>AmbInp_local.txt</t>
  </si>
  <si>
    <t>AvoDec_local.txt</t>
  </si>
  <si>
    <t>AvoInp_local.txt</t>
  </si>
  <si>
    <t>MisDec_local.txt</t>
  </si>
  <si>
    <t>MisInp_local.txt</t>
  </si>
  <si>
    <t>AllChoiceDec_local.txt</t>
  </si>
  <si>
    <t>AllChoiceInp_local.txt</t>
  </si>
  <si>
    <t xml:space="preserve">  </t>
  </si>
  <si>
    <t>mv *local.txt stim_times</t>
  </si>
  <si>
    <t xml:space="preserve">COPY THE GREEN CELLS ABOVE (INCLUDING BLANK CELL AT BOTTOM) </t>
  </si>
  <si>
    <t>AND PASTE INTO A TERMINAL IN THE PARTICIPANT'S FMRI DATA DIRECTORY</t>
  </si>
  <si>
    <t>OLD PIPELINE - DO NOT USE THIS WITH AFNI PROC PY VERSION</t>
  </si>
  <si>
    <t>All Choices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</si>
  <si>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dt:dt="string"&gt;2019-07-05T13:15:01Z&lt;/DateUtc&gt;&lt;/StartTime&gt;&lt;FrequencyChanges&gt;&lt;FrequencyChange&gt;&lt;Frequency dt:dt="r8"&gt;2531445&lt;/Frequency&gt;&lt;Timestamp dt:dt="r8"&gt;12159273989&lt;/Timestamp&gt;&lt;Current dt:dt="r8"&gt;0&lt;/Current&gt;&lt;DateUtc dt:dt="string"&gt;2019-07-05T13:15:01Z&lt;/DateUtc&gt;&lt;/FrequencyChange&gt;&lt;/FrequencyChanges&gt;&lt;/Clock&gt;\n</t>
  </si>
  <si>
    <t>R01_NE_APT Run 1_Penultimate Prices EP3_Mar22-01002-1</t>
  </si>
  <si>
    <t>5/7/2019</t>
  </si>
  <si>
    <t>7/5/2019 13:15</t>
  </si>
  <si>
    <t xml:space="preserve">$0.01 each? </t>
  </si>
  <si>
    <t xml:space="preserve">$5.00 each? </t>
  </si>
  <si>
    <t xml:space="preserve">$50.00 each? </t>
  </si>
  <si>
    <t xml:space="preserve">$0.00 each? </t>
  </si>
  <si>
    <t xml:space="preserve">$15.00 each? </t>
  </si>
  <si>
    <t xml:space="preserve">$0.05 each? </t>
  </si>
  <si>
    <t xml:space="preserve">$40.00 each? </t>
  </si>
  <si>
    <t xml:space="preserve">$13.00 each? </t>
  </si>
  <si>
    <t xml:space="preserve">$80.00 each? </t>
  </si>
  <si>
    <t xml:space="preserve">$30.00 each? </t>
  </si>
  <si>
    <t xml:space="preserve">$0.02 each? </t>
  </si>
  <si>
    <t xml:space="preserve">$9.00 each? </t>
  </si>
  <si>
    <t xml:space="preserve">$70.00 each? </t>
  </si>
  <si>
    <t xml:space="preserve">$0.04 each? </t>
  </si>
  <si>
    <t xml:space="preserve">$60.00 each? </t>
  </si>
  <si>
    <t xml:space="preserve">$7.00 each? </t>
  </si>
  <si>
    <t xml:space="preserve">$11.00 each? </t>
  </si>
  <si>
    <t xml:space="preserve">$0.03 each? 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</si>
  <si>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dt:dt="string"&gt;2019-07-05T13:24:23Z&lt;/DateUtc&gt;&lt;/StartTime&gt;&lt;FrequencyChanges&gt;&lt;FrequencyChange&gt;&lt;Frequency dt:dt="r8"&gt;2531445&lt;/Frequency&gt;&lt;Timestamp dt:dt="r8"&gt;13581237373&lt;/Timestamp&gt;&lt;Current dt:dt="r8"&gt;0&lt;/Current&gt;&lt;DateUtc dt:dt="string"&gt;2019-07-05T13:24:23Z&lt;/DateUtc&gt;&lt;/FrequencyChange&gt;&lt;/FrequencyChanges&gt;&lt;/Clock&gt;\n</t>
  </si>
  <si>
    <t>R01_NE_APT Run 2_Penultimate Prices EP3_Mar22-01002-1</t>
  </si>
  <si>
    <t>7/5/2019 13:24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</si>
  <si>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dt:dt="string"&gt;2019-07-05T13:33:29Z&lt;/DateUtc&gt;&lt;/StartTime&gt;&lt;FrequencyChanges&gt;&lt;FrequencyChange&gt;&lt;Frequency dt:dt="r8"&gt;2531445&lt;/Frequency&gt;&lt;Timestamp dt:dt="r8"&gt;14965378954&lt;/Timestamp&gt;&lt;Current dt:dt="r8"&gt;0&lt;/Current&gt;&lt;DateUtc dt:dt="string"&gt;2019-07-05T13:33:29Z&lt;/DateUtc&gt;&lt;/FrequencyChange&gt;&lt;/FrequencyChanges&gt;&lt;/Clock&gt;\n</t>
  </si>
  <si>
    <t>R01_NE_APT Run 3_OverSampleLow_Penultimate Prices EP3_Mar22-01002-1</t>
  </si>
  <si>
    <t>7/5/2019 13:33</t>
  </si>
  <si>
    <t>$0.01 each?</t>
  </si>
  <si>
    <t>$9.00 each?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</si>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</sst>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0.000"/>
    <numFmt numFmtId="167" formatCode="0.0"/>
    <numFmt numFmtId="168" formatCode="#,##0_ ;[Red]\-#,##0\ 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indexed="8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rgb="FF000000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2" fillId="5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6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3" borderId="3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0" borderId="6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/>
    <xf numFmtId="2" fontId="0" fillId="4" borderId="3" xfId="0" applyNumberForma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5" fontId="0" fillId="0" borderId="0" xfId="3" applyNumberFormat="1" applyFont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/>
    <xf numFmtId="165" fontId="0" fillId="0" borderId="0" xfId="0" applyNumberFormat="1" applyAlignment="1">
      <alignment horizontal="center"/>
    </xf>
    <xf numFmtId="165" fontId="0" fillId="0" borderId="9" xfId="0" applyNumberFormat="1" applyBorder="1" applyAlignment="1">
      <alignment horizontal="center"/>
    </xf>
    <xf numFmtId="0" fontId="1" fillId="0" borderId="4" xfId="0" applyFont="1" applyBorder="1"/>
    <xf numFmtId="2" fontId="0" fillId="0" borderId="0" xfId="1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13" xfId="2" applyNumberFormat="1" applyFont="1" applyBorder="1"/>
    <xf numFmtId="0" fontId="8" fillId="0" borderId="0" xfId="0" applyFont="1"/>
    <xf numFmtId="0" fontId="0" fillId="8" borderId="0" xfId="0" applyFill="1"/>
    <xf numFmtId="0" fontId="0" fillId="10" borderId="0" xfId="0" applyFill="1"/>
    <xf numFmtId="0" fontId="0" fillId="3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8" fontId="0" fillId="0" borderId="0" xfId="0" applyNumberFormat="1"/>
    <xf numFmtId="0" fontId="0" fillId="13" borderId="0" xfId="0" applyFill="1"/>
    <xf numFmtId="0" fontId="0" fillId="14" borderId="0" xfId="0" applyFill="1"/>
    <xf numFmtId="2" fontId="0" fillId="0" borderId="2" xfId="0" applyNumberFormat="1" applyBorder="1" applyAlignment="1">
      <alignment horizont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0" xfId="0" applyNumberFormat="1"/>
    <xf numFmtId="1" fontId="0" fillId="18" borderId="0" xfId="0" applyNumberFormat="1" applyFill="1"/>
    <xf numFmtId="166" fontId="0" fillId="16" borderId="0" xfId="0" applyNumberFormat="1" applyFill="1"/>
    <xf numFmtId="166" fontId="0" fillId="3" borderId="0" xfId="0" applyNumberFormat="1" applyFill="1"/>
    <xf numFmtId="166" fontId="0" fillId="11" borderId="0" xfId="0" applyNumberFormat="1" applyFill="1"/>
    <xf numFmtId="166" fontId="0" fillId="17" borderId="0" xfId="0" applyNumberFormat="1" applyFill="1"/>
    <xf numFmtId="0" fontId="0" fillId="0" borderId="9" xfId="0" applyBorder="1"/>
    <xf numFmtId="0" fontId="0" fillId="0" borderId="10" xfId="0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3" xfId="0" applyNumberFormat="1" applyBorder="1"/>
    <xf numFmtId="2" fontId="0" fillId="0" borderId="9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" fillId="8" borderId="0" xfId="0" applyFont="1" applyFill="1"/>
    <xf numFmtId="0" fontId="1" fillId="9" borderId="0" xfId="0" applyFont="1" applyFill="1"/>
    <xf numFmtId="0" fontId="1" fillId="14" borderId="0" xfId="0" applyFont="1" applyFill="1"/>
    <xf numFmtId="0" fontId="1" fillId="3" borderId="0" xfId="0" applyFont="1" applyFill="1"/>
    <xf numFmtId="0" fontId="0" fillId="8" borderId="12" xfId="0" applyFill="1" applyBorder="1"/>
    <xf numFmtId="0" fontId="0" fillId="8" borderId="14" xfId="0" applyFill="1" applyBorder="1"/>
    <xf numFmtId="0" fontId="0" fillId="8" borderId="1" xfId="0" applyFill="1" applyBorder="1"/>
    <xf numFmtId="0" fontId="10" fillId="0" borderId="0" xfId="0" applyFont="1"/>
    <xf numFmtId="0" fontId="10" fillId="9" borderId="0" xfId="0" applyFont="1" applyFill="1"/>
    <xf numFmtId="0" fontId="10" fillId="0" borderId="1" xfId="0" applyFont="1" applyBorder="1"/>
    <xf numFmtId="0" fontId="10" fillId="0" borderId="2" xfId="0" applyFont="1" applyBorder="1"/>
    <xf numFmtId="0" fontId="9" fillId="0" borderId="0" xfId="0" applyFont="1"/>
    <xf numFmtId="0" fontId="9" fillId="9" borderId="0" xfId="0" applyFont="1" applyFill="1"/>
    <xf numFmtId="0" fontId="0" fillId="10" borderId="1" xfId="0" applyFill="1" applyBorder="1"/>
    <xf numFmtId="8" fontId="0" fillId="12" borderId="0" xfId="0" applyNumberFormat="1" applyFill="1"/>
    <xf numFmtId="0" fontId="0" fillId="10" borderId="4" xfId="0" applyFill="1" applyBorder="1"/>
    <xf numFmtId="8" fontId="0" fillId="0" borderId="2" xfId="0" applyNumberFormat="1" applyBorder="1"/>
    <xf numFmtId="8" fontId="0" fillId="0" borderId="8" xfId="0" applyNumberFormat="1" applyBorder="1"/>
    <xf numFmtId="1" fontId="0" fillId="0" borderId="1" xfId="0" applyNumberFormat="1" applyBorder="1"/>
    <xf numFmtId="1" fontId="0" fillId="0" borderId="11" xfId="0" applyNumberFormat="1" applyBorder="1"/>
    <xf numFmtId="2" fontId="9" fillId="0" borderId="0" xfId="0" applyNumberFormat="1" applyFont="1"/>
    <xf numFmtId="167" fontId="0" fillId="0" borderId="0" xfId="0" applyNumberFormat="1"/>
    <xf numFmtId="0" fontId="10" fillId="0" borderId="8" xfId="0" applyFont="1" applyBorder="1"/>
    <xf numFmtId="0" fontId="0" fillId="0" borderId="5" xfId="0" applyBorder="1"/>
    <xf numFmtId="2" fontId="0" fillId="12" borderId="0" xfId="0" applyNumberFormat="1" applyFill="1"/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1" fillId="7" borderId="0" xfId="4" applyNumberFormat="1" applyFont="1"/>
    <xf numFmtId="0" fontId="12" fillId="0" borderId="0" xfId="0" applyFont="1"/>
    <xf numFmtId="0" fontId="12" fillId="12" borderId="0" xfId="0" applyFont="1" applyFill="1"/>
    <xf numFmtId="0" fontId="0" fillId="8" borderId="0" xfId="0" applyFill="1" applyAlignment="1">
      <alignment horizontal="center"/>
    </xf>
    <xf numFmtId="38" fontId="0" fillId="0" borderId="0" xfId="0" applyNumberFormat="1"/>
    <xf numFmtId="0" fontId="0" fillId="0" borderId="0" xfId="0" applyAlignment="1">
      <alignment horizontal="left"/>
    </xf>
    <xf numFmtId="0" fontId="0" fillId="1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38" fontId="0" fillId="12" borderId="0" xfId="0" applyNumberFormat="1" applyFill="1"/>
    <xf numFmtId="0" fontId="0" fillId="10" borderId="1" xfId="0" applyFill="1" applyBorder="1" applyAlignment="1">
      <alignment horizontal="left"/>
    </xf>
    <xf numFmtId="0" fontId="0" fillId="10" borderId="3" xfId="0" applyFill="1" applyBorder="1"/>
    <xf numFmtId="0" fontId="0" fillId="3" borderId="3" xfId="0" applyFill="1" applyBorder="1"/>
    <xf numFmtId="8" fontId="0" fillId="3" borderId="3" xfId="0" applyNumberFormat="1" applyFill="1" applyBorder="1"/>
    <xf numFmtId="0" fontId="0" fillId="17" borderId="1" xfId="0" applyFill="1" applyBorder="1"/>
    <xf numFmtId="8" fontId="0" fillId="17" borderId="3" xfId="0" applyNumberFormat="1" applyFill="1" applyBorder="1"/>
    <xf numFmtId="0" fontId="0" fillId="17" borderId="3" xfId="0" applyFill="1" applyBorder="1"/>
    <xf numFmtId="8" fontId="0" fillId="8" borderId="3" xfId="0" applyNumberFormat="1" applyFill="1" applyBorder="1"/>
    <xf numFmtId="0" fontId="0" fillId="8" borderId="3" xfId="0" applyFill="1" applyBorder="1"/>
    <xf numFmtId="0" fontId="0" fillId="10" borderId="2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2" fontId="0" fillId="10" borderId="0" xfId="0" applyNumberFormat="1" applyFill="1" applyAlignment="1">
      <alignment horizontal="left"/>
    </xf>
    <xf numFmtId="2" fontId="0" fillId="10" borderId="9" xfId="0" applyNumberFormat="1" applyFill="1" applyBorder="1" applyAlignment="1">
      <alignment horizontal="left"/>
    </xf>
    <xf numFmtId="2" fontId="0" fillId="10" borderId="5" xfId="0" applyNumberFormat="1" applyFill="1" applyBorder="1" applyAlignment="1">
      <alignment horizontal="left"/>
    </xf>
    <xf numFmtId="2" fontId="0" fillId="10" borderId="10" xfId="0" applyNumberFormat="1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167" fontId="0" fillId="10" borderId="0" xfId="0" applyNumberFormat="1" applyFill="1" applyAlignment="1">
      <alignment horizontal="left"/>
    </xf>
    <xf numFmtId="167" fontId="0" fillId="10" borderId="9" xfId="0" applyNumberFormat="1" applyFill="1" applyBorder="1" applyAlignment="1">
      <alignment horizontal="left"/>
    </xf>
    <xf numFmtId="167" fontId="0" fillId="10" borderId="5" xfId="0" applyNumberFormat="1" applyFill="1" applyBorder="1" applyAlignment="1">
      <alignment horizontal="left"/>
    </xf>
    <xf numFmtId="167" fontId="0" fillId="10" borderId="10" xfId="0" applyNumberFormat="1" applyFill="1" applyBorder="1" applyAlignment="1">
      <alignment horizontal="left"/>
    </xf>
    <xf numFmtId="0" fontId="10" fillId="19" borderId="0" xfId="0" applyFont="1" applyFill="1"/>
    <xf numFmtId="0" fontId="9" fillId="19" borderId="0" xfId="0" applyFont="1" applyFill="1"/>
    <xf numFmtId="164" fontId="0" fillId="0" borderId="9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0" borderId="0" xfId="0" applyFill="1"/>
    <xf numFmtId="0" fontId="1" fillId="20" borderId="0" xfId="0" applyFont="1" applyFill="1"/>
    <xf numFmtId="0" fontId="1" fillId="20" borderId="0" xfId="0" applyFont="1" applyFill="1" applyAlignment="1">
      <alignment horizontal="left"/>
    </xf>
    <xf numFmtId="0" fontId="12" fillId="20" borderId="0" xfId="0" applyFont="1" applyFill="1" applyAlignment="1">
      <alignment horizontal="center"/>
    </xf>
    <xf numFmtId="0" fontId="0" fillId="20" borderId="0" xfId="0" applyFill="1" applyAlignment="1">
      <alignment horizontal="left"/>
    </xf>
    <xf numFmtId="0" fontId="16" fillId="0" borderId="0" xfId="0" applyFont="1"/>
    <xf numFmtId="0" fontId="0" fillId="0" borderId="0" xfId="0" applyAlignment="1">
      <alignment horizontal="right"/>
    </xf>
    <xf numFmtId="2" fontId="0" fillId="2" borderId="1" xfId="0" applyNumberFormat="1" applyFill="1" applyBorder="1"/>
    <xf numFmtId="2" fontId="0" fillId="2" borderId="3" xfId="0" applyNumberForma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2" borderId="2" xfId="0" applyNumberFormat="1" applyFill="1" applyBorder="1"/>
    <xf numFmtId="2" fontId="0" fillId="3" borderId="0" xfId="0" applyNumberFormat="1" applyFill="1"/>
    <xf numFmtId="2" fontId="0" fillId="4" borderId="0" xfId="0" applyNumberFormat="1" applyFill="1"/>
    <xf numFmtId="2" fontId="0" fillId="2" borderId="0" xfId="0" applyNumberFormat="1" applyFill="1"/>
    <xf numFmtId="2" fontId="0" fillId="3" borderId="5" xfId="0" applyNumberFormat="1" applyFill="1" applyBorder="1"/>
    <xf numFmtId="2" fontId="0" fillId="2" borderId="8" xfId="0" applyNumberFormat="1" applyFill="1" applyBorder="1"/>
    <xf numFmtId="2" fontId="0" fillId="3" borderId="9" xfId="0" applyNumberFormat="1" applyFill="1" applyBorder="1"/>
    <xf numFmtId="2" fontId="0" fillId="4" borderId="9" xfId="0" applyNumberFormat="1" applyFill="1" applyBorder="1"/>
    <xf numFmtId="2" fontId="0" fillId="2" borderId="9" xfId="0" applyNumberFormat="1" applyFill="1" applyBorder="1"/>
    <xf numFmtId="2" fontId="0" fillId="2" borderId="15" xfId="0" applyNumberFormat="1" applyFill="1" applyBorder="1"/>
    <xf numFmtId="2" fontId="0" fillId="4" borderId="5" xfId="0" applyNumberFormat="1" applyFill="1" applyBorder="1"/>
    <xf numFmtId="2" fontId="0" fillId="4" borderId="10" xfId="0" applyNumberFormat="1" applyFill="1" applyBorder="1"/>
    <xf numFmtId="2" fontId="0" fillId="0" borderId="18" xfId="0" applyNumberFormat="1" applyBorder="1" applyAlignment="1">
      <alignment horizontal="center"/>
    </xf>
    <xf numFmtId="168" fontId="0" fillId="4" borderId="0" xfId="0" applyNumberFormat="1" applyFill="1"/>
    <xf numFmtId="0" fontId="0" fillId="4" borderId="0" xfId="0" applyFill="1"/>
    <xf numFmtId="2" fontId="0" fillId="2" borderId="10" xfId="0" applyNumberFormat="1" applyFill="1" applyBorder="1"/>
    <xf numFmtId="0" fontId="6" fillId="0" borderId="0" xfId="0" applyFont="1" applyAlignment="1">
      <alignment horizontal="center"/>
    </xf>
    <xf numFmtId="2" fontId="0" fillId="0" borderId="0" xfId="3" applyNumberFormat="1" applyFont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19" xfId="0" applyNumberFormat="1" applyFill="1" applyBorder="1"/>
    <xf numFmtId="2" fontId="0" fillId="0" borderId="21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3" borderId="22" xfId="0" applyFill="1" applyBorder="1"/>
    <xf numFmtId="1" fontId="0" fillId="0" borderId="23" xfId="0" applyNumberFormat="1" applyBorder="1"/>
    <xf numFmtId="1" fontId="0" fillId="0" borderId="24" xfId="0" applyNumberFormat="1" applyBorder="1"/>
    <xf numFmtId="0" fontId="0" fillId="3" borderId="25" xfId="0" applyFill="1" applyBorder="1"/>
    <xf numFmtId="0" fontId="4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21" borderId="0" xfId="0" applyFill="1"/>
    <xf numFmtId="0" fontId="19" fillId="21" borderId="0" xfId="0" applyFont="1" applyFill="1"/>
    <xf numFmtId="0" fontId="1" fillId="21" borderId="0" xfId="0" applyFont="1" applyFill="1"/>
    <xf numFmtId="0" fontId="1" fillId="6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0" fillId="0" borderId="15" xfId="0" applyBorder="1"/>
    <xf numFmtId="0" fontId="0" fillId="22" borderId="17" xfId="0" applyFill="1" applyBorder="1" applyAlignment="1">
      <alignment horizontal="left"/>
    </xf>
    <xf numFmtId="0" fontId="0" fillId="22" borderId="0" xfId="0" applyFill="1"/>
    <xf numFmtId="1" fontId="0" fillId="0" borderId="26" xfId="0" applyNumberFormat="1" applyBorder="1"/>
    <xf numFmtId="1" fontId="0" fillId="0" borderId="27" xfId="0" applyNumberFormat="1" applyBorder="1"/>
    <xf numFmtId="1" fontId="0" fillId="0" borderId="28" xfId="0" applyNumberFormat="1" applyBorder="1"/>
    <xf numFmtId="0" fontId="20" fillId="0" borderId="0" xfId="0" applyFont="1"/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0" fontId="0" fillId="11" borderId="3" xfId="0" applyFill="1" applyBorder="1"/>
    <xf numFmtId="0" fontId="0" fillId="11" borderId="0" xfId="0" applyFill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4" xfId="0" applyFill="1" applyBorder="1"/>
    <xf numFmtId="0" fontId="0" fillId="11" borderId="5" xfId="0" applyFill="1" applyBorder="1" applyAlignment="1">
      <alignment horizontal="left"/>
    </xf>
    <xf numFmtId="0" fontId="1" fillId="11" borderId="0" xfId="0" applyFont="1" applyFill="1"/>
    <xf numFmtId="0" fontId="10" fillId="10" borderId="0" xfId="0" applyFont="1" applyFill="1"/>
    <xf numFmtId="0" fontId="0" fillId="8" borderId="24" xfId="0" applyFill="1" applyBorder="1"/>
    <xf numFmtId="0" fontId="10" fillId="0" borderId="9" xfId="0" applyFont="1" applyBorder="1"/>
    <xf numFmtId="0" fontId="0" fillId="8" borderId="13" xfId="0" applyFill="1" applyBorder="1"/>
    <xf numFmtId="0" fontId="0" fillId="23" borderId="12" xfId="0" applyFill="1" applyBorder="1"/>
    <xf numFmtId="0" fontId="0" fillId="23" borderId="14" xfId="0" applyFill="1" applyBorder="1"/>
    <xf numFmtId="0" fontId="0" fillId="23" borderId="13" xfId="0" applyFill="1" applyBorder="1"/>
    <xf numFmtId="0" fontId="0" fillId="23" borderId="1" xfId="0" applyFill="1" applyBorder="1"/>
    <xf numFmtId="0" fontId="0" fillId="23" borderId="2" xfId="0" applyFill="1" applyBorder="1"/>
    <xf numFmtId="2" fontId="0" fillId="11" borderId="0" xfId="0" applyNumberFormat="1" applyFill="1" applyAlignment="1">
      <alignment horizontal="left"/>
    </xf>
    <xf numFmtId="2" fontId="0" fillId="11" borderId="9" xfId="0" applyNumberFormat="1" applyFill="1" applyBorder="1" applyAlignment="1">
      <alignment horizontal="left"/>
    </xf>
    <xf numFmtId="2" fontId="0" fillId="11" borderId="5" xfId="0" applyNumberFormat="1" applyFill="1" applyBorder="1" applyAlignment="1">
      <alignment horizontal="left"/>
    </xf>
    <xf numFmtId="2" fontId="0" fillId="11" borderId="10" xfId="0" applyNumberFormat="1" applyFill="1" applyBorder="1" applyAlignment="1">
      <alignment horizontal="left"/>
    </xf>
    <xf numFmtId="0" fontId="0" fillId="11" borderId="1" xfId="0" applyFill="1" applyBorder="1"/>
    <xf numFmtId="167" fontId="0" fillId="11" borderId="0" xfId="0" applyNumberFormat="1" applyFill="1" applyAlignment="1">
      <alignment horizontal="left"/>
    </xf>
    <xf numFmtId="167" fontId="0" fillId="11" borderId="9" xfId="0" applyNumberFormat="1" applyFill="1" applyBorder="1" applyAlignment="1">
      <alignment horizontal="left"/>
    </xf>
    <xf numFmtId="167" fontId="0" fillId="11" borderId="5" xfId="0" applyNumberFormat="1" applyFill="1" applyBorder="1" applyAlignment="1">
      <alignment horizontal="left"/>
    </xf>
    <xf numFmtId="167" fontId="0" fillId="11" borderId="10" xfId="0" applyNumberFormat="1" applyFill="1" applyBorder="1" applyAlignment="1">
      <alignment horizontal="left"/>
    </xf>
    <xf numFmtId="0" fontId="1" fillId="24" borderId="0" xfId="0" applyFont="1" applyFill="1"/>
    <xf numFmtId="0" fontId="1" fillId="10" borderId="0" xfId="0" applyFont="1" applyFill="1"/>
    <xf numFmtId="0" fontId="0" fillId="10" borderId="10" xfId="0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166" fontId="0" fillId="8" borderId="0" xfId="0" applyNumberFormat="1" applyFill="1"/>
    <xf numFmtId="0" fontId="5" fillId="3" borderId="0" xfId="0" applyFont="1" applyFill="1"/>
    <xf numFmtId="0" fontId="0" fillId="25" borderId="0" xfId="0" applyFill="1"/>
    <xf numFmtId="0" fontId="21" fillId="0" borderId="0" xfId="0" applyFont="1"/>
    <xf numFmtId="0" fontId="22" fillId="0" borderId="0" xfId="0" applyFont="1"/>
    <xf numFmtId="0" fontId="23" fillId="12" borderId="0" xfId="0" applyFont="1" applyFill="1"/>
    <xf numFmtId="0" fontId="5" fillId="10" borderId="0" xfId="0" applyFont="1" applyFill="1"/>
    <xf numFmtId="0" fontId="24" fillId="10" borderId="0" xfId="0" applyFont="1" applyFill="1"/>
    <xf numFmtId="0" fontId="23" fillId="0" borderId="0" xfId="0" applyFont="1"/>
    <xf numFmtId="0" fontId="1" fillId="0" borderId="5" xfId="0" applyFont="1" applyBorder="1"/>
    <xf numFmtId="0" fontId="25" fillId="0" borderId="5" xfId="0" applyFont="1" applyBorder="1"/>
    <xf numFmtId="0" fontId="0" fillId="0" borderId="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5" fillId="8" borderId="0" xfId="0" applyFont="1" applyFill="1"/>
    <xf numFmtId="0" fontId="0" fillId="26" borderId="1" xfId="0" applyFill="1" applyBorder="1"/>
    <xf numFmtId="0" fontId="0" fillId="26" borderId="2" xfId="0" applyFill="1" applyBorder="1"/>
    <xf numFmtId="0" fontId="9" fillId="26" borderId="2" xfId="0" applyFont="1" applyFill="1" applyBorder="1"/>
    <xf numFmtId="0" fontId="9" fillId="10" borderId="2" xfId="0" applyFont="1" applyFill="1" applyBorder="1"/>
    <xf numFmtId="0" fontId="0" fillId="26" borderId="3" xfId="0" applyFill="1" applyBorder="1"/>
    <xf numFmtId="0" fontId="0" fillId="26" borderId="0" xfId="0" applyFill="1"/>
    <xf numFmtId="0" fontId="9" fillId="26" borderId="0" xfId="0" applyFont="1" applyFill="1"/>
    <xf numFmtId="0" fontId="9" fillId="10" borderId="0" xfId="0" applyFont="1" applyFill="1"/>
    <xf numFmtId="0" fontId="0" fillId="26" borderId="4" xfId="0" applyFill="1" applyBorder="1"/>
    <xf numFmtId="0" fontId="0" fillId="26" borderId="5" xfId="0" applyFill="1" applyBorder="1"/>
    <xf numFmtId="0" fontId="9" fillId="26" borderId="5" xfId="0" applyFont="1" applyFill="1" applyBorder="1"/>
    <xf numFmtId="0" fontId="9" fillId="10" borderId="5" xfId="0" applyFont="1" applyFill="1" applyBorder="1"/>
    <xf numFmtId="0" fontId="23" fillId="10" borderId="0" xfId="0" applyFont="1" applyFill="1"/>
    <xf numFmtId="0" fontId="0" fillId="27" borderId="0" xfId="0" applyFill="1"/>
    <xf numFmtId="0" fontId="1" fillId="27" borderId="0" xfId="0" applyFont="1" applyFill="1"/>
    <xf numFmtId="0" fontId="1" fillId="27" borderId="0" xfId="0" applyFont="1" applyFill="1" applyAlignment="1">
      <alignment horizontal="left"/>
    </xf>
    <xf numFmtId="0" fontId="12" fillId="27" borderId="0" xfId="0" applyFont="1" applyFill="1" applyAlignment="1">
      <alignment horizontal="center"/>
    </xf>
    <xf numFmtId="0" fontId="0" fillId="27" borderId="0" xfId="0" applyFill="1" applyAlignment="1">
      <alignment horizontal="left"/>
    </xf>
    <xf numFmtId="0" fontId="1" fillId="17" borderId="0" xfId="0" applyFont="1" applyFill="1"/>
    <xf numFmtId="0" fontId="12" fillId="17" borderId="0" xfId="0" applyFont="1" applyFill="1" applyAlignment="1">
      <alignment horizontal="center"/>
    </xf>
    <xf numFmtId="0" fontId="20" fillId="28" borderId="0" xfId="0" applyFont="1" applyFill="1"/>
    <xf numFmtId="0" fontId="20" fillId="29" borderId="0" xfId="0" applyFont="1" applyFill="1"/>
    <xf numFmtId="21" fontId="20" fillId="0" borderId="0" xfId="0" applyNumberFormat="1" applyFont="1"/>
    <xf numFmtId="0" fontId="0" fillId="11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20" fillId="0" borderId="0" xfId="0" applyFont="1" applyAlignment="1">
      <alignment horizontal="center"/>
    </xf>
  </cellXfs>
  <cellStyles count="13">
    <cellStyle name="Bad" xfId="1" builtinId="27"/>
    <cellStyle name="Currency" xfId="3" builtinId="4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Good" xfId="4" builtinId="26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Percent" xfId="2" builtinId="5"/>
  </cellStyles>
  <dxfs count="4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8AD8"/>
        </patternFill>
      </fill>
    </dxf>
  </dxfs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'Combined R1-R3'!$A$41</c:f>
              <c:strCache>
                <c:ptCount val="1"/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'Combined R1-R3'!$W$10:$AZ$10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13</c:v>
                </c:pt>
                <c:pt idx="17">
                  <c:v>13</c:v>
                </c:pt>
                <c:pt idx="18">
                  <c:v>15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40</c:v>
                </c:pt>
                <c:pt idx="24">
                  <c:v>50</c:v>
                </c:pt>
                <c:pt idx="25">
                  <c:v>60</c:v>
                </c:pt>
                <c:pt idx="26">
                  <c:v>60</c:v>
                </c:pt>
                <c:pt idx="27">
                  <c:v>70</c:v>
                </c:pt>
                <c:pt idx="28">
                  <c:v>70</c:v>
                </c:pt>
                <c:pt idx="29">
                  <c:v>80</c:v>
                </c:pt>
              </c:numCache>
            </c:numRef>
          </c:cat>
          <c:val>
            <c:numRef>
              <c:f>'Combined R1-R3'!$W$11:$AZ$11</c:f>
              <c:numCache>
                <c:formatCode>0.00</c:formatCode>
                <c:ptCount val="30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B-4998-A745-BF40E325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214816"/>
        <c:axId val="216870096"/>
      </c:lineChart>
      <c:catAx>
        <c:axId val="261214816"/>
        <c:scaling>
          <c:orientation val="minMax"/>
        </c:scaling>
        <c:delete val="0"/>
        <c:axPos val="b"/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870096"/>
        <c:crosses val="autoZero"/>
        <c:auto val="1"/>
        <c:lblAlgn val="ctr"/>
        <c:lblOffset val="100"/>
        <c:noMultiLvlLbl val="0"/>
      </c:catAx>
      <c:valAx>
        <c:axId val="21687009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14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 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Run2</c:v>
          </c:tx>
          <c:spPr>
            <a:ln w="25400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'Combined R1-R3'!$W$16:$AZ$16</c:f>
              <c:numCache>
                <c:formatCode>0.00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50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</c:numCache>
            </c:numRef>
          </c:cat>
          <c:val>
            <c:numRef>
              <c:f>'Combined R1-R3'!$W$17:$AZ$17</c:f>
              <c:numCache>
                <c:formatCode>0.00</c:formatCode>
                <c:ptCount val="3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4-4BE6-9047-CD5EB065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507552"/>
        <c:axId val="216508912"/>
      </c:lineChart>
      <c:catAx>
        <c:axId val="2165075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508912"/>
        <c:crosses val="autoZero"/>
        <c:auto val="1"/>
        <c:lblAlgn val="ctr"/>
        <c:lblOffset val="100"/>
        <c:noMultiLvlLbl val="0"/>
      </c:catAx>
      <c:valAx>
        <c:axId val="2165089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5075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3 (Oversample Low)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Run3</c:v>
          </c:tx>
          <c:spPr>
            <a:ln w="25400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'Combined R1-R3'!$W$22:$AZ$22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0.05</c:v>
                </c:pt>
                <c:pt idx="15">
                  <c:v>0.05</c:v>
                </c:pt>
                <c:pt idx="16">
                  <c:v>5</c:v>
                </c:pt>
                <c:pt idx="17">
                  <c:v>7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15</c:v>
                </c:pt>
                <c:pt idx="24">
                  <c:v>30</c:v>
                </c:pt>
                <c:pt idx="25">
                  <c:v>50</c:v>
                </c:pt>
                <c:pt idx="26">
                  <c:v>60</c:v>
                </c:pt>
                <c:pt idx="27">
                  <c:v>60</c:v>
                </c:pt>
                <c:pt idx="28">
                  <c:v>70</c:v>
                </c:pt>
                <c:pt idx="29">
                  <c:v>70</c:v>
                </c:pt>
              </c:numCache>
            </c:numRef>
          </c:cat>
          <c:val>
            <c:numRef>
              <c:f>'Combined R1-R3'!$W$23:$AZ$23</c:f>
              <c:numCache>
                <c:formatCode>0.00</c:formatCode>
                <c:ptCount val="3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3-4550-BBB5-0D9EC3C1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103280"/>
        <c:axId val="217104912"/>
      </c:lineChart>
      <c:catAx>
        <c:axId val="21710328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04912"/>
        <c:crosses val="autoZero"/>
        <c:auto val="1"/>
        <c:lblAlgn val="ctr"/>
        <c:lblOffset val="100"/>
        <c:noMultiLvlLbl val="0"/>
      </c:catAx>
      <c:valAx>
        <c:axId val="2171049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032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Overall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'Combined R1-R3'!$W$6:$AN$6</c:f>
              <c:numCache>
                <c:formatCode>0.00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numCache>
            </c:numRef>
          </c:cat>
          <c:val>
            <c:numRef>
              <c:f>'Combined R1-R3'!$W$7:$AN$7</c:f>
              <c:numCache>
                <c:formatCode>0.00</c:formatCode>
                <c:ptCount val="18"/>
                <c:pt idx="0">
                  <c:v>8.8333333333333339</c:v>
                </c:pt>
                <c:pt idx="1">
                  <c:v>7.8571428571428568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6.5</c:v>
                </c:pt>
                <c:pt idx="7">
                  <c:v>5</c:v>
                </c:pt>
                <c:pt idx="8">
                  <c:v>4.2</c:v>
                </c:pt>
                <c:pt idx="9">
                  <c:v>3.8</c:v>
                </c:pt>
                <c:pt idx="10">
                  <c:v>3.4</c:v>
                </c:pt>
                <c:pt idx="11">
                  <c:v>2.8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F-4445-BF11-2B9B468B4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145344"/>
        <c:axId val="217147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'Combined R1-R3'!$W$6:$AN$6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'Combined R1-R3'!$W$6:$AN$6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CF-4445-BF11-2B9B468B43BD}"/>
                  </c:ext>
                </c:extLst>
              </c15:ser>
            </c15:filteredLineSeries>
          </c:ext>
        </c:extLst>
      </c:lineChart>
      <c:catAx>
        <c:axId val="217145344"/>
        <c:scaling>
          <c:orientation val="minMax"/>
        </c:scaling>
        <c:delete val="0"/>
        <c:axPos val="b"/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47392"/>
        <c:crosses val="autoZero"/>
        <c:auto val="1"/>
        <c:lblAlgn val="ctr"/>
        <c:lblOffset val="100"/>
        <c:noMultiLvlLbl val="0"/>
      </c:catAx>
      <c:valAx>
        <c:axId val="21714739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4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Intensity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5-4874-B85A-F0847F2B2F9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5-4874-B85A-F0847F2B2F90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R1-R3'!$AA$45:$AA$45</c:f>
              <c:numCache>
                <c:formatCode>0.00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35-4874-B85A-F0847F2B2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217173408"/>
        <c:axId val="261293936"/>
      </c:barChart>
      <c:catAx>
        <c:axId val="2171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61293936"/>
        <c:crosses val="autoZero"/>
        <c:auto val="1"/>
        <c:lblAlgn val="ctr"/>
        <c:lblOffset val="100"/>
        <c:noMultiLvlLbl val="0"/>
      </c:catAx>
      <c:valAx>
        <c:axId val="26129393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717340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Breakpoint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C-4CF3-B77B-752B965B179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C-4CF3-B77B-752B965B179E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R1-R3'!$AB$45:$AB$45</c:f>
              <c:numCache>
                <c:formatCode>0.00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6C-4CF3-B77B-752B965B1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183650368"/>
        <c:axId val="184339360"/>
      </c:barChart>
      <c:catAx>
        <c:axId val="18365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84339360"/>
        <c:crosses val="autoZero"/>
        <c:auto val="1"/>
        <c:lblAlgn val="ctr"/>
        <c:lblOffset val="100"/>
        <c:noMultiLvlLbl val="0"/>
      </c:catAx>
      <c:valAx>
        <c:axId val="18433936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83650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26-4234-A149-66A96CF9484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6-4234-A149-66A96CF9484E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R1-R3'!$AC$45:$AC$45</c:f>
              <c:numCache>
                <c:formatCode>0.00</c:formatCode>
                <c:ptCount val="1"/>
                <c:pt idx="0">
                  <c:v>49.666666666666664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6-4234-A149-66A96CF94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216594624"/>
        <c:axId val="216596944"/>
      </c:barChart>
      <c:catAx>
        <c:axId val="2165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6596944"/>
        <c:crosses val="autoZero"/>
        <c:auto val="1"/>
        <c:lblAlgn val="ctr"/>
        <c:lblOffset val="100"/>
        <c:noMultiLvlLbl val="0"/>
      </c:catAx>
      <c:valAx>
        <c:axId val="216596944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2165946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4"/>
  <sheetViews>
    <sheetView zoomScale="12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5"/>
  <sheetViews>
    <sheetView zoomScale="11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6"/>
  <sheetViews>
    <sheetView zoomScale="13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7"/>
  <sheetViews>
    <sheetView zoomScale="1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4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2ABE4-6D61-45C2-8645-FA2664BE2C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91FA6-3869-4E83-A26C-1D54F72A98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F0170-85B5-406C-86A2-07C90D2957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07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449384</xdr:colOff>
      <xdr:row>41</xdr:row>
      <xdr:rowOff>0</xdr:rowOff>
    </xdr:from>
    <xdr:to>
      <xdr:col>34</xdr:col>
      <xdr:colOff>83737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183445</xdr:colOff>
      <xdr:row>41</xdr:row>
      <xdr:rowOff>0</xdr:rowOff>
    </xdr:from>
    <xdr:to>
      <xdr:col>38</xdr:col>
      <xdr:colOff>495130</xdr:colOff>
      <xdr:row>52</xdr:row>
      <xdr:rowOff>7039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14111</xdr:colOff>
      <xdr:row>41</xdr:row>
      <xdr:rowOff>0</xdr:rowOff>
    </xdr:from>
    <xdr:to>
      <xdr:col>43</xdr:col>
      <xdr:colOff>325797</xdr:colOff>
      <xdr:row>52</xdr:row>
      <xdr:rowOff>7039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masteru365-my.sharepoint.com/personal/mcintc10_mcmaster_ca/Documents/NeuroimagingStudies/NEUROALC/NEUROALC_fMRI/NEUROALC_LocalMacros/MASTER%20LOCAL%20MACROS%20-%20Updated%202026/BLANK_NORMAL_APTCONNMACRO_APRIL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 Run 1"/>
      <sheetName val="Paste Run 2"/>
      <sheetName val="Paste Run 3"/>
      <sheetName val="Run 1"/>
      <sheetName val="Run 2"/>
      <sheetName val="Run 3"/>
      <sheetName val="Average Figure"/>
      <sheetName val="Combined R1-R3"/>
      <sheetName val="FMRI Paradigm Specs"/>
      <sheetName val="ResponseTimes"/>
      <sheetName val="Timing-Actual"/>
      <sheetName val="ChoiceCoding"/>
      <sheetName val="AFNI STIM FILES"/>
      <sheetName val="CONN Files"/>
      <sheetName val="Behavioural Informatio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>
        <row r="36">
          <cell r="D36"/>
          <cell r="F36"/>
          <cell r="T36"/>
        </row>
        <row r="71">
          <cell r="D71"/>
          <cell r="F71"/>
          <cell r="T71"/>
        </row>
        <row r="106">
          <cell r="D106"/>
          <cell r="F106"/>
          <cell r="T106"/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G31"/>
  <sheetViews>
    <sheetView zoomScale="115" zoomScaleNormal="115" zoomScalePageLayoutView="115" workbookViewId="0">
      <selection activeCell="B3" sqref="B3:B31"/>
    </sheetView>
  </sheetViews>
  <sheetFormatPr baseColWidth="10" defaultColWidth="9.1640625" defaultRowHeight="15" x14ac:dyDescent="0.2"/>
  <cols>
    <col min="1" max="1" width="26" customWidth="1"/>
    <col min="2" max="2" width="9.1640625" style="7"/>
    <col min="12" max="12" width="14.5" customWidth="1"/>
    <col min="14" max="14" width="13.5" customWidth="1"/>
    <col min="61" max="61" width="14.83203125" customWidth="1"/>
    <col min="67" max="67" width="20.5" customWidth="1"/>
    <col min="68" max="68" width="13.6640625" customWidth="1"/>
  </cols>
  <sheetData>
    <row r="1" spans="1:137" x14ac:dyDescent="0.2">
      <c r="A1" s="190" t="s">
        <v>169</v>
      </c>
      <c r="B1" s="263" t="s">
        <v>170</v>
      </c>
      <c r="C1" s="190" t="s">
        <v>171</v>
      </c>
      <c r="D1" s="190" t="s">
        <v>172</v>
      </c>
      <c r="E1" s="190" t="s">
        <v>173</v>
      </c>
      <c r="F1" s="190" t="s">
        <v>174</v>
      </c>
      <c r="G1" s="190" t="s">
        <v>175</v>
      </c>
      <c r="H1" s="190" t="s">
        <v>0</v>
      </c>
      <c r="I1" s="190" t="s">
        <v>176</v>
      </c>
      <c r="J1" s="190" t="s">
        <v>177</v>
      </c>
      <c r="K1" s="190" t="s">
        <v>178</v>
      </c>
      <c r="L1" s="190" t="s">
        <v>179</v>
      </c>
      <c r="M1" s="190" t="s">
        <v>180</v>
      </c>
      <c r="N1" s="190" t="s">
        <v>181</v>
      </c>
      <c r="O1" s="190" t="s">
        <v>182</v>
      </c>
      <c r="P1" s="190" t="s">
        <v>183</v>
      </c>
      <c r="Q1" s="190" t="s">
        <v>184</v>
      </c>
      <c r="R1" s="190" t="s">
        <v>185</v>
      </c>
      <c r="S1" s="190" t="s">
        <v>186</v>
      </c>
      <c r="T1" s="190" t="s">
        <v>187</v>
      </c>
      <c r="U1" s="190" t="s">
        <v>188</v>
      </c>
      <c r="V1" s="190" t="s">
        <v>189</v>
      </c>
      <c r="W1" s="190" t="s">
        <v>190</v>
      </c>
      <c r="X1" s="190" t="s">
        <v>191</v>
      </c>
      <c r="Y1" s="190" t="s">
        <v>192</v>
      </c>
      <c r="Z1" s="190" t="s">
        <v>193</v>
      </c>
      <c r="AA1" s="190" t="s">
        <v>194</v>
      </c>
      <c r="AB1" s="190" t="s">
        <v>195</v>
      </c>
      <c r="AC1" s="190" t="s">
        <v>196</v>
      </c>
      <c r="AD1" s="190" t="s">
        <v>197</v>
      </c>
      <c r="AE1" s="190" t="s">
        <v>198</v>
      </c>
      <c r="AF1" s="190" t="s">
        <v>199</v>
      </c>
      <c r="AG1" s="190" t="s">
        <v>200</v>
      </c>
      <c r="AH1" s="190" t="s">
        <v>201</v>
      </c>
      <c r="AI1" s="190" t="s">
        <v>202</v>
      </c>
      <c r="AJ1" s="190" t="s">
        <v>203</v>
      </c>
      <c r="AK1" s="190" t="s">
        <v>204</v>
      </c>
      <c r="AL1" s="190" t="s">
        <v>18</v>
      </c>
      <c r="AM1" s="190" t="s">
        <v>205</v>
      </c>
      <c r="AN1" s="190" t="s">
        <v>206</v>
      </c>
      <c r="AO1" s="258" t="s">
        <v>1</v>
      </c>
      <c r="AP1" s="190" t="s">
        <v>207</v>
      </c>
      <c r="AQ1" s="190" t="s">
        <v>208</v>
      </c>
      <c r="AR1" s="190" t="s">
        <v>209</v>
      </c>
      <c r="AS1" s="259" t="s">
        <v>210</v>
      </c>
      <c r="AT1" s="190" t="s">
        <v>211</v>
      </c>
      <c r="AU1" s="190" t="s">
        <v>212</v>
      </c>
      <c r="AV1" s="190" t="s">
        <v>213</v>
      </c>
      <c r="AW1" s="190" t="s">
        <v>214</v>
      </c>
      <c r="AX1" s="190" t="s">
        <v>215</v>
      </c>
      <c r="AY1" s="190" t="s">
        <v>216</v>
      </c>
      <c r="AZ1" s="190" t="s">
        <v>217</v>
      </c>
      <c r="BA1" s="259" t="s">
        <v>218</v>
      </c>
      <c r="BB1" s="190" t="s">
        <v>219</v>
      </c>
      <c r="BC1" s="190" t="s">
        <v>220</v>
      </c>
      <c r="BD1" s="190" t="s">
        <v>221</v>
      </c>
      <c r="BE1" s="190" t="s">
        <v>222</v>
      </c>
      <c r="BF1" s="190" t="s">
        <v>223</v>
      </c>
      <c r="BG1" s="190" t="s">
        <v>224</v>
      </c>
      <c r="BH1" s="190" t="s">
        <v>225</v>
      </c>
      <c r="BI1" s="190" t="s">
        <v>226</v>
      </c>
      <c r="BJ1" s="190" t="s">
        <v>227</v>
      </c>
      <c r="BK1" s="190" t="s">
        <v>228</v>
      </c>
      <c r="BL1" s="190" t="s">
        <v>229</v>
      </c>
      <c r="BM1" s="190" t="s">
        <v>230</v>
      </c>
      <c r="BN1" s="190" t="s">
        <v>231</v>
      </c>
      <c r="BO1" s="190" t="s">
        <v>232</v>
      </c>
      <c r="BP1" s="190" t="s">
        <v>233</v>
      </c>
      <c r="BQ1" s="190" t="s">
        <v>234</v>
      </c>
      <c r="BR1" s="190" t="s">
        <v>235</v>
      </c>
      <c r="BS1" s="190" t="s">
        <v>236</v>
      </c>
      <c r="BT1" s="190" t="s">
        <v>237</v>
      </c>
      <c r="BU1" s="190" t="s">
        <v>238</v>
      </c>
      <c r="BV1" s="190" t="s">
        <v>239</v>
      </c>
      <c r="BW1" s="190" t="s">
        <v>240</v>
      </c>
      <c r="BX1" s="190" t="s">
        <v>241</v>
      </c>
      <c r="BY1" s="190" t="s">
        <v>242</v>
      </c>
      <c r="BZ1" s="190" t="s">
        <v>243</v>
      </c>
      <c r="CA1" s="190" t="s">
        <v>2</v>
      </c>
      <c r="CB1" s="190" t="s">
        <v>244</v>
      </c>
      <c r="CC1" s="190" t="s">
        <v>245</v>
      </c>
      <c r="CD1" s="190" t="s">
        <v>246</v>
      </c>
      <c r="CE1" s="190" t="s">
        <v>247</v>
      </c>
      <c r="CF1" s="190" t="s">
        <v>248</v>
      </c>
      <c r="CG1" s="190" t="s">
        <v>249</v>
      </c>
      <c r="CH1" s="190" t="s">
        <v>250</v>
      </c>
      <c r="CI1" s="190" t="s">
        <v>251</v>
      </c>
      <c r="CJ1" s="190" t="s">
        <v>252</v>
      </c>
      <c r="CK1" s="190" t="s">
        <v>253</v>
      </c>
      <c r="CL1" s="190" t="s">
        <v>254</v>
      </c>
      <c r="CM1" s="190" t="s">
        <v>255</v>
      </c>
      <c r="CN1" s="190" t="s">
        <v>256</v>
      </c>
      <c r="CO1" s="190" t="s">
        <v>257</v>
      </c>
      <c r="CP1" s="190" t="s">
        <v>258</v>
      </c>
      <c r="CQ1" s="190" t="s">
        <v>259</v>
      </c>
      <c r="CR1" s="190" t="s">
        <v>260</v>
      </c>
      <c r="CS1" s="190" t="s">
        <v>261</v>
      </c>
      <c r="CT1" s="190" t="s">
        <v>262</v>
      </c>
      <c r="CU1" s="190" t="s">
        <v>263</v>
      </c>
      <c r="CV1" s="190" t="s">
        <v>264</v>
      </c>
      <c r="CW1" s="190" t="s">
        <v>265</v>
      </c>
      <c r="CX1" s="190" t="s">
        <v>266</v>
      </c>
      <c r="CY1" s="190" t="s">
        <v>267</v>
      </c>
      <c r="CZ1" s="190" t="s">
        <v>268</v>
      </c>
      <c r="DA1" s="190" t="s">
        <v>269</v>
      </c>
      <c r="DB1" s="190" t="s">
        <v>270</v>
      </c>
      <c r="DC1" s="190" t="s">
        <v>271</v>
      </c>
      <c r="DD1" s="190" t="s">
        <v>272</v>
      </c>
      <c r="DE1" s="190" t="s">
        <v>273</v>
      </c>
      <c r="DF1" s="190" t="s">
        <v>3</v>
      </c>
      <c r="DG1" s="190" t="s">
        <v>274</v>
      </c>
      <c r="DH1" s="190" t="s">
        <v>275</v>
      </c>
      <c r="DI1" s="190" t="s">
        <v>276</v>
      </c>
      <c r="DJ1" s="190" t="s">
        <v>277</v>
      </c>
      <c r="DK1" s="190" t="s">
        <v>278</v>
      </c>
      <c r="DL1" s="190" t="s">
        <v>279</v>
      </c>
      <c r="DM1" s="190" t="s">
        <v>280</v>
      </c>
      <c r="DN1" s="190" t="s">
        <v>281</v>
      </c>
      <c r="DO1" s="190" t="s">
        <v>282</v>
      </c>
      <c r="DP1" s="190" t="s">
        <v>283</v>
      </c>
      <c r="DQ1" s="190" t="s">
        <v>284</v>
      </c>
      <c r="DR1" s="190" t="s">
        <v>285</v>
      </c>
      <c r="DS1" s="190" t="s">
        <v>286</v>
      </c>
      <c r="DT1" s="190" t="s">
        <v>287</v>
      </c>
      <c r="DU1" s="190" t="s">
        <v>288</v>
      </c>
      <c r="DV1" s="190" t="s">
        <v>289</v>
      </c>
      <c r="DW1" s="190" t="s">
        <v>290</v>
      </c>
      <c r="DX1" s="190" t="s">
        <v>291</v>
      </c>
      <c r="DY1" s="190" t="s">
        <v>292</v>
      </c>
      <c r="DZ1" s="190" t="s">
        <v>293</v>
      </c>
      <c r="EA1" s="190" t="s">
        <v>294</v>
      </c>
      <c r="EB1" s="190" t="s">
        <v>295</v>
      </c>
      <c r="EC1" s="190" t="s">
        <v>296</v>
      </c>
      <c r="ED1" s="190" t="s">
        <v>297</v>
      </c>
      <c r="EE1" s="190" t="s">
        <v>298</v>
      </c>
      <c r="EF1" s="190" t="s">
        <v>299</v>
      </c>
      <c r="EG1" s="190" t="s">
        <v>300</v>
      </c>
    </row>
    <row r="2" spans="1:137" x14ac:dyDescent="0.2">
      <c r="A2" s="190" t="s">
        <v>301</v>
      </c>
      <c r="B2" s="263" t="s">
        <v>426</v>
      </c>
      <c r="C2" s="190">
        <v>1</v>
      </c>
      <c r="D2" s="190" t="s">
        <v>396</v>
      </c>
      <c r="E2" s="190" t="s">
        <v>397</v>
      </c>
      <c r="F2" s="190">
        <v>59.956000000000003</v>
      </c>
      <c r="G2" s="190" t="s">
        <v>302</v>
      </c>
      <c r="H2" s="190">
        <v>1</v>
      </c>
      <c r="I2" s="190">
        <v>6000</v>
      </c>
      <c r="J2" s="190">
        <v>-57</v>
      </c>
      <c r="K2" s="190">
        <v>0</v>
      </c>
      <c r="L2" s="190">
        <v>24000</v>
      </c>
      <c r="M2" s="190">
        <v>57</v>
      </c>
      <c r="N2" s="190">
        <v>18157</v>
      </c>
      <c r="O2" s="190">
        <v>5954</v>
      </c>
      <c r="P2" s="190"/>
      <c r="Q2" s="190">
        <v>0</v>
      </c>
      <c r="R2" s="190">
        <v>0</v>
      </c>
      <c r="S2" s="190">
        <v>-725311415</v>
      </c>
      <c r="T2" s="190" t="s">
        <v>303</v>
      </c>
      <c r="U2" s="190" t="s">
        <v>304</v>
      </c>
      <c r="V2" s="190" t="s">
        <v>304</v>
      </c>
      <c r="W2" s="190" t="s">
        <v>398</v>
      </c>
      <c r="X2" s="190" t="s">
        <v>399</v>
      </c>
      <c r="Y2" s="260">
        <v>0.38542824074074072</v>
      </c>
      <c r="Z2" s="190" t="s">
        <v>305</v>
      </c>
      <c r="AA2" s="190" t="s">
        <v>306</v>
      </c>
      <c r="AB2" s="190">
        <v>-1</v>
      </c>
      <c r="AC2" s="190">
        <v>-999999</v>
      </c>
      <c r="AD2" s="190">
        <v>18100</v>
      </c>
      <c r="AE2" s="190">
        <v>41</v>
      </c>
      <c r="AF2" s="190">
        <v>6999</v>
      </c>
      <c r="AG2" s="190">
        <v>0</v>
      </c>
      <c r="AH2" s="190">
        <v>5</v>
      </c>
      <c r="AI2" s="190">
        <v>11101</v>
      </c>
      <c r="AJ2" s="190">
        <v>18100</v>
      </c>
      <c r="AK2" s="190">
        <v>1</v>
      </c>
      <c r="AL2" s="190">
        <v>1</v>
      </c>
      <c r="AM2" s="190">
        <v>1</v>
      </c>
      <c r="AN2" s="190">
        <v>1</v>
      </c>
      <c r="AO2" s="258">
        <v>7</v>
      </c>
      <c r="AP2" s="190" t="s">
        <v>307</v>
      </c>
      <c r="AQ2" s="190">
        <v>4000</v>
      </c>
      <c r="AR2" s="190">
        <v>0</v>
      </c>
      <c r="AS2" s="259"/>
      <c r="AT2" s="190">
        <v>4000</v>
      </c>
      <c r="AU2" s="190">
        <v>-11</v>
      </c>
      <c r="AV2" s="190">
        <v>28000</v>
      </c>
      <c r="AW2" s="190">
        <v>0</v>
      </c>
      <c r="AX2" s="190">
        <v>28000</v>
      </c>
      <c r="AY2" s="190">
        <v>11</v>
      </c>
      <c r="AZ2" s="190">
        <v>24111</v>
      </c>
      <c r="BA2" s="259">
        <v>4003</v>
      </c>
      <c r="BB2" s="190">
        <v>100</v>
      </c>
      <c r="BC2" s="190"/>
      <c r="BD2" s="190">
        <v>0</v>
      </c>
      <c r="BE2" s="190">
        <v>0</v>
      </c>
      <c r="BF2" s="190">
        <v>24002</v>
      </c>
      <c r="BG2" s="190">
        <v>28000</v>
      </c>
      <c r="BH2" s="190">
        <v>24100</v>
      </c>
      <c r="BI2" s="190">
        <v>7000</v>
      </c>
      <c r="BJ2" s="190">
        <v>0</v>
      </c>
      <c r="BK2" s="190"/>
      <c r="BL2" s="190" t="s">
        <v>306</v>
      </c>
      <c r="BM2" s="190">
        <v>7000</v>
      </c>
      <c r="BN2" s="190">
        <v>-999999</v>
      </c>
      <c r="BO2" s="190">
        <v>32874</v>
      </c>
      <c r="BP2" s="190">
        <v>32874</v>
      </c>
      <c r="BQ2" s="190">
        <v>56</v>
      </c>
      <c r="BR2" s="190">
        <v>31634</v>
      </c>
      <c r="BS2" s="190">
        <v>0</v>
      </c>
      <c r="BT2" s="190">
        <v>100</v>
      </c>
      <c r="BU2" s="190">
        <v>1</v>
      </c>
      <c r="BV2" s="190">
        <v>1240</v>
      </c>
      <c r="BW2" s="190">
        <v>32874</v>
      </c>
      <c r="BX2" s="190">
        <v>31581</v>
      </c>
      <c r="BY2" s="190">
        <v>38478</v>
      </c>
      <c r="BZ2" s="190">
        <v>31578</v>
      </c>
      <c r="CA2" s="190">
        <v>6000</v>
      </c>
      <c r="CB2" s="190">
        <v>0</v>
      </c>
      <c r="CC2" s="190"/>
      <c r="CD2" s="190">
        <v>6000</v>
      </c>
      <c r="CE2" s="190">
        <v>-3</v>
      </c>
      <c r="CF2" s="190">
        <v>41000</v>
      </c>
      <c r="CG2" s="190">
        <v>0</v>
      </c>
      <c r="CH2" s="190">
        <v>41000</v>
      </c>
      <c r="CI2" s="190">
        <v>3</v>
      </c>
      <c r="CJ2" s="190">
        <v>35103</v>
      </c>
      <c r="CK2" s="190">
        <v>0</v>
      </c>
      <c r="CL2" s="190">
        <v>100</v>
      </c>
      <c r="CM2" s="190"/>
      <c r="CN2" s="190">
        <v>0</v>
      </c>
      <c r="CO2" s="190">
        <v>0</v>
      </c>
      <c r="CP2" s="190">
        <v>35000</v>
      </c>
      <c r="CQ2" s="190">
        <v>41000</v>
      </c>
      <c r="CR2" s="190">
        <v>35100</v>
      </c>
      <c r="CS2" s="190">
        <v>15</v>
      </c>
      <c r="CT2" s="190">
        <v>4</v>
      </c>
      <c r="CU2" s="190">
        <v>0</v>
      </c>
      <c r="CV2" s="190">
        <v>9</v>
      </c>
      <c r="CW2" s="190">
        <v>10</v>
      </c>
      <c r="CX2" s="190">
        <v>1</v>
      </c>
      <c r="CY2" s="190">
        <v>2</v>
      </c>
      <c r="CZ2" s="190">
        <v>3</v>
      </c>
      <c r="DA2" s="190">
        <v>4</v>
      </c>
      <c r="DB2" s="190">
        <v>5</v>
      </c>
      <c r="DC2" s="190">
        <v>6</v>
      </c>
      <c r="DD2" s="190">
        <v>7</v>
      </c>
      <c r="DE2" s="190">
        <v>8</v>
      </c>
      <c r="DF2" s="190" t="s">
        <v>400</v>
      </c>
      <c r="DG2" s="190" t="s">
        <v>308</v>
      </c>
      <c r="DH2" s="190" t="s">
        <v>18</v>
      </c>
      <c r="DI2" s="190">
        <v>0</v>
      </c>
      <c r="DJ2" s="190">
        <v>0</v>
      </c>
      <c r="DK2" s="190">
        <v>28114</v>
      </c>
      <c r="DL2" s="190">
        <v>14</v>
      </c>
      <c r="DM2" s="190">
        <v>28114</v>
      </c>
      <c r="DN2" s="190">
        <v>67</v>
      </c>
      <c r="DO2" s="190">
        <v>7000</v>
      </c>
      <c r="DP2" s="190">
        <v>0</v>
      </c>
      <c r="DQ2" s="190"/>
      <c r="DR2" s="190">
        <v>7000</v>
      </c>
      <c r="DS2" s="190">
        <v>-4835</v>
      </c>
      <c r="DT2" s="190">
        <v>35000</v>
      </c>
      <c r="DU2" s="190">
        <v>0</v>
      </c>
      <c r="DV2" s="190">
        <v>35000</v>
      </c>
      <c r="DW2" s="190">
        <v>4835</v>
      </c>
      <c r="DX2" s="190">
        <v>32935</v>
      </c>
      <c r="DY2" s="190">
        <v>2168</v>
      </c>
      <c r="DZ2" s="190">
        <v>100</v>
      </c>
      <c r="EA2" s="190"/>
      <c r="EB2" s="190">
        <v>0</v>
      </c>
      <c r="EC2" s="190">
        <v>0</v>
      </c>
      <c r="ED2" s="190">
        <v>32877</v>
      </c>
      <c r="EE2" s="190">
        <v>35000</v>
      </c>
      <c r="EF2" s="190">
        <v>28100</v>
      </c>
      <c r="EG2" s="190">
        <v>1</v>
      </c>
    </row>
    <row r="3" spans="1:137" x14ac:dyDescent="0.2">
      <c r="A3" s="190" t="s">
        <v>301</v>
      </c>
      <c r="B3" s="263" t="s">
        <v>426</v>
      </c>
      <c r="C3" s="190">
        <v>1</v>
      </c>
      <c r="D3" s="190" t="s">
        <v>396</v>
      </c>
      <c r="E3" s="190" t="s">
        <v>397</v>
      </c>
      <c r="F3" s="190">
        <v>59.956000000000003</v>
      </c>
      <c r="G3" s="190" t="s">
        <v>302</v>
      </c>
      <c r="H3" s="190">
        <v>1</v>
      </c>
      <c r="I3" s="190">
        <v>6000</v>
      </c>
      <c r="J3" s="190">
        <v>-57</v>
      </c>
      <c r="K3" s="190">
        <v>0</v>
      </c>
      <c r="L3" s="190">
        <v>24000</v>
      </c>
      <c r="M3" s="190">
        <v>57</v>
      </c>
      <c r="N3" s="190">
        <v>18157</v>
      </c>
      <c r="O3" s="190">
        <v>5954</v>
      </c>
      <c r="P3" s="190"/>
      <c r="Q3" s="190">
        <v>0</v>
      </c>
      <c r="R3" s="190">
        <v>0</v>
      </c>
      <c r="S3" s="190">
        <v>-725311415</v>
      </c>
      <c r="T3" s="190" t="s">
        <v>303</v>
      </c>
      <c r="U3" s="190" t="s">
        <v>304</v>
      </c>
      <c r="V3" s="190" t="s">
        <v>304</v>
      </c>
      <c r="W3" s="190" t="s">
        <v>398</v>
      </c>
      <c r="X3" s="190" t="s">
        <v>399</v>
      </c>
      <c r="Y3" s="260">
        <v>0.38542824074074072</v>
      </c>
      <c r="Z3" s="190" t="s">
        <v>305</v>
      </c>
      <c r="AA3" s="190" t="s">
        <v>306</v>
      </c>
      <c r="AB3" s="190">
        <v>-1</v>
      </c>
      <c r="AC3" s="190">
        <v>-999999</v>
      </c>
      <c r="AD3" s="190">
        <v>18100</v>
      </c>
      <c r="AE3" s="190">
        <v>41</v>
      </c>
      <c r="AF3" s="190">
        <v>6999</v>
      </c>
      <c r="AG3" s="190">
        <v>0</v>
      </c>
      <c r="AH3" s="190">
        <v>5</v>
      </c>
      <c r="AI3" s="190">
        <v>11101</v>
      </c>
      <c r="AJ3" s="190">
        <v>18100</v>
      </c>
      <c r="AK3" s="190">
        <v>2</v>
      </c>
      <c r="AL3" s="190">
        <v>2</v>
      </c>
      <c r="AM3" s="190">
        <v>1</v>
      </c>
      <c r="AN3" s="190">
        <v>2</v>
      </c>
      <c r="AO3" s="258">
        <v>5</v>
      </c>
      <c r="AP3" s="190" t="s">
        <v>307</v>
      </c>
      <c r="AQ3" s="190">
        <v>4000</v>
      </c>
      <c r="AR3" s="190">
        <v>0</v>
      </c>
      <c r="AS3" s="259"/>
      <c r="AT3" s="190">
        <v>4000</v>
      </c>
      <c r="AU3" s="190">
        <v>-7</v>
      </c>
      <c r="AV3" s="190">
        <v>45000</v>
      </c>
      <c r="AW3" s="190">
        <v>0</v>
      </c>
      <c r="AX3" s="190">
        <v>45000</v>
      </c>
      <c r="AY3" s="190">
        <v>7</v>
      </c>
      <c r="AZ3" s="190">
        <v>41107</v>
      </c>
      <c r="BA3" s="259">
        <v>4003</v>
      </c>
      <c r="BB3" s="190">
        <v>100</v>
      </c>
      <c r="BC3" s="190"/>
      <c r="BD3" s="190">
        <v>0</v>
      </c>
      <c r="BE3" s="190">
        <v>0</v>
      </c>
      <c r="BF3" s="190">
        <v>41005</v>
      </c>
      <c r="BG3" s="190">
        <v>45000</v>
      </c>
      <c r="BH3" s="190">
        <v>41100</v>
      </c>
      <c r="BI3" s="190">
        <v>7000</v>
      </c>
      <c r="BJ3" s="190">
        <v>0</v>
      </c>
      <c r="BK3" s="190"/>
      <c r="BL3" s="190" t="s">
        <v>306</v>
      </c>
      <c r="BM3" s="190">
        <v>7000</v>
      </c>
      <c r="BN3" s="190">
        <v>-999999</v>
      </c>
      <c r="BO3" s="190">
        <v>48793</v>
      </c>
      <c r="BP3" s="190">
        <v>48793</v>
      </c>
      <c r="BQ3" s="190">
        <v>65</v>
      </c>
      <c r="BR3" s="190">
        <v>46962</v>
      </c>
      <c r="BS3" s="190">
        <v>0</v>
      </c>
      <c r="BT3" s="190">
        <v>100</v>
      </c>
      <c r="BU3" s="190">
        <v>1</v>
      </c>
      <c r="BV3" s="190">
        <v>1831</v>
      </c>
      <c r="BW3" s="190">
        <v>48793</v>
      </c>
      <c r="BX3" s="190">
        <v>46901</v>
      </c>
      <c r="BY3" s="190">
        <v>53797</v>
      </c>
      <c r="BZ3" s="190">
        <v>46897</v>
      </c>
      <c r="CA3" s="190">
        <v>12000</v>
      </c>
      <c r="CB3" s="190">
        <v>0</v>
      </c>
      <c r="CC3" s="190"/>
      <c r="CD3" s="190">
        <v>12000</v>
      </c>
      <c r="CE3" s="190">
        <v>-16</v>
      </c>
      <c r="CF3" s="190">
        <v>64000</v>
      </c>
      <c r="CG3" s="190">
        <v>0</v>
      </c>
      <c r="CH3" s="190">
        <v>64000</v>
      </c>
      <c r="CI3" s="190">
        <v>16</v>
      </c>
      <c r="CJ3" s="190">
        <v>52116</v>
      </c>
      <c r="CK3" s="190">
        <v>0</v>
      </c>
      <c r="CL3" s="190">
        <v>100</v>
      </c>
      <c r="CM3" s="190"/>
      <c r="CN3" s="190">
        <v>0</v>
      </c>
      <c r="CO3" s="190">
        <v>0</v>
      </c>
      <c r="CP3" s="190">
        <v>52000</v>
      </c>
      <c r="CQ3" s="190">
        <v>64000</v>
      </c>
      <c r="CR3" s="190">
        <v>52100</v>
      </c>
      <c r="CS3" s="190">
        <v>15</v>
      </c>
      <c r="CT3" s="190">
        <v>4</v>
      </c>
      <c r="CU3" s="190">
        <v>0</v>
      </c>
      <c r="CV3" s="190">
        <v>9</v>
      </c>
      <c r="CW3" s="190">
        <v>10</v>
      </c>
      <c r="CX3" s="190">
        <v>1</v>
      </c>
      <c r="CY3" s="190">
        <v>2</v>
      </c>
      <c r="CZ3" s="190">
        <v>3</v>
      </c>
      <c r="DA3" s="190">
        <v>4</v>
      </c>
      <c r="DB3" s="190">
        <v>5</v>
      </c>
      <c r="DC3" s="190">
        <v>6</v>
      </c>
      <c r="DD3" s="190">
        <v>7</v>
      </c>
      <c r="DE3" s="190">
        <v>8</v>
      </c>
      <c r="DF3" s="190" t="s">
        <v>401</v>
      </c>
      <c r="DG3" s="190" t="s">
        <v>308</v>
      </c>
      <c r="DH3" s="190" t="s">
        <v>18</v>
      </c>
      <c r="DI3" s="190">
        <v>0</v>
      </c>
      <c r="DJ3" s="190">
        <v>1</v>
      </c>
      <c r="DK3" s="190">
        <v>45111</v>
      </c>
      <c r="DL3" s="190">
        <v>10</v>
      </c>
      <c r="DM3" s="190">
        <v>45110</v>
      </c>
      <c r="DN3" s="190">
        <v>51</v>
      </c>
      <c r="DO3" s="190">
        <v>7000</v>
      </c>
      <c r="DP3" s="190">
        <v>0</v>
      </c>
      <c r="DQ3" s="190"/>
      <c r="DR3" s="190">
        <v>7000</v>
      </c>
      <c r="DS3" s="190">
        <v>-3747</v>
      </c>
      <c r="DT3" s="190">
        <v>52000</v>
      </c>
      <c r="DU3" s="190">
        <v>0</v>
      </c>
      <c r="DV3" s="190">
        <v>52000</v>
      </c>
      <c r="DW3" s="190">
        <v>3747</v>
      </c>
      <c r="DX3" s="190">
        <v>48847</v>
      </c>
      <c r="DY3" s="190">
        <v>3269</v>
      </c>
      <c r="DZ3" s="190">
        <v>100</v>
      </c>
      <c r="EA3" s="190"/>
      <c r="EB3" s="190">
        <v>0</v>
      </c>
      <c r="EC3" s="190">
        <v>0</v>
      </c>
      <c r="ED3" s="190">
        <v>48795</v>
      </c>
      <c r="EE3" s="190">
        <v>52000</v>
      </c>
      <c r="EF3" s="190">
        <v>45100</v>
      </c>
      <c r="EG3" s="190">
        <v>2</v>
      </c>
    </row>
    <row r="4" spans="1:137" x14ac:dyDescent="0.2">
      <c r="A4" s="190" t="s">
        <v>301</v>
      </c>
      <c r="B4" s="263" t="s">
        <v>426</v>
      </c>
      <c r="C4" s="190">
        <v>1</v>
      </c>
      <c r="D4" s="190" t="s">
        <v>396</v>
      </c>
      <c r="E4" s="190" t="s">
        <v>397</v>
      </c>
      <c r="F4" s="190">
        <v>59.956000000000003</v>
      </c>
      <c r="G4" s="190" t="s">
        <v>302</v>
      </c>
      <c r="H4" s="190">
        <v>1</v>
      </c>
      <c r="I4" s="190">
        <v>6000</v>
      </c>
      <c r="J4" s="190">
        <v>-57</v>
      </c>
      <c r="K4" s="190">
        <v>0</v>
      </c>
      <c r="L4" s="190">
        <v>24000</v>
      </c>
      <c r="M4" s="190">
        <v>57</v>
      </c>
      <c r="N4" s="190">
        <v>18157</v>
      </c>
      <c r="O4" s="190">
        <v>5954</v>
      </c>
      <c r="P4" s="190"/>
      <c r="Q4" s="190">
        <v>0</v>
      </c>
      <c r="R4" s="190">
        <v>0</v>
      </c>
      <c r="S4" s="190">
        <v>-725311415</v>
      </c>
      <c r="T4" s="190" t="s">
        <v>303</v>
      </c>
      <c r="U4" s="190" t="s">
        <v>304</v>
      </c>
      <c r="V4" s="190" t="s">
        <v>304</v>
      </c>
      <c r="W4" s="190" t="s">
        <v>398</v>
      </c>
      <c r="X4" s="190" t="s">
        <v>399</v>
      </c>
      <c r="Y4" s="260">
        <v>0.38542824074074072</v>
      </c>
      <c r="Z4" s="190" t="s">
        <v>305</v>
      </c>
      <c r="AA4" s="190" t="s">
        <v>306</v>
      </c>
      <c r="AB4" s="190">
        <v>-1</v>
      </c>
      <c r="AC4" s="190">
        <v>-999999</v>
      </c>
      <c r="AD4" s="190">
        <v>18100</v>
      </c>
      <c r="AE4" s="190">
        <v>41</v>
      </c>
      <c r="AF4" s="190">
        <v>6999</v>
      </c>
      <c r="AG4" s="190">
        <v>0</v>
      </c>
      <c r="AH4" s="190">
        <v>5</v>
      </c>
      <c r="AI4" s="190">
        <v>11101</v>
      </c>
      <c r="AJ4" s="190">
        <v>18100</v>
      </c>
      <c r="AK4" s="190">
        <v>3</v>
      </c>
      <c r="AL4" s="190">
        <v>3</v>
      </c>
      <c r="AM4" s="190">
        <v>1</v>
      </c>
      <c r="AN4" s="190">
        <v>3</v>
      </c>
      <c r="AO4" s="258">
        <v>0</v>
      </c>
      <c r="AP4" s="190" t="s">
        <v>307</v>
      </c>
      <c r="AQ4" s="190">
        <v>4000</v>
      </c>
      <c r="AR4" s="190">
        <v>0</v>
      </c>
      <c r="AS4" s="259"/>
      <c r="AT4" s="190">
        <v>4000</v>
      </c>
      <c r="AU4" s="190">
        <v>-8</v>
      </c>
      <c r="AV4" s="190">
        <v>68000</v>
      </c>
      <c r="AW4" s="190">
        <v>0</v>
      </c>
      <c r="AX4" s="190">
        <v>68000</v>
      </c>
      <c r="AY4" s="190">
        <v>8</v>
      </c>
      <c r="AZ4" s="190">
        <v>64108</v>
      </c>
      <c r="BA4" s="259">
        <v>4003</v>
      </c>
      <c r="BB4" s="190">
        <v>100</v>
      </c>
      <c r="BC4" s="190"/>
      <c r="BD4" s="190">
        <v>0</v>
      </c>
      <c r="BE4" s="190">
        <v>0</v>
      </c>
      <c r="BF4" s="190">
        <v>64005</v>
      </c>
      <c r="BG4" s="190">
        <v>68000</v>
      </c>
      <c r="BH4" s="190">
        <v>64100</v>
      </c>
      <c r="BI4" s="190">
        <v>7000</v>
      </c>
      <c r="BJ4" s="190">
        <v>0</v>
      </c>
      <c r="BK4" s="190"/>
      <c r="BL4" s="190" t="s">
        <v>306</v>
      </c>
      <c r="BM4" s="190">
        <v>7000</v>
      </c>
      <c r="BN4" s="190">
        <v>-999999</v>
      </c>
      <c r="BO4" s="190">
        <v>71927</v>
      </c>
      <c r="BP4" s="190">
        <v>71927</v>
      </c>
      <c r="BQ4" s="190">
        <v>53</v>
      </c>
      <c r="BR4" s="190">
        <v>70980</v>
      </c>
      <c r="BS4" s="190">
        <v>0</v>
      </c>
      <c r="BT4" s="190">
        <v>100</v>
      </c>
      <c r="BU4" s="190">
        <v>1</v>
      </c>
      <c r="BV4" s="190">
        <v>947</v>
      </c>
      <c r="BW4" s="190">
        <v>71927</v>
      </c>
      <c r="BX4" s="190">
        <v>70930</v>
      </c>
      <c r="BY4" s="190">
        <v>77827</v>
      </c>
      <c r="BZ4" s="190">
        <v>70927</v>
      </c>
      <c r="CA4" s="190">
        <v>8000</v>
      </c>
      <c r="CB4" s="190">
        <v>0</v>
      </c>
      <c r="CC4" s="190"/>
      <c r="CD4" s="190">
        <v>8000</v>
      </c>
      <c r="CE4" s="190">
        <v>0</v>
      </c>
      <c r="CF4" s="190">
        <v>83000</v>
      </c>
      <c r="CG4" s="190">
        <v>0</v>
      </c>
      <c r="CH4" s="190">
        <v>83000</v>
      </c>
      <c r="CI4" s="190">
        <v>0</v>
      </c>
      <c r="CJ4" s="190">
        <v>75100</v>
      </c>
      <c r="CK4" s="190">
        <v>0</v>
      </c>
      <c r="CL4" s="190">
        <v>100</v>
      </c>
      <c r="CM4" s="190"/>
      <c r="CN4" s="190">
        <v>0</v>
      </c>
      <c r="CO4" s="190">
        <v>0</v>
      </c>
      <c r="CP4" s="190">
        <v>75000</v>
      </c>
      <c r="CQ4" s="190">
        <v>83000</v>
      </c>
      <c r="CR4" s="190">
        <v>75100</v>
      </c>
      <c r="CS4" s="190">
        <v>15</v>
      </c>
      <c r="CT4" s="190">
        <v>4</v>
      </c>
      <c r="CU4" s="190">
        <v>0</v>
      </c>
      <c r="CV4" s="190">
        <v>9</v>
      </c>
      <c r="CW4" s="190">
        <v>10</v>
      </c>
      <c r="CX4" s="190">
        <v>1</v>
      </c>
      <c r="CY4" s="190">
        <v>2</v>
      </c>
      <c r="CZ4" s="190">
        <v>3</v>
      </c>
      <c r="DA4" s="190">
        <v>4</v>
      </c>
      <c r="DB4" s="190">
        <v>5</v>
      </c>
      <c r="DC4" s="190">
        <v>6</v>
      </c>
      <c r="DD4" s="190">
        <v>7</v>
      </c>
      <c r="DE4" s="190">
        <v>8</v>
      </c>
      <c r="DF4" s="190" t="s">
        <v>402</v>
      </c>
      <c r="DG4" s="190" t="s">
        <v>308</v>
      </c>
      <c r="DH4" s="190" t="s">
        <v>18</v>
      </c>
      <c r="DI4" s="190">
        <v>0</v>
      </c>
      <c r="DJ4" s="190">
        <v>0</v>
      </c>
      <c r="DK4" s="190">
        <v>68111</v>
      </c>
      <c r="DL4" s="190">
        <v>11</v>
      </c>
      <c r="DM4" s="190">
        <v>68111</v>
      </c>
      <c r="DN4" s="190">
        <v>50</v>
      </c>
      <c r="DO4" s="190">
        <v>7000</v>
      </c>
      <c r="DP4" s="190">
        <v>0</v>
      </c>
      <c r="DQ4" s="190"/>
      <c r="DR4" s="190">
        <v>7000</v>
      </c>
      <c r="DS4" s="190">
        <v>-3881</v>
      </c>
      <c r="DT4" s="190">
        <v>75000</v>
      </c>
      <c r="DU4" s="190">
        <v>0</v>
      </c>
      <c r="DV4" s="190">
        <v>75000</v>
      </c>
      <c r="DW4" s="190">
        <v>3881</v>
      </c>
      <c r="DX4" s="190">
        <v>71981</v>
      </c>
      <c r="DY4" s="190">
        <v>3119</v>
      </c>
      <c r="DZ4" s="190">
        <v>100</v>
      </c>
      <c r="EA4" s="190"/>
      <c r="EB4" s="190">
        <v>0</v>
      </c>
      <c r="EC4" s="190">
        <v>0</v>
      </c>
      <c r="ED4" s="190">
        <v>71929</v>
      </c>
      <c r="EE4" s="190">
        <v>75000</v>
      </c>
      <c r="EF4" s="190">
        <v>68100</v>
      </c>
      <c r="EG4" s="190">
        <v>3</v>
      </c>
    </row>
    <row r="5" spans="1:137" x14ac:dyDescent="0.2">
      <c r="A5" s="190" t="s">
        <v>301</v>
      </c>
      <c r="B5" s="263" t="s">
        <v>426</v>
      </c>
      <c r="C5" s="190">
        <v>1</v>
      </c>
      <c r="D5" s="190" t="s">
        <v>396</v>
      </c>
      <c r="E5" s="190" t="s">
        <v>397</v>
      </c>
      <c r="F5" s="190">
        <v>59.956000000000003</v>
      </c>
      <c r="G5" s="190" t="s">
        <v>302</v>
      </c>
      <c r="H5" s="190">
        <v>1</v>
      </c>
      <c r="I5" s="190">
        <v>6000</v>
      </c>
      <c r="J5" s="190">
        <v>-57</v>
      </c>
      <c r="K5" s="190">
        <v>0</v>
      </c>
      <c r="L5" s="190">
        <v>24000</v>
      </c>
      <c r="M5" s="190">
        <v>57</v>
      </c>
      <c r="N5" s="190">
        <v>18157</v>
      </c>
      <c r="O5" s="190">
        <v>5954</v>
      </c>
      <c r="P5" s="190"/>
      <c r="Q5" s="190">
        <v>0</v>
      </c>
      <c r="R5" s="190">
        <v>0</v>
      </c>
      <c r="S5" s="190">
        <v>-725311415</v>
      </c>
      <c r="T5" s="190" t="s">
        <v>303</v>
      </c>
      <c r="U5" s="190" t="s">
        <v>304</v>
      </c>
      <c r="V5" s="190" t="s">
        <v>304</v>
      </c>
      <c r="W5" s="190" t="s">
        <v>398</v>
      </c>
      <c r="X5" s="190" t="s">
        <v>399</v>
      </c>
      <c r="Y5" s="260">
        <v>0.38542824074074072</v>
      </c>
      <c r="Z5" s="190" t="s">
        <v>305</v>
      </c>
      <c r="AA5" s="190" t="s">
        <v>306</v>
      </c>
      <c r="AB5" s="190">
        <v>-1</v>
      </c>
      <c r="AC5" s="190">
        <v>-999999</v>
      </c>
      <c r="AD5" s="190">
        <v>18100</v>
      </c>
      <c r="AE5" s="190">
        <v>41</v>
      </c>
      <c r="AF5" s="190">
        <v>6999</v>
      </c>
      <c r="AG5" s="190">
        <v>0</v>
      </c>
      <c r="AH5" s="190">
        <v>5</v>
      </c>
      <c r="AI5" s="190">
        <v>11101</v>
      </c>
      <c r="AJ5" s="190">
        <v>18100</v>
      </c>
      <c r="AK5" s="190">
        <v>4</v>
      </c>
      <c r="AL5" s="190">
        <v>4</v>
      </c>
      <c r="AM5" s="190">
        <v>1</v>
      </c>
      <c r="AN5" s="190">
        <v>4</v>
      </c>
      <c r="AO5" s="258">
        <v>8</v>
      </c>
      <c r="AP5" s="190" t="s">
        <v>307</v>
      </c>
      <c r="AQ5" s="190">
        <v>4000</v>
      </c>
      <c r="AR5" s="190">
        <v>0</v>
      </c>
      <c r="AS5" s="259"/>
      <c r="AT5" s="190">
        <v>4000</v>
      </c>
      <c r="AU5" s="190">
        <v>-6</v>
      </c>
      <c r="AV5" s="190">
        <v>87000</v>
      </c>
      <c r="AW5" s="190">
        <v>0</v>
      </c>
      <c r="AX5" s="190">
        <v>87000</v>
      </c>
      <c r="AY5" s="190">
        <v>6</v>
      </c>
      <c r="AZ5" s="190">
        <v>83106</v>
      </c>
      <c r="BA5" s="259">
        <v>4003</v>
      </c>
      <c r="BB5" s="190">
        <v>100</v>
      </c>
      <c r="BC5" s="190"/>
      <c r="BD5" s="190">
        <v>0</v>
      </c>
      <c r="BE5" s="190">
        <v>0</v>
      </c>
      <c r="BF5" s="190">
        <v>83005</v>
      </c>
      <c r="BG5" s="190">
        <v>87000</v>
      </c>
      <c r="BH5" s="190">
        <v>83100</v>
      </c>
      <c r="BI5" s="190">
        <v>7000</v>
      </c>
      <c r="BJ5" s="190">
        <v>0</v>
      </c>
      <c r="BK5" s="190"/>
      <c r="BL5" s="190" t="s">
        <v>306</v>
      </c>
      <c r="BM5" s="190">
        <v>7000</v>
      </c>
      <c r="BN5" s="190">
        <v>-999999</v>
      </c>
      <c r="BO5" s="190">
        <v>89638</v>
      </c>
      <c r="BP5" s="190">
        <v>89637</v>
      </c>
      <c r="BQ5" s="190">
        <v>53</v>
      </c>
      <c r="BR5" s="190">
        <v>88994</v>
      </c>
      <c r="BS5" s="190">
        <v>0</v>
      </c>
      <c r="BT5" s="190">
        <v>100</v>
      </c>
      <c r="BU5" s="190">
        <v>1</v>
      </c>
      <c r="BV5" s="190">
        <v>643</v>
      </c>
      <c r="BW5" s="190">
        <v>89637</v>
      </c>
      <c r="BX5" s="190">
        <v>88945</v>
      </c>
      <c r="BY5" s="190">
        <v>95841</v>
      </c>
      <c r="BZ5" s="190">
        <v>88941</v>
      </c>
      <c r="CA5" s="190">
        <v>4000</v>
      </c>
      <c r="CB5" s="190">
        <v>0</v>
      </c>
      <c r="CC5" s="190"/>
      <c r="CD5" s="190">
        <v>4000</v>
      </c>
      <c r="CE5" s="190">
        <v>-14</v>
      </c>
      <c r="CF5" s="190">
        <v>98000</v>
      </c>
      <c r="CG5" s="190">
        <v>0</v>
      </c>
      <c r="CH5" s="190">
        <v>98000</v>
      </c>
      <c r="CI5" s="190">
        <v>14</v>
      </c>
      <c r="CJ5" s="190">
        <v>94114</v>
      </c>
      <c r="CK5" s="190">
        <v>0</v>
      </c>
      <c r="CL5" s="190">
        <v>100</v>
      </c>
      <c r="CM5" s="190"/>
      <c r="CN5" s="190">
        <v>0</v>
      </c>
      <c r="CO5" s="190">
        <v>0</v>
      </c>
      <c r="CP5" s="190">
        <v>94000</v>
      </c>
      <c r="CQ5" s="190">
        <v>98000</v>
      </c>
      <c r="CR5" s="190">
        <v>94100</v>
      </c>
      <c r="CS5" s="190">
        <v>15</v>
      </c>
      <c r="CT5" s="190">
        <v>4</v>
      </c>
      <c r="CU5" s="190">
        <v>0</v>
      </c>
      <c r="CV5" s="190">
        <v>9</v>
      </c>
      <c r="CW5" s="190">
        <v>10</v>
      </c>
      <c r="CX5" s="190">
        <v>1</v>
      </c>
      <c r="CY5" s="190">
        <v>2</v>
      </c>
      <c r="CZ5" s="190">
        <v>3</v>
      </c>
      <c r="DA5" s="190">
        <v>4</v>
      </c>
      <c r="DB5" s="190">
        <v>5</v>
      </c>
      <c r="DC5" s="190">
        <v>6</v>
      </c>
      <c r="DD5" s="190">
        <v>7</v>
      </c>
      <c r="DE5" s="190">
        <v>8</v>
      </c>
      <c r="DF5" s="190" t="s">
        <v>403</v>
      </c>
      <c r="DG5" s="190" t="s">
        <v>308</v>
      </c>
      <c r="DH5" s="190" t="s">
        <v>18</v>
      </c>
      <c r="DI5" s="190">
        <v>0</v>
      </c>
      <c r="DJ5" s="190">
        <v>0</v>
      </c>
      <c r="DK5" s="190">
        <v>87109</v>
      </c>
      <c r="DL5" s="190">
        <v>9</v>
      </c>
      <c r="DM5" s="190">
        <v>87109</v>
      </c>
      <c r="DN5" s="190">
        <v>50</v>
      </c>
      <c r="DO5" s="190">
        <v>7000</v>
      </c>
      <c r="DP5" s="190">
        <v>0</v>
      </c>
      <c r="DQ5" s="190"/>
      <c r="DR5" s="190">
        <v>7000</v>
      </c>
      <c r="DS5" s="190">
        <v>-2594</v>
      </c>
      <c r="DT5" s="190">
        <v>94000</v>
      </c>
      <c r="DU5" s="190">
        <v>0</v>
      </c>
      <c r="DV5" s="190">
        <v>94000</v>
      </c>
      <c r="DW5" s="190">
        <v>2594</v>
      </c>
      <c r="DX5" s="190">
        <v>89694</v>
      </c>
      <c r="DY5" s="190">
        <v>4420</v>
      </c>
      <c r="DZ5" s="190">
        <v>100</v>
      </c>
      <c r="EA5" s="190"/>
      <c r="EB5" s="190">
        <v>0</v>
      </c>
      <c r="EC5" s="190">
        <v>0</v>
      </c>
      <c r="ED5" s="190">
        <v>89640</v>
      </c>
      <c r="EE5" s="190">
        <v>94000</v>
      </c>
      <c r="EF5" s="190">
        <v>87100</v>
      </c>
      <c r="EG5" s="190">
        <v>4</v>
      </c>
    </row>
    <row r="6" spans="1:137" x14ac:dyDescent="0.2">
      <c r="A6" s="190" t="s">
        <v>301</v>
      </c>
      <c r="B6" s="263" t="s">
        <v>426</v>
      </c>
      <c r="C6" s="190">
        <v>1</v>
      </c>
      <c r="D6" s="190" t="s">
        <v>396</v>
      </c>
      <c r="E6" s="190" t="s">
        <v>397</v>
      </c>
      <c r="F6" s="190">
        <v>59.956000000000003</v>
      </c>
      <c r="G6" s="190" t="s">
        <v>302</v>
      </c>
      <c r="H6" s="190">
        <v>1</v>
      </c>
      <c r="I6" s="190">
        <v>6000</v>
      </c>
      <c r="J6" s="190">
        <v>-57</v>
      </c>
      <c r="K6" s="190">
        <v>0</v>
      </c>
      <c r="L6" s="190">
        <v>24000</v>
      </c>
      <c r="M6" s="190">
        <v>57</v>
      </c>
      <c r="N6" s="190">
        <v>18157</v>
      </c>
      <c r="O6" s="190">
        <v>5954</v>
      </c>
      <c r="P6" s="190"/>
      <c r="Q6" s="190">
        <v>0</v>
      </c>
      <c r="R6" s="190">
        <v>0</v>
      </c>
      <c r="S6" s="190">
        <v>-725311415</v>
      </c>
      <c r="T6" s="190" t="s">
        <v>303</v>
      </c>
      <c r="U6" s="190" t="s">
        <v>304</v>
      </c>
      <c r="V6" s="190" t="s">
        <v>304</v>
      </c>
      <c r="W6" s="190" t="s">
        <v>398</v>
      </c>
      <c r="X6" s="190" t="s">
        <v>399</v>
      </c>
      <c r="Y6" s="260">
        <v>0.38542824074074072</v>
      </c>
      <c r="Z6" s="190" t="s">
        <v>305</v>
      </c>
      <c r="AA6" s="190" t="s">
        <v>306</v>
      </c>
      <c r="AB6" s="190">
        <v>-1</v>
      </c>
      <c r="AC6" s="190">
        <v>-999999</v>
      </c>
      <c r="AD6" s="190">
        <v>18100</v>
      </c>
      <c r="AE6" s="190">
        <v>41</v>
      </c>
      <c r="AF6" s="190">
        <v>6999</v>
      </c>
      <c r="AG6" s="190">
        <v>0</v>
      </c>
      <c r="AH6" s="190">
        <v>5</v>
      </c>
      <c r="AI6" s="190">
        <v>11101</v>
      </c>
      <c r="AJ6" s="190">
        <v>18100</v>
      </c>
      <c r="AK6" s="190">
        <v>5</v>
      </c>
      <c r="AL6" s="190">
        <v>5</v>
      </c>
      <c r="AM6" s="190">
        <v>1</v>
      </c>
      <c r="AN6" s="190">
        <v>5</v>
      </c>
      <c r="AO6" s="258">
        <v>2</v>
      </c>
      <c r="AP6" s="190" t="s">
        <v>307</v>
      </c>
      <c r="AQ6" s="190">
        <v>4000</v>
      </c>
      <c r="AR6" s="190">
        <v>0</v>
      </c>
      <c r="AS6" s="259"/>
      <c r="AT6" s="190">
        <v>4000</v>
      </c>
      <c r="AU6" s="190">
        <v>0</v>
      </c>
      <c r="AV6" s="190">
        <v>102000</v>
      </c>
      <c r="AW6" s="190">
        <v>0</v>
      </c>
      <c r="AX6" s="190">
        <v>102000</v>
      </c>
      <c r="AY6" s="190">
        <v>0</v>
      </c>
      <c r="AZ6" s="190">
        <v>98100</v>
      </c>
      <c r="BA6" s="259">
        <v>4003</v>
      </c>
      <c r="BB6" s="190">
        <v>100</v>
      </c>
      <c r="BC6" s="190"/>
      <c r="BD6" s="190">
        <v>0</v>
      </c>
      <c r="BE6" s="190">
        <v>0</v>
      </c>
      <c r="BF6" s="190">
        <v>98005</v>
      </c>
      <c r="BG6" s="190">
        <v>102000</v>
      </c>
      <c r="BH6" s="190">
        <v>98100</v>
      </c>
      <c r="BI6" s="190">
        <v>7000</v>
      </c>
      <c r="BJ6" s="190">
        <v>0</v>
      </c>
      <c r="BK6" s="190"/>
      <c r="BL6" s="190" t="s">
        <v>306</v>
      </c>
      <c r="BM6" s="190">
        <v>7000</v>
      </c>
      <c r="BN6" s="190">
        <v>-999999</v>
      </c>
      <c r="BO6" s="190">
        <v>106980</v>
      </c>
      <c r="BP6" s="190">
        <v>106980</v>
      </c>
      <c r="BQ6" s="190">
        <v>51</v>
      </c>
      <c r="BR6" s="190">
        <v>104455</v>
      </c>
      <c r="BS6" s="190">
        <v>0</v>
      </c>
      <c r="BT6" s="190">
        <v>100</v>
      </c>
      <c r="BU6" s="190">
        <v>1</v>
      </c>
      <c r="BV6" s="190">
        <v>2525</v>
      </c>
      <c r="BW6" s="190">
        <v>106980</v>
      </c>
      <c r="BX6" s="190">
        <v>104408</v>
      </c>
      <c r="BY6" s="190">
        <v>111304</v>
      </c>
      <c r="BZ6" s="190">
        <v>104404</v>
      </c>
      <c r="CA6" s="190">
        <v>4000</v>
      </c>
      <c r="CB6" s="190">
        <v>0</v>
      </c>
      <c r="CC6" s="190"/>
      <c r="CD6" s="190">
        <v>4000</v>
      </c>
      <c r="CE6" s="190">
        <v>-9</v>
      </c>
      <c r="CF6" s="190">
        <v>113000</v>
      </c>
      <c r="CG6" s="190">
        <v>0</v>
      </c>
      <c r="CH6" s="190">
        <v>113000</v>
      </c>
      <c r="CI6" s="190">
        <v>9</v>
      </c>
      <c r="CJ6" s="190">
        <v>109109</v>
      </c>
      <c r="CK6" s="190">
        <v>0</v>
      </c>
      <c r="CL6" s="190">
        <v>100</v>
      </c>
      <c r="CM6" s="190"/>
      <c r="CN6" s="190">
        <v>0</v>
      </c>
      <c r="CO6" s="190">
        <v>0</v>
      </c>
      <c r="CP6" s="190">
        <v>109000</v>
      </c>
      <c r="CQ6" s="190">
        <v>113000</v>
      </c>
      <c r="CR6" s="190">
        <v>109100</v>
      </c>
      <c r="CS6" s="190">
        <v>15</v>
      </c>
      <c r="CT6" s="190">
        <v>4</v>
      </c>
      <c r="CU6" s="190">
        <v>0</v>
      </c>
      <c r="CV6" s="190">
        <v>9</v>
      </c>
      <c r="CW6" s="190">
        <v>10</v>
      </c>
      <c r="CX6" s="190">
        <v>1</v>
      </c>
      <c r="CY6" s="190">
        <v>2</v>
      </c>
      <c r="CZ6" s="190">
        <v>3</v>
      </c>
      <c r="DA6" s="190">
        <v>4</v>
      </c>
      <c r="DB6" s="190">
        <v>5</v>
      </c>
      <c r="DC6" s="190">
        <v>6</v>
      </c>
      <c r="DD6" s="190">
        <v>7</v>
      </c>
      <c r="DE6" s="190">
        <v>8</v>
      </c>
      <c r="DF6" s="190" t="s">
        <v>404</v>
      </c>
      <c r="DG6" s="190" t="s">
        <v>308</v>
      </c>
      <c r="DH6" s="190" t="s">
        <v>18</v>
      </c>
      <c r="DI6" s="190">
        <v>0</v>
      </c>
      <c r="DJ6" s="190">
        <v>0</v>
      </c>
      <c r="DK6" s="190">
        <v>102103</v>
      </c>
      <c r="DL6" s="190">
        <v>3</v>
      </c>
      <c r="DM6" s="190">
        <v>102103</v>
      </c>
      <c r="DN6" s="190">
        <v>51</v>
      </c>
      <c r="DO6" s="190">
        <v>7000</v>
      </c>
      <c r="DP6" s="190">
        <v>0</v>
      </c>
      <c r="DQ6" s="190"/>
      <c r="DR6" s="190">
        <v>7000</v>
      </c>
      <c r="DS6" s="190">
        <v>-4924</v>
      </c>
      <c r="DT6" s="190">
        <v>109000</v>
      </c>
      <c r="DU6" s="190">
        <v>0</v>
      </c>
      <c r="DV6" s="190">
        <v>109000</v>
      </c>
      <c r="DW6" s="190">
        <v>4924</v>
      </c>
      <c r="DX6" s="190">
        <v>107024</v>
      </c>
      <c r="DY6" s="190">
        <v>2085</v>
      </c>
      <c r="DZ6" s="190">
        <v>100</v>
      </c>
      <c r="EA6" s="190"/>
      <c r="EB6" s="190">
        <v>0</v>
      </c>
      <c r="EC6" s="190">
        <v>0</v>
      </c>
      <c r="ED6" s="190">
        <v>106982</v>
      </c>
      <c r="EE6" s="190">
        <v>109000</v>
      </c>
      <c r="EF6" s="190">
        <v>102100</v>
      </c>
      <c r="EG6" s="190">
        <v>5</v>
      </c>
    </row>
    <row r="7" spans="1:137" x14ac:dyDescent="0.2">
      <c r="A7" s="190" t="s">
        <v>301</v>
      </c>
      <c r="B7" s="263" t="s">
        <v>426</v>
      </c>
      <c r="C7" s="190">
        <v>1</v>
      </c>
      <c r="D7" s="190" t="s">
        <v>396</v>
      </c>
      <c r="E7" s="190" t="s">
        <v>397</v>
      </c>
      <c r="F7" s="190">
        <v>59.956000000000003</v>
      </c>
      <c r="G7" s="190" t="s">
        <v>302</v>
      </c>
      <c r="H7" s="190">
        <v>1</v>
      </c>
      <c r="I7" s="190">
        <v>6000</v>
      </c>
      <c r="J7" s="190">
        <v>-57</v>
      </c>
      <c r="K7" s="190">
        <v>0</v>
      </c>
      <c r="L7" s="190">
        <v>24000</v>
      </c>
      <c r="M7" s="190">
        <v>57</v>
      </c>
      <c r="N7" s="190">
        <v>18157</v>
      </c>
      <c r="O7" s="190">
        <v>5954</v>
      </c>
      <c r="P7" s="190"/>
      <c r="Q7" s="190">
        <v>0</v>
      </c>
      <c r="R7" s="190">
        <v>0</v>
      </c>
      <c r="S7" s="190">
        <v>-725311415</v>
      </c>
      <c r="T7" s="190" t="s">
        <v>303</v>
      </c>
      <c r="U7" s="190" t="s">
        <v>304</v>
      </c>
      <c r="V7" s="190" t="s">
        <v>304</v>
      </c>
      <c r="W7" s="190" t="s">
        <v>398</v>
      </c>
      <c r="X7" s="190" t="s">
        <v>399</v>
      </c>
      <c r="Y7" s="260">
        <v>0.38542824074074072</v>
      </c>
      <c r="Z7" s="190" t="s">
        <v>305</v>
      </c>
      <c r="AA7" s="190" t="s">
        <v>306</v>
      </c>
      <c r="AB7" s="190">
        <v>-1</v>
      </c>
      <c r="AC7" s="190">
        <v>-999999</v>
      </c>
      <c r="AD7" s="190">
        <v>18100</v>
      </c>
      <c r="AE7" s="190">
        <v>41</v>
      </c>
      <c r="AF7" s="190">
        <v>6999</v>
      </c>
      <c r="AG7" s="190">
        <v>0</v>
      </c>
      <c r="AH7" s="190">
        <v>5</v>
      </c>
      <c r="AI7" s="190">
        <v>11101</v>
      </c>
      <c r="AJ7" s="190">
        <v>18100</v>
      </c>
      <c r="AK7" s="190">
        <v>6</v>
      </c>
      <c r="AL7" s="190">
        <v>6</v>
      </c>
      <c r="AM7" s="190">
        <v>1</v>
      </c>
      <c r="AN7" s="190">
        <v>6</v>
      </c>
      <c r="AO7" s="258">
        <v>8</v>
      </c>
      <c r="AP7" s="190" t="s">
        <v>307</v>
      </c>
      <c r="AQ7" s="190">
        <v>4000</v>
      </c>
      <c r="AR7" s="190">
        <v>0</v>
      </c>
      <c r="AS7" s="259"/>
      <c r="AT7" s="190">
        <v>4000</v>
      </c>
      <c r="AU7" s="190">
        <v>-12</v>
      </c>
      <c r="AV7" s="190">
        <v>117000</v>
      </c>
      <c r="AW7" s="190">
        <v>0</v>
      </c>
      <c r="AX7" s="190">
        <v>117000</v>
      </c>
      <c r="AY7" s="190">
        <v>12</v>
      </c>
      <c r="AZ7" s="190">
        <v>113112</v>
      </c>
      <c r="BA7" s="259">
        <v>4003</v>
      </c>
      <c r="BB7" s="190">
        <v>100</v>
      </c>
      <c r="BC7" s="190"/>
      <c r="BD7" s="190">
        <v>0</v>
      </c>
      <c r="BE7" s="190">
        <v>0</v>
      </c>
      <c r="BF7" s="190">
        <v>113005</v>
      </c>
      <c r="BG7" s="190">
        <v>117000</v>
      </c>
      <c r="BH7" s="190">
        <v>113100</v>
      </c>
      <c r="BI7" s="190">
        <v>7000</v>
      </c>
      <c r="BJ7" s="190">
        <v>0</v>
      </c>
      <c r="BK7" s="190"/>
      <c r="BL7" s="190" t="s">
        <v>306</v>
      </c>
      <c r="BM7" s="190">
        <v>7000</v>
      </c>
      <c r="BN7" s="190">
        <v>-999999</v>
      </c>
      <c r="BO7" s="190">
        <v>120771</v>
      </c>
      <c r="BP7" s="190">
        <v>120771</v>
      </c>
      <c r="BQ7" s="190">
        <v>54</v>
      </c>
      <c r="BR7" s="190">
        <v>120401</v>
      </c>
      <c r="BS7" s="190">
        <v>0</v>
      </c>
      <c r="BT7" s="190">
        <v>100</v>
      </c>
      <c r="BU7" s="190">
        <v>1</v>
      </c>
      <c r="BV7" s="190">
        <v>370</v>
      </c>
      <c r="BW7" s="190">
        <v>120771</v>
      </c>
      <c r="BX7" s="190">
        <v>120352</v>
      </c>
      <c r="BY7" s="190">
        <v>127247</v>
      </c>
      <c r="BZ7" s="190">
        <v>120347</v>
      </c>
      <c r="CA7" s="190">
        <v>2000</v>
      </c>
      <c r="CB7" s="190">
        <v>0</v>
      </c>
      <c r="CC7" s="190"/>
      <c r="CD7" s="190">
        <v>2000</v>
      </c>
      <c r="CE7" s="190">
        <v>-3</v>
      </c>
      <c r="CF7" s="190">
        <v>126000</v>
      </c>
      <c r="CG7" s="190">
        <v>0</v>
      </c>
      <c r="CH7" s="190">
        <v>126000</v>
      </c>
      <c r="CI7" s="190">
        <v>3</v>
      </c>
      <c r="CJ7" s="190">
        <v>124103</v>
      </c>
      <c r="CK7" s="190">
        <v>0</v>
      </c>
      <c r="CL7" s="190">
        <v>100</v>
      </c>
      <c r="CM7" s="190"/>
      <c r="CN7" s="190">
        <v>0</v>
      </c>
      <c r="CO7" s="190">
        <v>0</v>
      </c>
      <c r="CP7" s="190">
        <v>124000</v>
      </c>
      <c r="CQ7" s="190">
        <v>126000</v>
      </c>
      <c r="CR7" s="190">
        <v>124100</v>
      </c>
      <c r="CS7" s="190">
        <v>15</v>
      </c>
      <c r="CT7" s="190">
        <v>4</v>
      </c>
      <c r="CU7" s="190">
        <v>0</v>
      </c>
      <c r="CV7" s="190">
        <v>9</v>
      </c>
      <c r="CW7" s="190">
        <v>10</v>
      </c>
      <c r="CX7" s="190">
        <v>1</v>
      </c>
      <c r="CY7" s="190">
        <v>2</v>
      </c>
      <c r="CZ7" s="190">
        <v>3</v>
      </c>
      <c r="DA7" s="190">
        <v>4</v>
      </c>
      <c r="DB7" s="190">
        <v>5</v>
      </c>
      <c r="DC7" s="190">
        <v>6</v>
      </c>
      <c r="DD7" s="190">
        <v>7</v>
      </c>
      <c r="DE7" s="190">
        <v>8</v>
      </c>
      <c r="DF7" s="190" t="s">
        <v>405</v>
      </c>
      <c r="DG7" s="190" t="s">
        <v>308</v>
      </c>
      <c r="DH7" s="190" t="s">
        <v>18</v>
      </c>
      <c r="DI7" s="190">
        <v>0</v>
      </c>
      <c r="DJ7" s="190">
        <v>0</v>
      </c>
      <c r="DK7" s="190">
        <v>117115</v>
      </c>
      <c r="DL7" s="190">
        <v>15</v>
      </c>
      <c r="DM7" s="190">
        <v>117115</v>
      </c>
      <c r="DN7" s="190">
        <v>50</v>
      </c>
      <c r="DO7" s="190">
        <v>7000</v>
      </c>
      <c r="DP7" s="190">
        <v>0</v>
      </c>
      <c r="DQ7" s="190"/>
      <c r="DR7" s="190">
        <v>7000</v>
      </c>
      <c r="DS7" s="190">
        <v>-3734</v>
      </c>
      <c r="DT7" s="190">
        <v>124000</v>
      </c>
      <c r="DU7" s="190">
        <v>0</v>
      </c>
      <c r="DV7" s="190">
        <v>124000</v>
      </c>
      <c r="DW7" s="190">
        <v>3734</v>
      </c>
      <c r="DX7" s="190">
        <v>120834</v>
      </c>
      <c r="DY7" s="190">
        <v>3269</v>
      </c>
      <c r="DZ7" s="190">
        <v>100</v>
      </c>
      <c r="EA7" s="190"/>
      <c r="EB7" s="190">
        <v>0</v>
      </c>
      <c r="EC7" s="190">
        <v>0</v>
      </c>
      <c r="ED7" s="190">
        <v>120773</v>
      </c>
      <c r="EE7" s="190">
        <v>124000</v>
      </c>
      <c r="EF7" s="190">
        <v>117100</v>
      </c>
      <c r="EG7" s="190">
        <v>6</v>
      </c>
    </row>
    <row r="8" spans="1:137" x14ac:dyDescent="0.2">
      <c r="A8" s="190" t="s">
        <v>301</v>
      </c>
      <c r="B8" s="263" t="s">
        <v>426</v>
      </c>
      <c r="C8" s="190">
        <v>1</v>
      </c>
      <c r="D8" s="190" t="s">
        <v>396</v>
      </c>
      <c r="E8" s="190" t="s">
        <v>397</v>
      </c>
      <c r="F8" s="190">
        <v>59.956000000000003</v>
      </c>
      <c r="G8" s="190" t="s">
        <v>302</v>
      </c>
      <c r="H8" s="190">
        <v>1</v>
      </c>
      <c r="I8" s="190">
        <v>6000</v>
      </c>
      <c r="J8" s="190">
        <v>-57</v>
      </c>
      <c r="K8" s="190">
        <v>0</v>
      </c>
      <c r="L8" s="190">
        <v>24000</v>
      </c>
      <c r="M8" s="190">
        <v>57</v>
      </c>
      <c r="N8" s="190">
        <v>18157</v>
      </c>
      <c r="O8" s="190">
        <v>5954</v>
      </c>
      <c r="P8" s="190"/>
      <c r="Q8" s="190">
        <v>0</v>
      </c>
      <c r="R8" s="190">
        <v>0</v>
      </c>
      <c r="S8" s="190">
        <v>-725311415</v>
      </c>
      <c r="T8" s="190" t="s">
        <v>303</v>
      </c>
      <c r="U8" s="190" t="s">
        <v>304</v>
      </c>
      <c r="V8" s="190" t="s">
        <v>304</v>
      </c>
      <c r="W8" s="190" t="s">
        <v>398</v>
      </c>
      <c r="X8" s="190" t="s">
        <v>399</v>
      </c>
      <c r="Y8" s="260">
        <v>0.38542824074074072</v>
      </c>
      <c r="Z8" s="190" t="s">
        <v>305</v>
      </c>
      <c r="AA8" s="190" t="s">
        <v>306</v>
      </c>
      <c r="AB8" s="190">
        <v>-1</v>
      </c>
      <c r="AC8" s="190">
        <v>-999999</v>
      </c>
      <c r="AD8" s="190">
        <v>18100</v>
      </c>
      <c r="AE8" s="190">
        <v>41</v>
      </c>
      <c r="AF8" s="190">
        <v>6999</v>
      </c>
      <c r="AG8" s="190">
        <v>0</v>
      </c>
      <c r="AH8" s="190">
        <v>5</v>
      </c>
      <c r="AI8" s="190">
        <v>11101</v>
      </c>
      <c r="AJ8" s="190">
        <v>18100</v>
      </c>
      <c r="AK8" s="190">
        <v>7</v>
      </c>
      <c r="AL8" s="190">
        <v>7</v>
      </c>
      <c r="AM8" s="190">
        <v>1</v>
      </c>
      <c r="AN8" s="190">
        <v>7</v>
      </c>
      <c r="AO8" s="258">
        <v>0</v>
      </c>
      <c r="AP8" s="190" t="s">
        <v>307</v>
      </c>
      <c r="AQ8" s="190">
        <v>4000</v>
      </c>
      <c r="AR8" s="190">
        <v>0</v>
      </c>
      <c r="AS8" s="259"/>
      <c r="AT8" s="190">
        <v>4000</v>
      </c>
      <c r="AU8" s="190">
        <v>-5</v>
      </c>
      <c r="AV8" s="190">
        <v>130000</v>
      </c>
      <c r="AW8" s="190">
        <v>0</v>
      </c>
      <c r="AX8" s="190">
        <v>130000</v>
      </c>
      <c r="AY8" s="190">
        <v>5</v>
      </c>
      <c r="AZ8" s="190">
        <v>126105</v>
      </c>
      <c r="BA8" s="259">
        <v>4003</v>
      </c>
      <c r="BB8" s="190">
        <v>100</v>
      </c>
      <c r="BC8" s="190"/>
      <c r="BD8" s="190">
        <v>0</v>
      </c>
      <c r="BE8" s="190">
        <v>0</v>
      </c>
      <c r="BF8" s="190">
        <v>126005</v>
      </c>
      <c r="BG8" s="190">
        <v>130000</v>
      </c>
      <c r="BH8" s="190">
        <v>126100</v>
      </c>
      <c r="BI8" s="190">
        <v>7000</v>
      </c>
      <c r="BJ8" s="190">
        <v>0</v>
      </c>
      <c r="BK8" s="190"/>
      <c r="BL8" s="190" t="s">
        <v>306</v>
      </c>
      <c r="BM8" s="190">
        <v>7000</v>
      </c>
      <c r="BN8" s="190">
        <v>-999999</v>
      </c>
      <c r="BO8" s="190">
        <v>133722</v>
      </c>
      <c r="BP8" s="190">
        <v>133722</v>
      </c>
      <c r="BQ8" s="190">
        <v>63</v>
      </c>
      <c r="BR8" s="190">
        <v>133377</v>
      </c>
      <c r="BS8" s="190">
        <v>0</v>
      </c>
      <c r="BT8" s="190">
        <v>100</v>
      </c>
      <c r="BU8" s="190">
        <v>1</v>
      </c>
      <c r="BV8" s="190">
        <v>345</v>
      </c>
      <c r="BW8" s="190">
        <v>133722</v>
      </c>
      <c r="BX8" s="190">
        <v>133318</v>
      </c>
      <c r="BY8" s="190">
        <v>140214</v>
      </c>
      <c r="BZ8" s="190">
        <v>133314</v>
      </c>
      <c r="CA8" s="190">
        <v>8000</v>
      </c>
      <c r="CB8" s="190">
        <v>0</v>
      </c>
      <c r="CC8" s="190"/>
      <c r="CD8" s="190">
        <v>8000</v>
      </c>
      <c r="CE8" s="190">
        <v>-13</v>
      </c>
      <c r="CF8" s="190">
        <v>145000</v>
      </c>
      <c r="CG8" s="190">
        <v>0</v>
      </c>
      <c r="CH8" s="190">
        <v>145000</v>
      </c>
      <c r="CI8" s="190">
        <v>13</v>
      </c>
      <c r="CJ8" s="190">
        <v>137113</v>
      </c>
      <c r="CK8" s="190">
        <v>0</v>
      </c>
      <c r="CL8" s="190">
        <v>100</v>
      </c>
      <c r="CM8" s="190"/>
      <c r="CN8" s="190">
        <v>0</v>
      </c>
      <c r="CO8" s="190">
        <v>0</v>
      </c>
      <c r="CP8" s="190">
        <v>137000</v>
      </c>
      <c r="CQ8" s="190">
        <v>145000</v>
      </c>
      <c r="CR8" s="190">
        <v>137100</v>
      </c>
      <c r="CS8" s="190">
        <v>15</v>
      </c>
      <c r="CT8" s="190">
        <v>4</v>
      </c>
      <c r="CU8" s="190">
        <v>0</v>
      </c>
      <c r="CV8" s="190">
        <v>9</v>
      </c>
      <c r="CW8" s="190">
        <v>10</v>
      </c>
      <c r="CX8" s="190">
        <v>1</v>
      </c>
      <c r="CY8" s="190">
        <v>2</v>
      </c>
      <c r="CZ8" s="190">
        <v>3</v>
      </c>
      <c r="DA8" s="190">
        <v>4</v>
      </c>
      <c r="DB8" s="190">
        <v>5</v>
      </c>
      <c r="DC8" s="190">
        <v>6</v>
      </c>
      <c r="DD8" s="190">
        <v>7</v>
      </c>
      <c r="DE8" s="190">
        <v>8</v>
      </c>
      <c r="DF8" s="190" t="s">
        <v>406</v>
      </c>
      <c r="DG8" s="190" t="s">
        <v>308</v>
      </c>
      <c r="DH8" s="190" t="s">
        <v>18</v>
      </c>
      <c r="DI8" s="190">
        <v>0</v>
      </c>
      <c r="DJ8" s="190">
        <v>0</v>
      </c>
      <c r="DK8" s="190">
        <v>130108</v>
      </c>
      <c r="DL8" s="190">
        <v>8</v>
      </c>
      <c r="DM8" s="190">
        <v>130108</v>
      </c>
      <c r="DN8" s="190">
        <v>50</v>
      </c>
      <c r="DO8" s="190">
        <v>7000</v>
      </c>
      <c r="DP8" s="190">
        <v>0</v>
      </c>
      <c r="DQ8" s="190"/>
      <c r="DR8" s="190">
        <v>7000</v>
      </c>
      <c r="DS8" s="190">
        <v>-3694</v>
      </c>
      <c r="DT8" s="190">
        <v>137000</v>
      </c>
      <c r="DU8" s="190">
        <v>0</v>
      </c>
      <c r="DV8" s="190">
        <v>137000</v>
      </c>
      <c r="DW8" s="190">
        <v>3694</v>
      </c>
      <c r="DX8" s="190">
        <v>133794</v>
      </c>
      <c r="DY8" s="190">
        <v>3319</v>
      </c>
      <c r="DZ8" s="190">
        <v>100</v>
      </c>
      <c r="EA8" s="190"/>
      <c r="EB8" s="190">
        <v>0</v>
      </c>
      <c r="EC8" s="190">
        <v>0</v>
      </c>
      <c r="ED8" s="190">
        <v>133726</v>
      </c>
      <c r="EE8" s="190">
        <v>137000</v>
      </c>
      <c r="EF8" s="190">
        <v>130100</v>
      </c>
      <c r="EG8" s="190">
        <v>7</v>
      </c>
    </row>
    <row r="9" spans="1:137" x14ac:dyDescent="0.2">
      <c r="A9" s="190" t="s">
        <v>301</v>
      </c>
      <c r="B9" s="263" t="s">
        <v>426</v>
      </c>
      <c r="C9" s="190">
        <v>1</v>
      </c>
      <c r="D9" s="190" t="s">
        <v>396</v>
      </c>
      <c r="E9" s="190" t="s">
        <v>397</v>
      </c>
      <c r="F9" s="190">
        <v>59.956000000000003</v>
      </c>
      <c r="G9" s="190" t="s">
        <v>302</v>
      </c>
      <c r="H9" s="190">
        <v>1</v>
      </c>
      <c r="I9" s="190">
        <v>6000</v>
      </c>
      <c r="J9" s="190">
        <v>-57</v>
      </c>
      <c r="K9" s="190">
        <v>0</v>
      </c>
      <c r="L9" s="190">
        <v>24000</v>
      </c>
      <c r="M9" s="190">
        <v>57</v>
      </c>
      <c r="N9" s="190">
        <v>18157</v>
      </c>
      <c r="O9" s="190">
        <v>5954</v>
      </c>
      <c r="P9" s="190"/>
      <c r="Q9" s="190">
        <v>0</v>
      </c>
      <c r="R9" s="190">
        <v>0</v>
      </c>
      <c r="S9" s="190">
        <v>-725311415</v>
      </c>
      <c r="T9" s="190" t="s">
        <v>303</v>
      </c>
      <c r="U9" s="190" t="s">
        <v>304</v>
      </c>
      <c r="V9" s="190" t="s">
        <v>304</v>
      </c>
      <c r="W9" s="190" t="s">
        <v>398</v>
      </c>
      <c r="X9" s="190" t="s">
        <v>399</v>
      </c>
      <c r="Y9" s="260">
        <v>0.38542824074074072</v>
      </c>
      <c r="Z9" s="190" t="s">
        <v>305</v>
      </c>
      <c r="AA9" s="190" t="s">
        <v>306</v>
      </c>
      <c r="AB9" s="190">
        <v>-1</v>
      </c>
      <c r="AC9" s="190">
        <v>-999999</v>
      </c>
      <c r="AD9" s="190">
        <v>18100</v>
      </c>
      <c r="AE9" s="190">
        <v>41</v>
      </c>
      <c r="AF9" s="190">
        <v>6999</v>
      </c>
      <c r="AG9" s="190">
        <v>0</v>
      </c>
      <c r="AH9" s="190">
        <v>5</v>
      </c>
      <c r="AI9" s="190">
        <v>11101</v>
      </c>
      <c r="AJ9" s="190">
        <v>18100</v>
      </c>
      <c r="AK9" s="190">
        <v>8</v>
      </c>
      <c r="AL9" s="190">
        <v>8</v>
      </c>
      <c r="AM9" s="190">
        <v>1</v>
      </c>
      <c r="AN9" s="190">
        <v>8</v>
      </c>
      <c r="AO9" s="258">
        <v>3</v>
      </c>
      <c r="AP9" s="190" t="s">
        <v>307</v>
      </c>
      <c r="AQ9" s="190">
        <v>4000</v>
      </c>
      <c r="AR9" s="190">
        <v>0</v>
      </c>
      <c r="AS9" s="259"/>
      <c r="AT9" s="190">
        <v>4000</v>
      </c>
      <c r="AU9" s="190">
        <v>-2</v>
      </c>
      <c r="AV9" s="190">
        <v>149000</v>
      </c>
      <c r="AW9" s="190">
        <v>0</v>
      </c>
      <c r="AX9" s="190">
        <v>149000</v>
      </c>
      <c r="AY9" s="190">
        <v>2</v>
      </c>
      <c r="AZ9" s="190">
        <v>145102</v>
      </c>
      <c r="BA9" s="259">
        <v>4003</v>
      </c>
      <c r="BB9" s="190">
        <v>100</v>
      </c>
      <c r="BC9" s="190"/>
      <c r="BD9" s="190">
        <v>0</v>
      </c>
      <c r="BE9" s="190">
        <v>0</v>
      </c>
      <c r="BF9" s="190">
        <v>145005</v>
      </c>
      <c r="BG9" s="190">
        <v>149000</v>
      </c>
      <c r="BH9" s="190">
        <v>145100</v>
      </c>
      <c r="BI9" s="190">
        <v>7000</v>
      </c>
      <c r="BJ9" s="190">
        <v>0</v>
      </c>
      <c r="BK9" s="190"/>
      <c r="BL9" s="190" t="s">
        <v>306</v>
      </c>
      <c r="BM9" s="190">
        <v>7000</v>
      </c>
      <c r="BN9" s="190">
        <v>-999999</v>
      </c>
      <c r="BO9" s="190">
        <v>152033</v>
      </c>
      <c r="BP9" s="190">
        <v>152033</v>
      </c>
      <c r="BQ9" s="190">
        <v>75</v>
      </c>
      <c r="BR9" s="190">
        <v>151724</v>
      </c>
      <c r="BS9" s="190">
        <v>0</v>
      </c>
      <c r="BT9" s="190">
        <v>100</v>
      </c>
      <c r="BU9" s="190">
        <v>1</v>
      </c>
      <c r="BV9" s="190">
        <v>309</v>
      </c>
      <c r="BW9" s="190">
        <v>152033</v>
      </c>
      <c r="BX9" s="190">
        <v>151654</v>
      </c>
      <c r="BY9" s="190">
        <v>158549</v>
      </c>
      <c r="BZ9" s="190">
        <v>151649</v>
      </c>
      <c r="CA9" s="190">
        <v>8000</v>
      </c>
      <c r="CB9" s="190">
        <v>0</v>
      </c>
      <c r="CC9" s="190"/>
      <c r="CD9" s="190">
        <v>8000</v>
      </c>
      <c r="CE9" s="190">
        <v>-11</v>
      </c>
      <c r="CF9" s="190">
        <v>164000</v>
      </c>
      <c r="CG9" s="190">
        <v>0</v>
      </c>
      <c r="CH9" s="190">
        <v>164000</v>
      </c>
      <c r="CI9" s="190">
        <v>11</v>
      </c>
      <c r="CJ9" s="190">
        <v>156111</v>
      </c>
      <c r="CK9" s="190">
        <v>0</v>
      </c>
      <c r="CL9" s="190">
        <v>100</v>
      </c>
      <c r="CM9" s="190"/>
      <c r="CN9" s="190">
        <v>0</v>
      </c>
      <c r="CO9" s="190">
        <v>0</v>
      </c>
      <c r="CP9" s="190">
        <v>156000</v>
      </c>
      <c r="CQ9" s="190">
        <v>164000</v>
      </c>
      <c r="CR9" s="190">
        <v>156100</v>
      </c>
      <c r="CS9" s="190">
        <v>15</v>
      </c>
      <c r="CT9" s="190">
        <v>4</v>
      </c>
      <c r="CU9" s="190">
        <v>0</v>
      </c>
      <c r="CV9" s="190">
        <v>9</v>
      </c>
      <c r="CW9" s="190">
        <v>10</v>
      </c>
      <c r="CX9" s="190">
        <v>1</v>
      </c>
      <c r="CY9" s="190">
        <v>2</v>
      </c>
      <c r="CZ9" s="190">
        <v>3</v>
      </c>
      <c r="DA9" s="190">
        <v>4</v>
      </c>
      <c r="DB9" s="190">
        <v>5</v>
      </c>
      <c r="DC9" s="190">
        <v>6</v>
      </c>
      <c r="DD9" s="190">
        <v>7</v>
      </c>
      <c r="DE9" s="190">
        <v>8</v>
      </c>
      <c r="DF9" s="190" t="s">
        <v>407</v>
      </c>
      <c r="DG9" s="190" t="s">
        <v>308</v>
      </c>
      <c r="DH9" s="190" t="s">
        <v>18</v>
      </c>
      <c r="DI9" s="190">
        <v>0</v>
      </c>
      <c r="DJ9" s="190">
        <v>1</v>
      </c>
      <c r="DK9" s="190">
        <v>149106</v>
      </c>
      <c r="DL9" s="190">
        <v>5</v>
      </c>
      <c r="DM9" s="190">
        <v>149105</v>
      </c>
      <c r="DN9" s="190">
        <v>51</v>
      </c>
      <c r="DO9" s="190">
        <v>7000</v>
      </c>
      <c r="DP9" s="190">
        <v>0</v>
      </c>
      <c r="DQ9" s="190"/>
      <c r="DR9" s="190">
        <v>7000</v>
      </c>
      <c r="DS9" s="190">
        <v>-2991</v>
      </c>
      <c r="DT9" s="190">
        <v>156000</v>
      </c>
      <c r="DU9" s="190">
        <v>0</v>
      </c>
      <c r="DV9" s="190">
        <v>156000</v>
      </c>
      <c r="DW9" s="190">
        <v>2991</v>
      </c>
      <c r="DX9" s="190">
        <v>152091</v>
      </c>
      <c r="DY9" s="190">
        <v>4020</v>
      </c>
      <c r="DZ9" s="190">
        <v>100</v>
      </c>
      <c r="EA9" s="190"/>
      <c r="EB9" s="190">
        <v>0</v>
      </c>
      <c r="EC9" s="190">
        <v>0</v>
      </c>
      <c r="ED9" s="190">
        <v>152036</v>
      </c>
      <c r="EE9" s="190">
        <v>156000</v>
      </c>
      <c r="EF9" s="190">
        <v>149100</v>
      </c>
      <c r="EG9" s="190">
        <v>8</v>
      </c>
    </row>
    <row r="10" spans="1:137" x14ac:dyDescent="0.2">
      <c r="A10" s="190" t="s">
        <v>301</v>
      </c>
      <c r="B10" s="263" t="s">
        <v>426</v>
      </c>
      <c r="C10" s="190">
        <v>1</v>
      </c>
      <c r="D10" s="190" t="s">
        <v>396</v>
      </c>
      <c r="E10" s="190" t="s">
        <v>397</v>
      </c>
      <c r="F10" s="190">
        <v>59.956000000000003</v>
      </c>
      <c r="G10" s="190" t="s">
        <v>302</v>
      </c>
      <c r="H10" s="190">
        <v>1</v>
      </c>
      <c r="I10" s="190">
        <v>6000</v>
      </c>
      <c r="J10" s="190">
        <v>-57</v>
      </c>
      <c r="K10" s="190">
        <v>0</v>
      </c>
      <c r="L10" s="190">
        <v>24000</v>
      </c>
      <c r="M10" s="190">
        <v>57</v>
      </c>
      <c r="N10" s="190">
        <v>18157</v>
      </c>
      <c r="O10" s="190">
        <v>5954</v>
      </c>
      <c r="P10" s="190"/>
      <c r="Q10" s="190">
        <v>0</v>
      </c>
      <c r="R10" s="190">
        <v>0</v>
      </c>
      <c r="S10" s="190">
        <v>-725311415</v>
      </c>
      <c r="T10" s="190" t="s">
        <v>303</v>
      </c>
      <c r="U10" s="190" t="s">
        <v>304</v>
      </c>
      <c r="V10" s="190" t="s">
        <v>304</v>
      </c>
      <c r="W10" s="190" t="s">
        <v>398</v>
      </c>
      <c r="X10" s="190" t="s">
        <v>399</v>
      </c>
      <c r="Y10" s="260">
        <v>0.38542824074074072</v>
      </c>
      <c r="Z10" s="190" t="s">
        <v>305</v>
      </c>
      <c r="AA10" s="190" t="s">
        <v>306</v>
      </c>
      <c r="AB10" s="190">
        <v>-1</v>
      </c>
      <c r="AC10" s="190">
        <v>-999999</v>
      </c>
      <c r="AD10" s="190">
        <v>18100</v>
      </c>
      <c r="AE10" s="190">
        <v>41</v>
      </c>
      <c r="AF10" s="190">
        <v>6999</v>
      </c>
      <c r="AG10" s="190">
        <v>0</v>
      </c>
      <c r="AH10" s="190">
        <v>5</v>
      </c>
      <c r="AI10" s="190">
        <v>11101</v>
      </c>
      <c r="AJ10" s="190">
        <v>18100</v>
      </c>
      <c r="AK10" s="190">
        <v>9</v>
      </c>
      <c r="AL10" s="190">
        <v>9</v>
      </c>
      <c r="AM10" s="190">
        <v>1</v>
      </c>
      <c r="AN10" s="190">
        <v>9</v>
      </c>
      <c r="AO10" s="258">
        <v>0</v>
      </c>
      <c r="AP10" s="190" t="s">
        <v>307</v>
      </c>
      <c r="AQ10" s="190">
        <v>4000</v>
      </c>
      <c r="AR10" s="190">
        <v>0</v>
      </c>
      <c r="AS10" s="259"/>
      <c r="AT10" s="190">
        <v>4000</v>
      </c>
      <c r="AU10" s="190">
        <v>0</v>
      </c>
      <c r="AV10" s="190">
        <v>168000</v>
      </c>
      <c r="AW10" s="190">
        <v>0</v>
      </c>
      <c r="AX10" s="190">
        <v>168000</v>
      </c>
      <c r="AY10" s="190">
        <v>0</v>
      </c>
      <c r="AZ10" s="190">
        <v>164100</v>
      </c>
      <c r="BA10" s="259">
        <v>4003</v>
      </c>
      <c r="BB10" s="190">
        <v>100</v>
      </c>
      <c r="BC10" s="190"/>
      <c r="BD10" s="190">
        <v>0</v>
      </c>
      <c r="BE10" s="190">
        <v>0</v>
      </c>
      <c r="BF10" s="190">
        <v>164005</v>
      </c>
      <c r="BG10" s="190">
        <v>168000</v>
      </c>
      <c r="BH10" s="190">
        <v>164100</v>
      </c>
      <c r="BI10" s="190">
        <v>7000</v>
      </c>
      <c r="BJ10" s="190">
        <v>0</v>
      </c>
      <c r="BK10" s="190"/>
      <c r="BL10" s="190" t="s">
        <v>306</v>
      </c>
      <c r="BM10" s="190">
        <v>7000</v>
      </c>
      <c r="BN10" s="190">
        <v>-999999</v>
      </c>
      <c r="BO10" s="190">
        <v>171415</v>
      </c>
      <c r="BP10" s="190">
        <v>171415</v>
      </c>
      <c r="BQ10" s="190">
        <v>49</v>
      </c>
      <c r="BR10" s="190">
        <v>171072</v>
      </c>
      <c r="BS10" s="190">
        <v>0</v>
      </c>
      <c r="BT10" s="190">
        <v>100</v>
      </c>
      <c r="BU10" s="190">
        <v>1</v>
      </c>
      <c r="BV10" s="190">
        <v>343</v>
      </c>
      <c r="BW10" s="190">
        <v>171415</v>
      </c>
      <c r="BX10" s="190">
        <v>171027</v>
      </c>
      <c r="BY10" s="190">
        <v>177923</v>
      </c>
      <c r="BZ10" s="190">
        <v>171023</v>
      </c>
      <c r="CA10" s="190">
        <v>10000</v>
      </c>
      <c r="CB10" s="190">
        <v>0</v>
      </c>
      <c r="CC10" s="190"/>
      <c r="CD10" s="190">
        <v>10000</v>
      </c>
      <c r="CE10" s="190">
        <v>-8</v>
      </c>
      <c r="CF10" s="190">
        <v>185000</v>
      </c>
      <c r="CG10" s="190">
        <v>0</v>
      </c>
      <c r="CH10" s="190">
        <v>185000</v>
      </c>
      <c r="CI10" s="190">
        <v>8</v>
      </c>
      <c r="CJ10" s="190">
        <v>175108</v>
      </c>
      <c r="CK10" s="190">
        <v>0</v>
      </c>
      <c r="CL10" s="190">
        <v>100</v>
      </c>
      <c r="CM10" s="190"/>
      <c r="CN10" s="190">
        <v>0</v>
      </c>
      <c r="CO10" s="190">
        <v>0</v>
      </c>
      <c r="CP10" s="190">
        <v>175000</v>
      </c>
      <c r="CQ10" s="190">
        <v>185000</v>
      </c>
      <c r="CR10" s="190">
        <v>175100</v>
      </c>
      <c r="CS10" s="190">
        <v>15</v>
      </c>
      <c r="CT10" s="190">
        <v>4</v>
      </c>
      <c r="CU10" s="190">
        <v>0</v>
      </c>
      <c r="CV10" s="190">
        <v>9</v>
      </c>
      <c r="CW10" s="190">
        <v>10</v>
      </c>
      <c r="CX10" s="190">
        <v>1</v>
      </c>
      <c r="CY10" s="190">
        <v>2</v>
      </c>
      <c r="CZ10" s="190">
        <v>3</v>
      </c>
      <c r="DA10" s="190">
        <v>4</v>
      </c>
      <c r="DB10" s="190">
        <v>5</v>
      </c>
      <c r="DC10" s="190">
        <v>6</v>
      </c>
      <c r="DD10" s="190">
        <v>7</v>
      </c>
      <c r="DE10" s="190">
        <v>8</v>
      </c>
      <c r="DF10" s="190" t="s">
        <v>408</v>
      </c>
      <c r="DG10" s="190" t="s">
        <v>308</v>
      </c>
      <c r="DH10" s="190" t="s">
        <v>18</v>
      </c>
      <c r="DI10" s="190">
        <v>0</v>
      </c>
      <c r="DJ10" s="190">
        <v>0</v>
      </c>
      <c r="DK10" s="190">
        <v>168103</v>
      </c>
      <c r="DL10" s="190">
        <v>3</v>
      </c>
      <c r="DM10" s="190">
        <v>168103</v>
      </c>
      <c r="DN10" s="190">
        <v>50</v>
      </c>
      <c r="DO10" s="190">
        <v>7000</v>
      </c>
      <c r="DP10" s="190">
        <v>0</v>
      </c>
      <c r="DQ10" s="190"/>
      <c r="DR10" s="190">
        <v>7000</v>
      </c>
      <c r="DS10" s="190">
        <v>-3372</v>
      </c>
      <c r="DT10" s="190">
        <v>175000</v>
      </c>
      <c r="DU10" s="190">
        <v>0</v>
      </c>
      <c r="DV10" s="190">
        <v>175000</v>
      </c>
      <c r="DW10" s="190">
        <v>3372</v>
      </c>
      <c r="DX10" s="190">
        <v>171472</v>
      </c>
      <c r="DY10" s="190">
        <v>3636</v>
      </c>
      <c r="DZ10" s="190">
        <v>100</v>
      </c>
      <c r="EA10" s="190"/>
      <c r="EB10" s="190">
        <v>0</v>
      </c>
      <c r="EC10" s="190">
        <v>0</v>
      </c>
      <c r="ED10" s="190">
        <v>171417</v>
      </c>
      <c r="EE10" s="190">
        <v>175000</v>
      </c>
      <c r="EF10" s="190">
        <v>168100</v>
      </c>
      <c r="EG10" s="190">
        <v>9</v>
      </c>
    </row>
    <row r="11" spans="1:137" x14ac:dyDescent="0.2">
      <c r="A11" s="190" t="s">
        <v>301</v>
      </c>
      <c r="B11" s="263" t="s">
        <v>426</v>
      </c>
      <c r="C11" s="190">
        <v>1</v>
      </c>
      <c r="D11" s="190" t="s">
        <v>396</v>
      </c>
      <c r="E11" s="190" t="s">
        <v>397</v>
      </c>
      <c r="F11" s="190">
        <v>59.956000000000003</v>
      </c>
      <c r="G11" s="190" t="s">
        <v>302</v>
      </c>
      <c r="H11" s="190">
        <v>1</v>
      </c>
      <c r="I11" s="190">
        <v>6000</v>
      </c>
      <c r="J11" s="190">
        <v>-57</v>
      </c>
      <c r="K11" s="190">
        <v>0</v>
      </c>
      <c r="L11" s="190">
        <v>24000</v>
      </c>
      <c r="M11" s="190">
        <v>57</v>
      </c>
      <c r="N11" s="190">
        <v>18157</v>
      </c>
      <c r="O11" s="190">
        <v>5954</v>
      </c>
      <c r="P11" s="190"/>
      <c r="Q11" s="190">
        <v>0</v>
      </c>
      <c r="R11" s="190">
        <v>0</v>
      </c>
      <c r="S11" s="190">
        <v>-725311415</v>
      </c>
      <c r="T11" s="190" t="s">
        <v>303</v>
      </c>
      <c r="U11" s="190" t="s">
        <v>304</v>
      </c>
      <c r="V11" s="190" t="s">
        <v>304</v>
      </c>
      <c r="W11" s="190" t="s">
        <v>398</v>
      </c>
      <c r="X11" s="190" t="s">
        <v>399</v>
      </c>
      <c r="Y11" s="260">
        <v>0.38542824074074072</v>
      </c>
      <c r="Z11" s="190" t="s">
        <v>305</v>
      </c>
      <c r="AA11" s="190" t="s">
        <v>306</v>
      </c>
      <c r="AB11" s="190">
        <v>-1</v>
      </c>
      <c r="AC11" s="190">
        <v>-999999</v>
      </c>
      <c r="AD11" s="190">
        <v>18100</v>
      </c>
      <c r="AE11" s="190">
        <v>41</v>
      </c>
      <c r="AF11" s="190">
        <v>6999</v>
      </c>
      <c r="AG11" s="190">
        <v>0</v>
      </c>
      <c r="AH11" s="190">
        <v>5</v>
      </c>
      <c r="AI11" s="190">
        <v>11101</v>
      </c>
      <c r="AJ11" s="190">
        <v>18100</v>
      </c>
      <c r="AK11" s="190">
        <v>10</v>
      </c>
      <c r="AL11" s="190">
        <v>10</v>
      </c>
      <c r="AM11" s="190">
        <v>1</v>
      </c>
      <c r="AN11" s="190">
        <v>10</v>
      </c>
      <c r="AO11" s="258">
        <v>8</v>
      </c>
      <c r="AP11" s="190" t="s">
        <v>307</v>
      </c>
      <c r="AQ11" s="190">
        <v>4000</v>
      </c>
      <c r="AR11" s="190">
        <v>0</v>
      </c>
      <c r="AS11" s="259"/>
      <c r="AT11" s="190">
        <v>4000</v>
      </c>
      <c r="AU11" s="190">
        <v>-16</v>
      </c>
      <c r="AV11" s="190">
        <v>189000</v>
      </c>
      <c r="AW11" s="190">
        <v>0</v>
      </c>
      <c r="AX11" s="190">
        <v>189000</v>
      </c>
      <c r="AY11" s="190">
        <v>16</v>
      </c>
      <c r="AZ11" s="190">
        <v>185116</v>
      </c>
      <c r="BA11" s="259">
        <v>3986</v>
      </c>
      <c r="BB11" s="190">
        <v>100</v>
      </c>
      <c r="BC11" s="190"/>
      <c r="BD11" s="190">
        <v>0</v>
      </c>
      <c r="BE11" s="190">
        <v>0</v>
      </c>
      <c r="BF11" s="190">
        <v>185005</v>
      </c>
      <c r="BG11" s="190">
        <v>189000</v>
      </c>
      <c r="BH11" s="190">
        <v>185100</v>
      </c>
      <c r="BI11" s="190">
        <v>7000</v>
      </c>
      <c r="BJ11" s="190">
        <v>0</v>
      </c>
      <c r="BK11" s="190"/>
      <c r="BL11" s="190" t="s">
        <v>306</v>
      </c>
      <c r="BM11" s="190">
        <v>7000</v>
      </c>
      <c r="BN11" s="190">
        <v>-999999</v>
      </c>
      <c r="BO11" s="190">
        <v>191438</v>
      </c>
      <c r="BP11" s="190">
        <v>191438</v>
      </c>
      <c r="BQ11" s="190">
        <v>49</v>
      </c>
      <c r="BR11" s="190">
        <v>191087</v>
      </c>
      <c r="BS11" s="190">
        <v>0</v>
      </c>
      <c r="BT11" s="190">
        <v>100</v>
      </c>
      <c r="BU11" s="190">
        <v>1</v>
      </c>
      <c r="BV11" s="190">
        <v>350</v>
      </c>
      <c r="BW11" s="190">
        <v>191437</v>
      </c>
      <c r="BX11" s="190">
        <v>191042</v>
      </c>
      <c r="BY11" s="190">
        <v>197938</v>
      </c>
      <c r="BZ11" s="190">
        <v>191038</v>
      </c>
      <c r="CA11" s="190">
        <v>4000</v>
      </c>
      <c r="CB11" s="190">
        <v>0</v>
      </c>
      <c r="CC11" s="190"/>
      <c r="CD11" s="190">
        <v>4000</v>
      </c>
      <c r="CE11" s="190">
        <v>-8</v>
      </c>
      <c r="CF11" s="190">
        <v>200000</v>
      </c>
      <c r="CG11" s="190">
        <v>0</v>
      </c>
      <c r="CH11" s="190">
        <v>200000</v>
      </c>
      <c r="CI11" s="190">
        <v>8</v>
      </c>
      <c r="CJ11" s="190">
        <v>196108</v>
      </c>
      <c r="CK11" s="190">
        <v>0</v>
      </c>
      <c r="CL11" s="190">
        <v>100</v>
      </c>
      <c r="CM11" s="190"/>
      <c r="CN11" s="190">
        <v>0</v>
      </c>
      <c r="CO11" s="190">
        <v>0</v>
      </c>
      <c r="CP11" s="190">
        <v>196000</v>
      </c>
      <c r="CQ11" s="190">
        <v>200000</v>
      </c>
      <c r="CR11" s="190">
        <v>196100</v>
      </c>
      <c r="CS11" s="190">
        <v>15</v>
      </c>
      <c r="CT11" s="190">
        <v>4</v>
      </c>
      <c r="CU11" s="190">
        <v>0</v>
      </c>
      <c r="CV11" s="190">
        <v>9</v>
      </c>
      <c r="CW11" s="190">
        <v>10</v>
      </c>
      <c r="CX11" s="190">
        <v>1</v>
      </c>
      <c r="CY11" s="190">
        <v>2</v>
      </c>
      <c r="CZ11" s="190">
        <v>3</v>
      </c>
      <c r="DA11" s="190">
        <v>4</v>
      </c>
      <c r="DB11" s="190">
        <v>5</v>
      </c>
      <c r="DC11" s="190">
        <v>6</v>
      </c>
      <c r="DD11" s="190">
        <v>7</v>
      </c>
      <c r="DE11" s="190">
        <v>8</v>
      </c>
      <c r="DF11" s="190" t="s">
        <v>400</v>
      </c>
      <c r="DG11" s="190" t="s">
        <v>308</v>
      </c>
      <c r="DH11" s="190" t="s">
        <v>18</v>
      </c>
      <c r="DI11" s="190">
        <v>0</v>
      </c>
      <c r="DJ11" s="190">
        <v>0</v>
      </c>
      <c r="DK11" s="190">
        <v>189102</v>
      </c>
      <c r="DL11" s="190">
        <v>2</v>
      </c>
      <c r="DM11" s="190">
        <v>189102</v>
      </c>
      <c r="DN11" s="190">
        <v>50</v>
      </c>
      <c r="DO11" s="190">
        <v>7000</v>
      </c>
      <c r="DP11" s="190">
        <v>0</v>
      </c>
      <c r="DQ11" s="190"/>
      <c r="DR11" s="190">
        <v>7000</v>
      </c>
      <c r="DS11" s="190">
        <v>-2387</v>
      </c>
      <c r="DT11" s="190">
        <v>196000</v>
      </c>
      <c r="DU11" s="190">
        <v>0</v>
      </c>
      <c r="DV11" s="190">
        <v>196000</v>
      </c>
      <c r="DW11" s="190">
        <v>2387</v>
      </c>
      <c r="DX11" s="190">
        <v>191487</v>
      </c>
      <c r="DY11" s="190">
        <v>4621</v>
      </c>
      <c r="DZ11" s="190">
        <v>100</v>
      </c>
      <c r="EA11" s="190"/>
      <c r="EB11" s="190">
        <v>0</v>
      </c>
      <c r="EC11" s="190">
        <v>0</v>
      </c>
      <c r="ED11" s="190">
        <v>191441</v>
      </c>
      <c r="EE11" s="190">
        <v>196000</v>
      </c>
      <c r="EF11" s="190">
        <v>189100</v>
      </c>
      <c r="EG11" s="190">
        <v>10</v>
      </c>
    </row>
    <row r="12" spans="1:137" x14ac:dyDescent="0.2">
      <c r="A12" s="190" t="s">
        <v>301</v>
      </c>
      <c r="B12" s="263" t="s">
        <v>426</v>
      </c>
      <c r="C12" s="190">
        <v>1</v>
      </c>
      <c r="D12" s="190" t="s">
        <v>396</v>
      </c>
      <c r="E12" s="190" t="s">
        <v>397</v>
      </c>
      <c r="F12" s="190">
        <v>59.956000000000003</v>
      </c>
      <c r="G12" s="190" t="s">
        <v>302</v>
      </c>
      <c r="H12" s="190">
        <v>1</v>
      </c>
      <c r="I12" s="190">
        <v>6000</v>
      </c>
      <c r="J12" s="190">
        <v>-57</v>
      </c>
      <c r="K12" s="190">
        <v>0</v>
      </c>
      <c r="L12" s="190">
        <v>24000</v>
      </c>
      <c r="M12" s="190">
        <v>57</v>
      </c>
      <c r="N12" s="190">
        <v>18157</v>
      </c>
      <c r="O12" s="190">
        <v>5954</v>
      </c>
      <c r="P12" s="190"/>
      <c r="Q12" s="190">
        <v>0</v>
      </c>
      <c r="R12" s="190">
        <v>0</v>
      </c>
      <c r="S12" s="190">
        <v>-725311415</v>
      </c>
      <c r="T12" s="190" t="s">
        <v>303</v>
      </c>
      <c r="U12" s="190" t="s">
        <v>304</v>
      </c>
      <c r="V12" s="190" t="s">
        <v>304</v>
      </c>
      <c r="W12" s="190" t="s">
        <v>398</v>
      </c>
      <c r="X12" s="190" t="s">
        <v>399</v>
      </c>
      <c r="Y12" s="260">
        <v>0.38542824074074072</v>
      </c>
      <c r="Z12" s="190" t="s">
        <v>305</v>
      </c>
      <c r="AA12" s="190" t="s">
        <v>306</v>
      </c>
      <c r="AB12" s="190">
        <v>-1</v>
      </c>
      <c r="AC12" s="190">
        <v>-999999</v>
      </c>
      <c r="AD12" s="190">
        <v>18100</v>
      </c>
      <c r="AE12" s="190">
        <v>41</v>
      </c>
      <c r="AF12" s="190">
        <v>6999</v>
      </c>
      <c r="AG12" s="190">
        <v>0</v>
      </c>
      <c r="AH12" s="190">
        <v>5</v>
      </c>
      <c r="AI12" s="190">
        <v>11101</v>
      </c>
      <c r="AJ12" s="190">
        <v>18100</v>
      </c>
      <c r="AK12" s="190">
        <v>11</v>
      </c>
      <c r="AL12" s="190">
        <v>11</v>
      </c>
      <c r="AM12" s="190">
        <v>1</v>
      </c>
      <c r="AN12" s="190">
        <v>11</v>
      </c>
      <c r="AO12" s="258">
        <v>0</v>
      </c>
      <c r="AP12" s="190" t="s">
        <v>307</v>
      </c>
      <c r="AQ12" s="190">
        <v>4000</v>
      </c>
      <c r="AR12" s="190">
        <v>0</v>
      </c>
      <c r="AS12" s="259"/>
      <c r="AT12" s="190">
        <v>4000</v>
      </c>
      <c r="AU12" s="190">
        <v>-11</v>
      </c>
      <c r="AV12" s="190">
        <v>204000</v>
      </c>
      <c r="AW12" s="190">
        <v>0</v>
      </c>
      <c r="AX12" s="190">
        <v>204000</v>
      </c>
      <c r="AY12" s="190">
        <v>11</v>
      </c>
      <c r="AZ12" s="190">
        <v>200111</v>
      </c>
      <c r="BA12" s="259">
        <v>4003</v>
      </c>
      <c r="BB12" s="190">
        <v>100</v>
      </c>
      <c r="BC12" s="190"/>
      <c r="BD12" s="190">
        <v>0</v>
      </c>
      <c r="BE12" s="190">
        <v>0</v>
      </c>
      <c r="BF12" s="190">
        <v>200005</v>
      </c>
      <c r="BG12" s="190">
        <v>204000</v>
      </c>
      <c r="BH12" s="190">
        <v>200100</v>
      </c>
      <c r="BI12" s="190">
        <v>7000</v>
      </c>
      <c r="BJ12" s="190">
        <v>0</v>
      </c>
      <c r="BK12" s="190"/>
      <c r="BL12" s="190" t="s">
        <v>306</v>
      </c>
      <c r="BM12" s="190">
        <v>7000</v>
      </c>
      <c r="BN12" s="190">
        <v>-999999</v>
      </c>
      <c r="BO12" s="190">
        <v>207596</v>
      </c>
      <c r="BP12" s="190">
        <v>207596</v>
      </c>
      <c r="BQ12" s="190">
        <v>46</v>
      </c>
      <c r="BR12" s="190">
        <v>207266</v>
      </c>
      <c r="BS12" s="190">
        <v>0</v>
      </c>
      <c r="BT12" s="190">
        <v>100</v>
      </c>
      <c r="BU12" s="190">
        <v>1</v>
      </c>
      <c r="BV12" s="190">
        <v>330</v>
      </c>
      <c r="BW12" s="190">
        <v>207596</v>
      </c>
      <c r="BX12" s="190">
        <v>207224</v>
      </c>
      <c r="BY12" s="190">
        <v>214120</v>
      </c>
      <c r="BZ12" s="190">
        <v>207220</v>
      </c>
      <c r="CA12" s="190">
        <v>4000</v>
      </c>
      <c r="CB12" s="190">
        <v>0</v>
      </c>
      <c r="CC12" s="190"/>
      <c r="CD12" s="190">
        <v>4000</v>
      </c>
      <c r="CE12" s="190">
        <v>-2</v>
      </c>
      <c r="CF12" s="190">
        <v>215000</v>
      </c>
      <c r="CG12" s="190">
        <v>0</v>
      </c>
      <c r="CH12" s="190">
        <v>215000</v>
      </c>
      <c r="CI12" s="190">
        <v>2</v>
      </c>
      <c r="CJ12" s="190">
        <v>211102</v>
      </c>
      <c r="CK12" s="190">
        <v>0</v>
      </c>
      <c r="CL12" s="190">
        <v>100</v>
      </c>
      <c r="CM12" s="190"/>
      <c r="CN12" s="190">
        <v>0</v>
      </c>
      <c r="CO12" s="190">
        <v>0</v>
      </c>
      <c r="CP12" s="190">
        <v>211000</v>
      </c>
      <c r="CQ12" s="190">
        <v>215000</v>
      </c>
      <c r="CR12" s="190">
        <v>211100</v>
      </c>
      <c r="CS12" s="190">
        <v>15</v>
      </c>
      <c r="CT12" s="190">
        <v>4</v>
      </c>
      <c r="CU12" s="190">
        <v>0</v>
      </c>
      <c r="CV12" s="190">
        <v>9</v>
      </c>
      <c r="CW12" s="190">
        <v>10</v>
      </c>
      <c r="CX12" s="190">
        <v>1</v>
      </c>
      <c r="CY12" s="190">
        <v>2</v>
      </c>
      <c r="CZ12" s="190">
        <v>3</v>
      </c>
      <c r="DA12" s="190">
        <v>4</v>
      </c>
      <c r="DB12" s="190">
        <v>5</v>
      </c>
      <c r="DC12" s="190">
        <v>6</v>
      </c>
      <c r="DD12" s="190">
        <v>7</v>
      </c>
      <c r="DE12" s="190">
        <v>8</v>
      </c>
      <c r="DF12" s="190" t="s">
        <v>409</v>
      </c>
      <c r="DG12" s="190" t="s">
        <v>308</v>
      </c>
      <c r="DH12" s="190" t="s">
        <v>18</v>
      </c>
      <c r="DI12" s="190">
        <v>0</v>
      </c>
      <c r="DJ12" s="190">
        <v>0</v>
      </c>
      <c r="DK12" s="190">
        <v>204114</v>
      </c>
      <c r="DL12" s="190">
        <v>14</v>
      </c>
      <c r="DM12" s="190">
        <v>204114</v>
      </c>
      <c r="DN12" s="190">
        <v>50</v>
      </c>
      <c r="DO12" s="190">
        <v>7000</v>
      </c>
      <c r="DP12" s="190">
        <v>0</v>
      </c>
      <c r="DQ12" s="190"/>
      <c r="DR12" s="190">
        <v>7000</v>
      </c>
      <c r="DS12" s="190">
        <v>-3550</v>
      </c>
      <c r="DT12" s="190">
        <v>211000</v>
      </c>
      <c r="DU12" s="190">
        <v>0</v>
      </c>
      <c r="DV12" s="190">
        <v>211000</v>
      </c>
      <c r="DW12" s="190">
        <v>3550</v>
      </c>
      <c r="DX12" s="190">
        <v>207650</v>
      </c>
      <c r="DY12" s="190">
        <v>3452</v>
      </c>
      <c r="DZ12" s="190">
        <v>100</v>
      </c>
      <c r="EA12" s="190"/>
      <c r="EB12" s="190">
        <v>0</v>
      </c>
      <c r="EC12" s="190">
        <v>0</v>
      </c>
      <c r="ED12" s="190">
        <v>207600</v>
      </c>
      <c r="EE12" s="190">
        <v>211000</v>
      </c>
      <c r="EF12" s="190">
        <v>204100</v>
      </c>
      <c r="EG12" s="190">
        <v>11</v>
      </c>
    </row>
    <row r="13" spans="1:137" x14ac:dyDescent="0.2">
      <c r="A13" s="190" t="s">
        <v>301</v>
      </c>
      <c r="B13" s="263" t="s">
        <v>426</v>
      </c>
      <c r="C13" s="190">
        <v>1</v>
      </c>
      <c r="D13" s="190" t="s">
        <v>396</v>
      </c>
      <c r="E13" s="190" t="s">
        <v>397</v>
      </c>
      <c r="F13" s="190">
        <v>59.956000000000003</v>
      </c>
      <c r="G13" s="190" t="s">
        <v>302</v>
      </c>
      <c r="H13" s="190">
        <v>1</v>
      </c>
      <c r="I13" s="190">
        <v>6000</v>
      </c>
      <c r="J13" s="190">
        <v>-57</v>
      </c>
      <c r="K13" s="190">
        <v>0</v>
      </c>
      <c r="L13" s="190">
        <v>24000</v>
      </c>
      <c r="M13" s="190">
        <v>57</v>
      </c>
      <c r="N13" s="190">
        <v>18157</v>
      </c>
      <c r="O13" s="190">
        <v>5954</v>
      </c>
      <c r="P13" s="190"/>
      <c r="Q13" s="190">
        <v>0</v>
      </c>
      <c r="R13" s="190">
        <v>0</v>
      </c>
      <c r="S13" s="190">
        <v>-725311415</v>
      </c>
      <c r="T13" s="190" t="s">
        <v>303</v>
      </c>
      <c r="U13" s="190" t="s">
        <v>304</v>
      </c>
      <c r="V13" s="190" t="s">
        <v>304</v>
      </c>
      <c r="W13" s="190" t="s">
        <v>398</v>
      </c>
      <c r="X13" s="190" t="s">
        <v>399</v>
      </c>
      <c r="Y13" s="260">
        <v>0.38542824074074072</v>
      </c>
      <c r="Z13" s="190" t="s">
        <v>305</v>
      </c>
      <c r="AA13" s="190" t="s">
        <v>306</v>
      </c>
      <c r="AB13" s="190">
        <v>-1</v>
      </c>
      <c r="AC13" s="190">
        <v>-999999</v>
      </c>
      <c r="AD13" s="190">
        <v>18100</v>
      </c>
      <c r="AE13" s="190">
        <v>41</v>
      </c>
      <c r="AF13" s="190">
        <v>6999</v>
      </c>
      <c r="AG13" s="190">
        <v>0</v>
      </c>
      <c r="AH13" s="190">
        <v>5</v>
      </c>
      <c r="AI13" s="190">
        <v>11101</v>
      </c>
      <c r="AJ13" s="190">
        <v>18100</v>
      </c>
      <c r="AK13" s="190">
        <v>12</v>
      </c>
      <c r="AL13" s="190">
        <v>12</v>
      </c>
      <c r="AM13" s="190">
        <v>1</v>
      </c>
      <c r="AN13" s="190">
        <v>12</v>
      </c>
      <c r="AO13" s="258">
        <v>8</v>
      </c>
      <c r="AP13" s="190" t="s">
        <v>307</v>
      </c>
      <c r="AQ13" s="190">
        <v>4000</v>
      </c>
      <c r="AR13" s="190">
        <v>0</v>
      </c>
      <c r="AS13" s="259"/>
      <c r="AT13" s="190">
        <v>4000</v>
      </c>
      <c r="AU13" s="190">
        <v>-5</v>
      </c>
      <c r="AV13" s="190">
        <v>219000</v>
      </c>
      <c r="AW13" s="190">
        <v>0</v>
      </c>
      <c r="AX13" s="190">
        <v>219000</v>
      </c>
      <c r="AY13" s="190">
        <v>5</v>
      </c>
      <c r="AZ13" s="190">
        <v>215105</v>
      </c>
      <c r="BA13" s="259">
        <v>4003</v>
      </c>
      <c r="BB13" s="190">
        <v>100</v>
      </c>
      <c r="BC13" s="190"/>
      <c r="BD13" s="190">
        <v>0</v>
      </c>
      <c r="BE13" s="190">
        <v>0</v>
      </c>
      <c r="BF13" s="190">
        <v>215005</v>
      </c>
      <c r="BG13" s="190">
        <v>219000</v>
      </c>
      <c r="BH13" s="190">
        <v>215100</v>
      </c>
      <c r="BI13" s="190">
        <v>7000</v>
      </c>
      <c r="BJ13" s="190">
        <v>0</v>
      </c>
      <c r="BK13" s="190"/>
      <c r="BL13" s="190" t="s">
        <v>306</v>
      </c>
      <c r="BM13" s="190">
        <v>7000</v>
      </c>
      <c r="BN13" s="190">
        <v>-999999</v>
      </c>
      <c r="BO13" s="190">
        <v>221339</v>
      </c>
      <c r="BP13" s="190">
        <v>221339</v>
      </c>
      <c r="BQ13" s="190">
        <v>63</v>
      </c>
      <c r="BR13" s="190">
        <v>221026</v>
      </c>
      <c r="BS13" s="190">
        <v>0</v>
      </c>
      <c r="BT13" s="190">
        <v>100</v>
      </c>
      <c r="BU13" s="190">
        <v>1</v>
      </c>
      <c r="BV13" s="190">
        <v>313</v>
      </c>
      <c r="BW13" s="190">
        <v>221339</v>
      </c>
      <c r="BX13" s="190">
        <v>220967</v>
      </c>
      <c r="BY13" s="190">
        <v>227863</v>
      </c>
      <c r="BZ13" s="190">
        <v>220963</v>
      </c>
      <c r="CA13" s="190">
        <v>2000</v>
      </c>
      <c r="CB13" s="190">
        <v>0</v>
      </c>
      <c r="CC13" s="190"/>
      <c r="CD13" s="190">
        <v>2000</v>
      </c>
      <c r="CE13" s="190">
        <v>-14</v>
      </c>
      <c r="CF13" s="190">
        <v>228000</v>
      </c>
      <c r="CG13" s="190">
        <v>0</v>
      </c>
      <c r="CH13" s="190">
        <v>228000</v>
      </c>
      <c r="CI13" s="190">
        <v>14</v>
      </c>
      <c r="CJ13" s="190">
        <v>226114</v>
      </c>
      <c r="CK13" s="190">
        <v>0</v>
      </c>
      <c r="CL13" s="190">
        <v>100</v>
      </c>
      <c r="CM13" s="190"/>
      <c r="CN13" s="190">
        <v>0</v>
      </c>
      <c r="CO13" s="190">
        <v>0</v>
      </c>
      <c r="CP13" s="190">
        <v>226000</v>
      </c>
      <c r="CQ13" s="190">
        <v>228000</v>
      </c>
      <c r="CR13" s="190">
        <v>226100</v>
      </c>
      <c r="CS13" s="190">
        <v>15</v>
      </c>
      <c r="CT13" s="190">
        <v>4</v>
      </c>
      <c r="CU13" s="190">
        <v>0</v>
      </c>
      <c r="CV13" s="190">
        <v>9</v>
      </c>
      <c r="CW13" s="190">
        <v>10</v>
      </c>
      <c r="CX13" s="190">
        <v>1</v>
      </c>
      <c r="CY13" s="190">
        <v>2</v>
      </c>
      <c r="CZ13" s="190">
        <v>3</v>
      </c>
      <c r="DA13" s="190">
        <v>4</v>
      </c>
      <c r="DB13" s="190">
        <v>5</v>
      </c>
      <c r="DC13" s="190">
        <v>6</v>
      </c>
      <c r="DD13" s="190">
        <v>7</v>
      </c>
      <c r="DE13" s="190">
        <v>8</v>
      </c>
      <c r="DF13" s="190" t="s">
        <v>410</v>
      </c>
      <c r="DG13" s="190" t="s">
        <v>308</v>
      </c>
      <c r="DH13" s="190" t="s">
        <v>18</v>
      </c>
      <c r="DI13" s="190">
        <v>0</v>
      </c>
      <c r="DJ13" s="190">
        <v>0</v>
      </c>
      <c r="DK13" s="190">
        <v>219108</v>
      </c>
      <c r="DL13" s="190">
        <v>8</v>
      </c>
      <c r="DM13" s="190">
        <v>219108</v>
      </c>
      <c r="DN13" s="190">
        <v>50</v>
      </c>
      <c r="DO13" s="190">
        <v>7000</v>
      </c>
      <c r="DP13" s="190">
        <v>0</v>
      </c>
      <c r="DQ13" s="190"/>
      <c r="DR13" s="190">
        <v>7000</v>
      </c>
      <c r="DS13" s="190">
        <v>-2293</v>
      </c>
      <c r="DT13" s="190">
        <v>226000</v>
      </c>
      <c r="DU13" s="190">
        <v>0</v>
      </c>
      <c r="DV13" s="190">
        <v>226000</v>
      </c>
      <c r="DW13" s="190">
        <v>2293</v>
      </c>
      <c r="DX13" s="190">
        <v>221393</v>
      </c>
      <c r="DY13" s="190">
        <v>4721</v>
      </c>
      <c r="DZ13" s="190">
        <v>100</v>
      </c>
      <c r="EA13" s="190"/>
      <c r="EB13" s="190">
        <v>0</v>
      </c>
      <c r="EC13" s="190">
        <v>0</v>
      </c>
      <c r="ED13" s="190">
        <v>221341</v>
      </c>
      <c r="EE13" s="190">
        <v>226000</v>
      </c>
      <c r="EF13" s="190">
        <v>219100</v>
      </c>
      <c r="EG13" s="190">
        <v>12</v>
      </c>
    </row>
    <row r="14" spans="1:137" x14ac:dyDescent="0.2">
      <c r="A14" s="190" t="s">
        <v>301</v>
      </c>
      <c r="B14" s="263" t="s">
        <v>426</v>
      </c>
      <c r="C14" s="190">
        <v>1</v>
      </c>
      <c r="D14" s="190" t="s">
        <v>396</v>
      </c>
      <c r="E14" s="190" t="s">
        <v>397</v>
      </c>
      <c r="F14" s="190">
        <v>59.956000000000003</v>
      </c>
      <c r="G14" s="190" t="s">
        <v>302</v>
      </c>
      <c r="H14" s="190">
        <v>1</v>
      </c>
      <c r="I14" s="190">
        <v>6000</v>
      </c>
      <c r="J14" s="190">
        <v>-57</v>
      </c>
      <c r="K14" s="190">
        <v>0</v>
      </c>
      <c r="L14" s="190">
        <v>24000</v>
      </c>
      <c r="M14" s="190">
        <v>57</v>
      </c>
      <c r="N14" s="190">
        <v>18157</v>
      </c>
      <c r="O14" s="190">
        <v>5954</v>
      </c>
      <c r="P14" s="190"/>
      <c r="Q14" s="190">
        <v>0</v>
      </c>
      <c r="R14" s="190">
        <v>0</v>
      </c>
      <c r="S14" s="190">
        <v>-725311415</v>
      </c>
      <c r="T14" s="190" t="s">
        <v>303</v>
      </c>
      <c r="U14" s="190" t="s">
        <v>304</v>
      </c>
      <c r="V14" s="190" t="s">
        <v>304</v>
      </c>
      <c r="W14" s="190" t="s">
        <v>398</v>
      </c>
      <c r="X14" s="190" t="s">
        <v>399</v>
      </c>
      <c r="Y14" s="260">
        <v>0.38542824074074072</v>
      </c>
      <c r="Z14" s="190" t="s">
        <v>305</v>
      </c>
      <c r="AA14" s="190" t="s">
        <v>306</v>
      </c>
      <c r="AB14" s="190">
        <v>-1</v>
      </c>
      <c r="AC14" s="190">
        <v>-999999</v>
      </c>
      <c r="AD14" s="190">
        <v>18100</v>
      </c>
      <c r="AE14" s="190">
        <v>41</v>
      </c>
      <c r="AF14" s="190">
        <v>6999</v>
      </c>
      <c r="AG14" s="190">
        <v>0</v>
      </c>
      <c r="AH14" s="190">
        <v>5</v>
      </c>
      <c r="AI14" s="190">
        <v>11101</v>
      </c>
      <c r="AJ14" s="190">
        <v>18100</v>
      </c>
      <c r="AK14" s="190">
        <v>13</v>
      </c>
      <c r="AL14" s="190">
        <v>13</v>
      </c>
      <c r="AM14" s="190">
        <v>1</v>
      </c>
      <c r="AN14" s="190">
        <v>13</v>
      </c>
      <c r="AO14" s="258">
        <v>4</v>
      </c>
      <c r="AP14" s="190" t="s">
        <v>307</v>
      </c>
      <c r="AQ14" s="190">
        <v>4000</v>
      </c>
      <c r="AR14" s="190">
        <v>0</v>
      </c>
      <c r="AS14" s="259"/>
      <c r="AT14" s="190">
        <v>4000</v>
      </c>
      <c r="AU14" s="190">
        <v>-15</v>
      </c>
      <c r="AV14" s="190">
        <v>232000</v>
      </c>
      <c r="AW14" s="190">
        <v>0</v>
      </c>
      <c r="AX14" s="190">
        <v>232000</v>
      </c>
      <c r="AY14" s="190">
        <v>15</v>
      </c>
      <c r="AZ14" s="190">
        <v>228115</v>
      </c>
      <c r="BA14" s="259">
        <v>3986</v>
      </c>
      <c r="BB14" s="190">
        <v>100</v>
      </c>
      <c r="BC14" s="190"/>
      <c r="BD14" s="190">
        <v>0</v>
      </c>
      <c r="BE14" s="190">
        <v>0</v>
      </c>
      <c r="BF14" s="190">
        <v>228005</v>
      </c>
      <c r="BG14" s="190">
        <v>232000</v>
      </c>
      <c r="BH14" s="190">
        <v>228100</v>
      </c>
      <c r="BI14" s="190">
        <v>7000</v>
      </c>
      <c r="BJ14" s="190">
        <v>0</v>
      </c>
      <c r="BK14" s="190"/>
      <c r="BL14" s="190" t="s">
        <v>306</v>
      </c>
      <c r="BM14" s="190">
        <v>7000</v>
      </c>
      <c r="BN14" s="190">
        <v>-999999</v>
      </c>
      <c r="BO14" s="190">
        <v>235362</v>
      </c>
      <c r="BP14" s="190">
        <v>235362</v>
      </c>
      <c r="BQ14" s="190">
        <v>62</v>
      </c>
      <c r="BR14" s="190">
        <v>234320</v>
      </c>
      <c r="BS14" s="190">
        <v>0</v>
      </c>
      <c r="BT14" s="190">
        <v>100</v>
      </c>
      <c r="BU14" s="190">
        <v>1</v>
      </c>
      <c r="BV14" s="190">
        <v>1042</v>
      </c>
      <c r="BW14" s="190">
        <v>235362</v>
      </c>
      <c r="BX14" s="190">
        <v>234262</v>
      </c>
      <c r="BY14" s="190">
        <v>241158</v>
      </c>
      <c r="BZ14" s="190">
        <v>234258</v>
      </c>
      <c r="CA14" s="190">
        <v>12000</v>
      </c>
      <c r="CB14" s="190">
        <v>0</v>
      </c>
      <c r="CC14" s="190"/>
      <c r="CD14" s="190">
        <v>12000</v>
      </c>
      <c r="CE14" s="190">
        <v>-7</v>
      </c>
      <c r="CF14" s="190">
        <v>251000</v>
      </c>
      <c r="CG14" s="190">
        <v>0</v>
      </c>
      <c r="CH14" s="190">
        <v>251000</v>
      </c>
      <c r="CI14" s="190">
        <v>7</v>
      </c>
      <c r="CJ14" s="190">
        <v>239107</v>
      </c>
      <c r="CK14" s="190">
        <v>0</v>
      </c>
      <c r="CL14" s="190">
        <v>100</v>
      </c>
      <c r="CM14" s="190"/>
      <c r="CN14" s="190">
        <v>0</v>
      </c>
      <c r="CO14" s="190">
        <v>0</v>
      </c>
      <c r="CP14" s="190">
        <v>239000</v>
      </c>
      <c r="CQ14" s="190">
        <v>251000</v>
      </c>
      <c r="CR14" s="190">
        <v>239100</v>
      </c>
      <c r="CS14" s="190">
        <v>15</v>
      </c>
      <c r="CT14" s="190">
        <v>4</v>
      </c>
      <c r="CU14" s="190">
        <v>0</v>
      </c>
      <c r="CV14" s="190">
        <v>9</v>
      </c>
      <c r="CW14" s="190">
        <v>10</v>
      </c>
      <c r="CX14" s="190">
        <v>1</v>
      </c>
      <c r="CY14" s="190">
        <v>2</v>
      </c>
      <c r="CZ14" s="190">
        <v>3</v>
      </c>
      <c r="DA14" s="190">
        <v>4</v>
      </c>
      <c r="DB14" s="190">
        <v>5</v>
      </c>
      <c r="DC14" s="190">
        <v>6</v>
      </c>
      <c r="DD14" s="190">
        <v>7</v>
      </c>
      <c r="DE14" s="190">
        <v>8</v>
      </c>
      <c r="DF14" s="190" t="s">
        <v>411</v>
      </c>
      <c r="DG14" s="190" t="s">
        <v>308</v>
      </c>
      <c r="DH14" s="190" t="s">
        <v>18</v>
      </c>
      <c r="DI14" s="190">
        <v>0</v>
      </c>
      <c r="DJ14" s="190">
        <v>0</v>
      </c>
      <c r="DK14" s="190">
        <v>232101</v>
      </c>
      <c r="DL14" s="190">
        <v>1</v>
      </c>
      <c r="DM14" s="190">
        <v>232101</v>
      </c>
      <c r="DN14" s="190">
        <v>50</v>
      </c>
      <c r="DO14" s="190">
        <v>7000</v>
      </c>
      <c r="DP14" s="190">
        <v>0</v>
      </c>
      <c r="DQ14" s="190"/>
      <c r="DR14" s="190">
        <v>7000</v>
      </c>
      <c r="DS14" s="190">
        <v>-3320</v>
      </c>
      <c r="DT14" s="190">
        <v>239000</v>
      </c>
      <c r="DU14" s="190">
        <v>0</v>
      </c>
      <c r="DV14" s="190">
        <v>239000</v>
      </c>
      <c r="DW14" s="190">
        <v>3320</v>
      </c>
      <c r="DX14" s="190">
        <v>235420</v>
      </c>
      <c r="DY14" s="190">
        <v>3687</v>
      </c>
      <c r="DZ14" s="190">
        <v>100</v>
      </c>
      <c r="EA14" s="190"/>
      <c r="EB14" s="190">
        <v>0</v>
      </c>
      <c r="EC14" s="190">
        <v>0</v>
      </c>
      <c r="ED14" s="190">
        <v>235364</v>
      </c>
      <c r="EE14" s="190">
        <v>239000</v>
      </c>
      <c r="EF14" s="190">
        <v>232100</v>
      </c>
      <c r="EG14" s="190">
        <v>13</v>
      </c>
    </row>
    <row r="15" spans="1:137" x14ac:dyDescent="0.2">
      <c r="A15" s="190" t="s">
        <v>301</v>
      </c>
      <c r="B15" s="263" t="s">
        <v>426</v>
      </c>
      <c r="C15" s="190">
        <v>1</v>
      </c>
      <c r="D15" s="190" t="s">
        <v>396</v>
      </c>
      <c r="E15" s="190" t="s">
        <v>397</v>
      </c>
      <c r="F15" s="190">
        <v>59.956000000000003</v>
      </c>
      <c r="G15" s="190" t="s">
        <v>302</v>
      </c>
      <c r="H15" s="190">
        <v>1</v>
      </c>
      <c r="I15" s="190">
        <v>6000</v>
      </c>
      <c r="J15" s="190">
        <v>-57</v>
      </c>
      <c r="K15" s="190">
        <v>0</v>
      </c>
      <c r="L15" s="190">
        <v>24000</v>
      </c>
      <c r="M15" s="190">
        <v>57</v>
      </c>
      <c r="N15" s="190">
        <v>18157</v>
      </c>
      <c r="O15" s="190">
        <v>5954</v>
      </c>
      <c r="P15" s="190"/>
      <c r="Q15" s="190">
        <v>0</v>
      </c>
      <c r="R15" s="190">
        <v>0</v>
      </c>
      <c r="S15" s="190">
        <v>-725311415</v>
      </c>
      <c r="T15" s="190" t="s">
        <v>303</v>
      </c>
      <c r="U15" s="190" t="s">
        <v>304</v>
      </c>
      <c r="V15" s="190" t="s">
        <v>304</v>
      </c>
      <c r="W15" s="190" t="s">
        <v>398</v>
      </c>
      <c r="X15" s="190" t="s">
        <v>399</v>
      </c>
      <c r="Y15" s="260">
        <v>0.38542824074074072</v>
      </c>
      <c r="Z15" s="190" t="s">
        <v>305</v>
      </c>
      <c r="AA15" s="190" t="s">
        <v>306</v>
      </c>
      <c r="AB15" s="190">
        <v>-1</v>
      </c>
      <c r="AC15" s="190">
        <v>-999999</v>
      </c>
      <c r="AD15" s="190">
        <v>18100</v>
      </c>
      <c r="AE15" s="190">
        <v>41</v>
      </c>
      <c r="AF15" s="190">
        <v>6999</v>
      </c>
      <c r="AG15" s="190">
        <v>0</v>
      </c>
      <c r="AH15" s="190">
        <v>5</v>
      </c>
      <c r="AI15" s="190">
        <v>11101</v>
      </c>
      <c r="AJ15" s="190">
        <v>18100</v>
      </c>
      <c r="AK15" s="190">
        <v>14</v>
      </c>
      <c r="AL15" s="190">
        <v>14</v>
      </c>
      <c r="AM15" s="190">
        <v>1</v>
      </c>
      <c r="AN15" s="190">
        <v>14</v>
      </c>
      <c r="AO15" s="258">
        <v>8</v>
      </c>
      <c r="AP15" s="190" t="s">
        <v>307</v>
      </c>
      <c r="AQ15" s="190">
        <v>4000</v>
      </c>
      <c r="AR15" s="190">
        <v>0</v>
      </c>
      <c r="AS15" s="259"/>
      <c r="AT15" s="190">
        <v>4000</v>
      </c>
      <c r="AU15" s="190">
        <v>-16</v>
      </c>
      <c r="AV15" s="190">
        <v>255000</v>
      </c>
      <c r="AW15" s="190">
        <v>0</v>
      </c>
      <c r="AX15" s="190">
        <v>255000</v>
      </c>
      <c r="AY15" s="190">
        <v>16</v>
      </c>
      <c r="AZ15" s="190">
        <v>251116</v>
      </c>
      <c r="BA15" s="259">
        <v>3986</v>
      </c>
      <c r="BB15" s="190">
        <v>100</v>
      </c>
      <c r="BC15" s="190"/>
      <c r="BD15" s="190">
        <v>0</v>
      </c>
      <c r="BE15" s="190">
        <v>0</v>
      </c>
      <c r="BF15" s="190">
        <v>251006</v>
      </c>
      <c r="BG15" s="190">
        <v>255000</v>
      </c>
      <c r="BH15" s="190">
        <v>251100</v>
      </c>
      <c r="BI15" s="190">
        <v>7000</v>
      </c>
      <c r="BJ15" s="190">
        <v>0</v>
      </c>
      <c r="BK15" s="190"/>
      <c r="BL15" s="190" t="s">
        <v>306</v>
      </c>
      <c r="BM15" s="190">
        <v>7000</v>
      </c>
      <c r="BN15" s="190">
        <v>-999999</v>
      </c>
      <c r="BO15" s="190">
        <v>257433</v>
      </c>
      <c r="BP15" s="190">
        <v>257433</v>
      </c>
      <c r="BQ15" s="190">
        <v>62</v>
      </c>
      <c r="BR15" s="190">
        <v>257103</v>
      </c>
      <c r="BS15" s="190">
        <v>0</v>
      </c>
      <c r="BT15" s="190">
        <v>100</v>
      </c>
      <c r="BU15" s="190">
        <v>1</v>
      </c>
      <c r="BV15" s="190">
        <v>329</v>
      </c>
      <c r="BW15" s="190">
        <v>257432</v>
      </c>
      <c r="BX15" s="190">
        <v>257045</v>
      </c>
      <c r="BY15" s="190">
        <v>263941</v>
      </c>
      <c r="BZ15" s="190">
        <v>257041</v>
      </c>
      <c r="CA15" s="190">
        <v>4000</v>
      </c>
      <c r="CB15" s="190">
        <v>0</v>
      </c>
      <c r="CC15" s="190"/>
      <c r="CD15" s="190">
        <v>4000</v>
      </c>
      <c r="CE15" s="190">
        <v>-7</v>
      </c>
      <c r="CF15" s="190">
        <v>266000</v>
      </c>
      <c r="CG15" s="190">
        <v>0</v>
      </c>
      <c r="CH15" s="190">
        <v>266000</v>
      </c>
      <c r="CI15" s="190">
        <v>7</v>
      </c>
      <c r="CJ15" s="190">
        <v>262107</v>
      </c>
      <c r="CK15" s="190">
        <v>0</v>
      </c>
      <c r="CL15" s="190">
        <v>100</v>
      </c>
      <c r="CM15" s="190"/>
      <c r="CN15" s="190">
        <v>0</v>
      </c>
      <c r="CO15" s="190">
        <v>0</v>
      </c>
      <c r="CP15" s="190">
        <v>262000</v>
      </c>
      <c r="CQ15" s="190">
        <v>266000</v>
      </c>
      <c r="CR15" s="190">
        <v>262100</v>
      </c>
      <c r="CS15" s="190">
        <v>15</v>
      </c>
      <c r="CT15" s="190">
        <v>4</v>
      </c>
      <c r="CU15" s="190">
        <v>0</v>
      </c>
      <c r="CV15" s="190">
        <v>9</v>
      </c>
      <c r="CW15" s="190">
        <v>10</v>
      </c>
      <c r="CX15" s="190">
        <v>1</v>
      </c>
      <c r="CY15" s="190">
        <v>2</v>
      </c>
      <c r="CZ15" s="190">
        <v>3</v>
      </c>
      <c r="DA15" s="190">
        <v>4</v>
      </c>
      <c r="DB15" s="190">
        <v>5</v>
      </c>
      <c r="DC15" s="190">
        <v>6</v>
      </c>
      <c r="DD15" s="190">
        <v>7</v>
      </c>
      <c r="DE15" s="190">
        <v>8</v>
      </c>
      <c r="DF15" s="190" t="s">
        <v>405</v>
      </c>
      <c r="DG15" s="190" t="s">
        <v>308</v>
      </c>
      <c r="DH15" s="190" t="s">
        <v>18</v>
      </c>
      <c r="DI15" s="190">
        <v>0</v>
      </c>
      <c r="DJ15" s="190">
        <v>0</v>
      </c>
      <c r="DK15" s="190">
        <v>255102</v>
      </c>
      <c r="DL15" s="190">
        <v>2</v>
      </c>
      <c r="DM15" s="190">
        <v>255102</v>
      </c>
      <c r="DN15" s="190">
        <v>50</v>
      </c>
      <c r="DO15" s="190">
        <v>7000</v>
      </c>
      <c r="DP15" s="190">
        <v>0</v>
      </c>
      <c r="DQ15" s="190"/>
      <c r="DR15" s="190">
        <v>7000</v>
      </c>
      <c r="DS15" s="190">
        <v>-2387</v>
      </c>
      <c r="DT15" s="190">
        <v>262000</v>
      </c>
      <c r="DU15" s="190">
        <v>0</v>
      </c>
      <c r="DV15" s="190">
        <v>262000</v>
      </c>
      <c r="DW15" s="190">
        <v>2387</v>
      </c>
      <c r="DX15" s="190">
        <v>257487</v>
      </c>
      <c r="DY15" s="190">
        <v>4620</v>
      </c>
      <c r="DZ15" s="190">
        <v>100</v>
      </c>
      <c r="EA15" s="190"/>
      <c r="EB15" s="190">
        <v>0</v>
      </c>
      <c r="EC15" s="190">
        <v>0</v>
      </c>
      <c r="ED15" s="190">
        <v>257436</v>
      </c>
      <c r="EE15" s="190">
        <v>262000</v>
      </c>
      <c r="EF15" s="190">
        <v>255100</v>
      </c>
      <c r="EG15" s="190">
        <v>14</v>
      </c>
    </row>
    <row r="16" spans="1:137" x14ac:dyDescent="0.2">
      <c r="A16" s="190" t="s">
        <v>301</v>
      </c>
      <c r="B16" s="263" t="s">
        <v>426</v>
      </c>
      <c r="C16" s="190">
        <v>1</v>
      </c>
      <c r="D16" s="190" t="s">
        <v>396</v>
      </c>
      <c r="E16" s="190" t="s">
        <v>397</v>
      </c>
      <c r="F16" s="190">
        <v>59.956000000000003</v>
      </c>
      <c r="G16" s="190" t="s">
        <v>302</v>
      </c>
      <c r="H16" s="190">
        <v>1</v>
      </c>
      <c r="I16" s="190">
        <v>6000</v>
      </c>
      <c r="J16" s="190">
        <v>-57</v>
      </c>
      <c r="K16" s="190">
        <v>0</v>
      </c>
      <c r="L16" s="190">
        <v>24000</v>
      </c>
      <c r="M16" s="190">
        <v>57</v>
      </c>
      <c r="N16" s="190">
        <v>18157</v>
      </c>
      <c r="O16" s="190">
        <v>5954</v>
      </c>
      <c r="P16" s="190"/>
      <c r="Q16" s="190">
        <v>0</v>
      </c>
      <c r="R16" s="190">
        <v>0</v>
      </c>
      <c r="S16" s="190">
        <v>-725311415</v>
      </c>
      <c r="T16" s="190" t="s">
        <v>303</v>
      </c>
      <c r="U16" s="190" t="s">
        <v>304</v>
      </c>
      <c r="V16" s="190" t="s">
        <v>304</v>
      </c>
      <c r="W16" s="190" t="s">
        <v>398</v>
      </c>
      <c r="X16" s="190" t="s">
        <v>399</v>
      </c>
      <c r="Y16" s="260">
        <v>0.38542824074074072</v>
      </c>
      <c r="Z16" s="190" t="s">
        <v>305</v>
      </c>
      <c r="AA16" s="190" t="s">
        <v>306</v>
      </c>
      <c r="AB16" s="190">
        <v>-1</v>
      </c>
      <c r="AC16" s="190">
        <v>-999999</v>
      </c>
      <c r="AD16" s="190">
        <v>18100</v>
      </c>
      <c r="AE16" s="190">
        <v>41</v>
      </c>
      <c r="AF16" s="190">
        <v>6999</v>
      </c>
      <c r="AG16" s="190">
        <v>0</v>
      </c>
      <c r="AH16" s="190">
        <v>5</v>
      </c>
      <c r="AI16" s="190">
        <v>11101</v>
      </c>
      <c r="AJ16" s="190">
        <v>18100</v>
      </c>
      <c r="AK16" s="190">
        <v>15</v>
      </c>
      <c r="AL16" s="190">
        <v>15</v>
      </c>
      <c r="AM16" s="190">
        <v>1</v>
      </c>
      <c r="AN16" s="190">
        <v>15</v>
      </c>
      <c r="AO16" s="258">
        <v>0</v>
      </c>
      <c r="AP16" s="190" t="s">
        <v>307</v>
      </c>
      <c r="AQ16" s="190">
        <v>4000</v>
      </c>
      <c r="AR16" s="190">
        <v>0</v>
      </c>
      <c r="AS16" s="259"/>
      <c r="AT16" s="190">
        <v>4000</v>
      </c>
      <c r="AU16" s="190">
        <v>-10</v>
      </c>
      <c r="AV16" s="190">
        <v>270000</v>
      </c>
      <c r="AW16" s="190">
        <v>0</v>
      </c>
      <c r="AX16" s="190">
        <v>270000</v>
      </c>
      <c r="AY16" s="190">
        <v>10</v>
      </c>
      <c r="AZ16" s="190">
        <v>266110</v>
      </c>
      <c r="BA16" s="259">
        <v>4003</v>
      </c>
      <c r="BB16" s="190">
        <v>100</v>
      </c>
      <c r="BC16" s="190"/>
      <c r="BD16" s="190">
        <v>0</v>
      </c>
      <c r="BE16" s="190">
        <v>0</v>
      </c>
      <c r="BF16" s="190">
        <v>266005</v>
      </c>
      <c r="BG16" s="190">
        <v>270000</v>
      </c>
      <c r="BH16" s="190">
        <v>266100</v>
      </c>
      <c r="BI16" s="190">
        <v>7000</v>
      </c>
      <c r="BJ16" s="190">
        <v>0</v>
      </c>
      <c r="BK16" s="190"/>
      <c r="BL16" s="190" t="s">
        <v>306</v>
      </c>
      <c r="BM16" s="190">
        <v>7000</v>
      </c>
      <c r="BN16" s="190">
        <v>-999999</v>
      </c>
      <c r="BO16" s="190">
        <v>273791</v>
      </c>
      <c r="BP16" s="190">
        <v>273791</v>
      </c>
      <c r="BQ16" s="190">
        <v>57</v>
      </c>
      <c r="BR16" s="190">
        <v>273416</v>
      </c>
      <c r="BS16" s="190">
        <v>0</v>
      </c>
      <c r="BT16" s="190">
        <v>100</v>
      </c>
      <c r="BU16" s="190">
        <v>1</v>
      </c>
      <c r="BV16" s="190">
        <v>375</v>
      </c>
      <c r="BW16" s="190">
        <v>273791</v>
      </c>
      <c r="BX16" s="190">
        <v>273363</v>
      </c>
      <c r="BY16" s="190">
        <v>280259</v>
      </c>
      <c r="BZ16" s="190">
        <v>273359</v>
      </c>
      <c r="CA16" s="190">
        <v>6000</v>
      </c>
      <c r="CB16" s="190">
        <v>0</v>
      </c>
      <c r="CC16" s="190"/>
      <c r="CD16" s="190">
        <v>6000</v>
      </c>
      <c r="CE16" s="190">
        <v>-2</v>
      </c>
      <c r="CF16" s="190">
        <v>283000</v>
      </c>
      <c r="CG16" s="190">
        <v>0</v>
      </c>
      <c r="CH16" s="190">
        <v>283000</v>
      </c>
      <c r="CI16" s="190">
        <v>2</v>
      </c>
      <c r="CJ16" s="190">
        <v>277102</v>
      </c>
      <c r="CK16" s="190">
        <v>0</v>
      </c>
      <c r="CL16" s="190">
        <v>100</v>
      </c>
      <c r="CM16" s="190"/>
      <c r="CN16" s="190">
        <v>0</v>
      </c>
      <c r="CO16" s="190">
        <v>0</v>
      </c>
      <c r="CP16" s="190">
        <v>277000</v>
      </c>
      <c r="CQ16" s="190">
        <v>283000</v>
      </c>
      <c r="CR16" s="190">
        <v>277100</v>
      </c>
      <c r="CS16" s="190">
        <v>15</v>
      </c>
      <c r="CT16" s="190">
        <v>4</v>
      </c>
      <c r="CU16" s="190">
        <v>0</v>
      </c>
      <c r="CV16" s="190">
        <v>9</v>
      </c>
      <c r="CW16" s="190">
        <v>10</v>
      </c>
      <c r="CX16" s="190">
        <v>1</v>
      </c>
      <c r="CY16" s="190">
        <v>2</v>
      </c>
      <c r="CZ16" s="190">
        <v>3</v>
      </c>
      <c r="DA16" s="190">
        <v>4</v>
      </c>
      <c r="DB16" s="190">
        <v>5</v>
      </c>
      <c r="DC16" s="190">
        <v>6</v>
      </c>
      <c r="DD16" s="190">
        <v>7</v>
      </c>
      <c r="DE16" s="190">
        <v>8</v>
      </c>
      <c r="DF16" s="190" t="s">
        <v>412</v>
      </c>
      <c r="DG16" s="190" t="s">
        <v>308</v>
      </c>
      <c r="DH16" s="190" t="s">
        <v>18</v>
      </c>
      <c r="DI16" s="190">
        <v>0</v>
      </c>
      <c r="DJ16" s="190">
        <v>0</v>
      </c>
      <c r="DK16" s="190">
        <v>270113</v>
      </c>
      <c r="DL16" s="190">
        <v>13</v>
      </c>
      <c r="DM16" s="190">
        <v>270113</v>
      </c>
      <c r="DN16" s="190">
        <v>50</v>
      </c>
      <c r="DO16" s="190">
        <v>7000</v>
      </c>
      <c r="DP16" s="190">
        <v>0</v>
      </c>
      <c r="DQ16" s="190"/>
      <c r="DR16" s="190">
        <v>7000</v>
      </c>
      <c r="DS16" s="190">
        <v>-3749</v>
      </c>
      <c r="DT16" s="190">
        <v>277000</v>
      </c>
      <c r="DU16" s="190">
        <v>0</v>
      </c>
      <c r="DV16" s="190">
        <v>277000</v>
      </c>
      <c r="DW16" s="190">
        <v>3749</v>
      </c>
      <c r="DX16" s="190">
        <v>273849</v>
      </c>
      <c r="DY16" s="190">
        <v>3253</v>
      </c>
      <c r="DZ16" s="190">
        <v>100</v>
      </c>
      <c r="EA16" s="190"/>
      <c r="EB16" s="190">
        <v>0</v>
      </c>
      <c r="EC16" s="190">
        <v>0</v>
      </c>
      <c r="ED16" s="190">
        <v>273794</v>
      </c>
      <c r="EE16" s="190">
        <v>277000</v>
      </c>
      <c r="EF16" s="190">
        <v>270100</v>
      </c>
      <c r="EG16" s="190">
        <v>15</v>
      </c>
    </row>
    <row r="17" spans="1:137" x14ac:dyDescent="0.2">
      <c r="A17" s="190" t="s">
        <v>301</v>
      </c>
      <c r="B17" s="263" t="s">
        <v>426</v>
      </c>
      <c r="C17" s="190">
        <v>1</v>
      </c>
      <c r="D17" s="190" t="s">
        <v>396</v>
      </c>
      <c r="E17" s="190" t="s">
        <v>397</v>
      </c>
      <c r="F17" s="190">
        <v>59.956000000000003</v>
      </c>
      <c r="G17" s="190" t="s">
        <v>302</v>
      </c>
      <c r="H17" s="190">
        <v>1</v>
      </c>
      <c r="I17" s="190">
        <v>6000</v>
      </c>
      <c r="J17" s="190">
        <v>-57</v>
      </c>
      <c r="K17" s="190">
        <v>0</v>
      </c>
      <c r="L17" s="190">
        <v>24000</v>
      </c>
      <c r="M17" s="190">
        <v>57</v>
      </c>
      <c r="N17" s="190">
        <v>18157</v>
      </c>
      <c r="O17" s="190">
        <v>5954</v>
      </c>
      <c r="P17" s="190"/>
      <c r="Q17" s="190">
        <v>0</v>
      </c>
      <c r="R17" s="190">
        <v>0</v>
      </c>
      <c r="S17" s="190">
        <v>-725311415</v>
      </c>
      <c r="T17" s="190" t="s">
        <v>303</v>
      </c>
      <c r="U17" s="190" t="s">
        <v>304</v>
      </c>
      <c r="V17" s="190" t="s">
        <v>304</v>
      </c>
      <c r="W17" s="190" t="s">
        <v>398</v>
      </c>
      <c r="X17" s="190" t="s">
        <v>399</v>
      </c>
      <c r="Y17" s="260">
        <v>0.38542824074074072</v>
      </c>
      <c r="Z17" s="190" t="s">
        <v>305</v>
      </c>
      <c r="AA17" s="190" t="s">
        <v>306</v>
      </c>
      <c r="AB17" s="190">
        <v>-1</v>
      </c>
      <c r="AC17" s="190">
        <v>-999999</v>
      </c>
      <c r="AD17" s="190">
        <v>18100</v>
      </c>
      <c r="AE17" s="190">
        <v>41</v>
      </c>
      <c r="AF17" s="190">
        <v>6999</v>
      </c>
      <c r="AG17" s="190">
        <v>0</v>
      </c>
      <c r="AH17" s="190">
        <v>5</v>
      </c>
      <c r="AI17" s="190">
        <v>11101</v>
      </c>
      <c r="AJ17" s="190">
        <v>18100</v>
      </c>
      <c r="AK17" s="190">
        <v>16</v>
      </c>
      <c r="AL17" s="190">
        <v>16</v>
      </c>
      <c r="AM17" s="190">
        <v>1</v>
      </c>
      <c r="AN17" s="190">
        <v>16</v>
      </c>
      <c r="AO17" s="258">
        <v>3</v>
      </c>
      <c r="AP17" s="190" t="s">
        <v>307</v>
      </c>
      <c r="AQ17" s="190">
        <v>4000</v>
      </c>
      <c r="AR17" s="190">
        <v>0</v>
      </c>
      <c r="AS17" s="259"/>
      <c r="AT17" s="190">
        <v>4000</v>
      </c>
      <c r="AU17" s="190">
        <v>-6</v>
      </c>
      <c r="AV17" s="190">
        <v>287000</v>
      </c>
      <c r="AW17" s="190">
        <v>0</v>
      </c>
      <c r="AX17" s="190">
        <v>287000</v>
      </c>
      <c r="AY17" s="190">
        <v>6</v>
      </c>
      <c r="AZ17" s="190">
        <v>283106</v>
      </c>
      <c r="BA17" s="259">
        <v>4003</v>
      </c>
      <c r="BB17" s="190">
        <v>100</v>
      </c>
      <c r="BC17" s="190"/>
      <c r="BD17" s="190">
        <v>0</v>
      </c>
      <c r="BE17" s="190">
        <v>0</v>
      </c>
      <c r="BF17" s="190">
        <v>283005</v>
      </c>
      <c r="BG17" s="190">
        <v>287000</v>
      </c>
      <c r="BH17" s="190">
        <v>283100</v>
      </c>
      <c r="BI17" s="190">
        <v>7000</v>
      </c>
      <c r="BJ17" s="190">
        <v>0</v>
      </c>
      <c r="BK17" s="190"/>
      <c r="BL17" s="190" t="s">
        <v>306</v>
      </c>
      <c r="BM17" s="190">
        <v>7000</v>
      </c>
      <c r="BN17" s="190">
        <v>-999999</v>
      </c>
      <c r="BO17" s="190">
        <v>289886</v>
      </c>
      <c r="BP17" s="190">
        <v>289886</v>
      </c>
      <c r="BQ17" s="190">
        <v>63</v>
      </c>
      <c r="BR17" s="190">
        <v>288661</v>
      </c>
      <c r="BS17" s="190">
        <v>0</v>
      </c>
      <c r="BT17" s="190">
        <v>100</v>
      </c>
      <c r="BU17" s="190">
        <v>1</v>
      </c>
      <c r="BV17" s="190">
        <v>1225</v>
      </c>
      <c r="BW17" s="190">
        <v>289886</v>
      </c>
      <c r="BX17" s="190">
        <v>288603</v>
      </c>
      <c r="BY17" s="190">
        <v>295498</v>
      </c>
      <c r="BZ17" s="190">
        <v>288598</v>
      </c>
      <c r="CA17" s="190">
        <v>4000</v>
      </c>
      <c r="CB17" s="190">
        <v>0</v>
      </c>
      <c r="CC17" s="190"/>
      <c r="CD17" s="190">
        <v>4000</v>
      </c>
      <c r="CE17" s="190">
        <v>-15</v>
      </c>
      <c r="CF17" s="190">
        <v>298000</v>
      </c>
      <c r="CG17" s="190">
        <v>0</v>
      </c>
      <c r="CH17" s="190">
        <v>298000</v>
      </c>
      <c r="CI17" s="190">
        <v>15</v>
      </c>
      <c r="CJ17" s="190">
        <v>294115</v>
      </c>
      <c r="CK17" s="190">
        <v>0</v>
      </c>
      <c r="CL17" s="190">
        <v>100</v>
      </c>
      <c r="CM17" s="190"/>
      <c r="CN17" s="190">
        <v>0</v>
      </c>
      <c r="CO17" s="190">
        <v>0</v>
      </c>
      <c r="CP17" s="190">
        <v>294000</v>
      </c>
      <c r="CQ17" s="190">
        <v>298000</v>
      </c>
      <c r="CR17" s="190">
        <v>294100</v>
      </c>
      <c r="CS17" s="190">
        <v>15</v>
      </c>
      <c r="CT17" s="190">
        <v>4</v>
      </c>
      <c r="CU17" s="190">
        <v>0</v>
      </c>
      <c r="CV17" s="190">
        <v>9</v>
      </c>
      <c r="CW17" s="190">
        <v>10</v>
      </c>
      <c r="CX17" s="190">
        <v>1</v>
      </c>
      <c r="CY17" s="190">
        <v>2</v>
      </c>
      <c r="CZ17" s="190">
        <v>3</v>
      </c>
      <c r="DA17" s="190">
        <v>4</v>
      </c>
      <c r="DB17" s="190">
        <v>5</v>
      </c>
      <c r="DC17" s="190">
        <v>6</v>
      </c>
      <c r="DD17" s="190">
        <v>7</v>
      </c>
      <c r="DE17" s="190">
        <v>8</v>
      </c>
      <c r="DF17" s="190" t="s">
        <v>407</v>
      </c>
      <c r="DG17" s="190" t="s">
        <v>308</v>
      </c>
      <c r="DH17" s="190" t="s">
        <v>18</v>
      </c>
      <c r="DI17" s="190">
        <v>0</v>
      </c>
      <c r="DJ17" s="190">
        <v>1</v>
      </c>
      <c r="DK17" s="190">
        <v>287110</v>
      </c>
      <c r="DL17" s="190">
        <v>9</v>
      </c>
      <c r="DM17" s="190">
        <v>287109</v>
      </c>
      <c r="DN17" s="190">
        <v>51</v>
      </c>
      <c r="DO17" s="190">
        <v>7000</v>
      </c>
      <c r="DP17" s="190">
        <v>0</v>
      </c>
      <c r="DQ17" s="190"/>
      <c r="DR17" s="190">
        <v>7000</v>
      </c>
      <c r="DS17" s="190">
        <v>-2845</v>
      </c>
      <c r="DT17" s="190">
        <v>294000</v>
      </c>
      <c r="DU17" s="190">
        <v>0</v>
      </c>
      <c r="DV17" s="190">
        <v>294000</v>
      </c>
      <c r="DW17" s="190">
        <v>2845</v>
      </c>
      <c r="DX17" s="190">
        <v>289945</v>
      </c>
      <c r="DY17" s="190">
        <v>4170</v>
      </c>
      <c r="DZ17" s="190">
        <v>100</v>
      </c>
      <c r="EA17" s="190"/>
      <c r="EB17" s="190">
        <v>0</v>
      </c>
      <c r="EC17" s="190">
        <v>0</v>
      </c>
      <c r="ED17" s="190">
        <v>289889</v>
      </c>
      <c r="EE17" s="190">
        <v>294000</v>
      </c>
      <c r="EF17" s="190">
        <v>287100</v>
      </c>
      <c r="EG17" s="190">
        <v>16</v>
      </c>
    </row>
    <row r="18" spans="1:137" x14ac:dyDescent="0.2">
      <c r="A18" s="190" t="s">
        <v>301</v>
      </c>
      <c r="B18" s="263" t="s">
        <v>426</v>
      </c>
      <c r="C18" s="190">
        <v>1</v>
      </c>
      <c r="D18" s="190" t="s">
        <v>396</v>
      </c>
      <c r="E18" s="190" t="s">
        <v>397</v>
      </c>
      <c r="F18" s="190">
        <v>59.956000000000003</v>
      </c>
      <c r="G18" s="190" t="s">
        <v>302</v>
      </c>
      <c r="H18" s="190">
        <v>1</v>
      </c>
      <c r="I18" s="190">
        <v>6000</v>
      </c>
      <c r="J18" s="190">
        <v>-57</v>
      </c>
      <c r="K18" s="190">
        <v>0</v>
      </c>
      <c r="L18" s="190">
        <v>24000</v>
      </c>
      <c r="M18" s="190">
        <v>57</v>
      </c>
      <c r="N18" s="190">
        <v>18157</v>
      </c>
      <c r="O18" s="190">
        <v>5954</v>
      </c>
      <c r="P18" s="190"/>
      <c r="Q18" s="190">
        <v>0</v>
      </c>
      <c r="R18" s="190">
        <v>0</v>
      </c>
      <c r="S18" s="190">
        <v>-725311415</v>
      </c>
      <c r="T18" s="190" t="s">
        <v>303</v>
      </c>
      <c r="U18" s="190" t="s">
        <v>304</v>
      </c>
      <c r="V18" s="190" t="s">
        <v>304</v>
      </c>
      <c r="W18" s="190" t="s">
        <v>398</v>
      </c>
      <c r="X18" s="190" t="s">
        <v>399</v>
      </c>
      <c r="Y18" s="260">
        <v>0.38542824074074072</v>
      </c>
      <c r="Z18" s="190" t="s">
        <v>305</v>
      </c>
      <c r="AA18" s="190" t="s">
        <v>306</v>
      </c>
      <c r="AB18" s="190">
        <v>-1</v>
      </c>
      <c r="AC18" s="190">
        <v>-999999</v>
      </c>
      <c r="AD18" s="190">
        <v>18100</v>
      </c>
      <c r="AE18" s="190">
        <v>41</v>
      </c>
      <c r="AF18" s="190">
        <v>6999</v>
      </c>
      <c r="AG18" s="190">
        <v>0</v>
      </c>
      <c r="AH18" s="190">
        <v>5</v>
      </c>
      <c r="AI18" s="190">
        <v>11101</v>
      </c>
      <c r="AJ18" s="190">
        <v>18100</v>
      </c>
      <c r="AK18" s="190">
        <v>17</v>
      </c>
      <c r="AL18" s="190">
        <v>17</v>
      </c>
      <c r="AM18" s="190">
        <v>1</v>
      </c>
      <c r="AN18" s="190">
        <v>17</v>
      </c>
      <c r="AO18" s="258">
        <v>8</v>
      </c>
      <c r="AP18" s="190" t="s">
        <v>307</v>
      </c>
      <c r="AQ18" s="190">
        <v>4000</v>
      </c>
      <c r="AR18" s="190">
        <v>0</v>
      </c>
      <c r="AS18" s="259"/>
      <c r="AT18" s="190">
        <v>4000</v>
      </c>
      <c r="AU18" s="190">
        <v>-1</v>
      </c>
      <c r="AV18" s="190">
        <v>302000</v>
      </c>
      <c r="AW18" s="190">
        <v>0</v>
      </c>
      <c r="AX18" s="190">
        <v>302000</v>
      </c>
      <c r="AY18" s="190">
        <v>1</v>
      </c>
      <c r="AZ18" s="190">
        <v>298101</v>
      </c>
      <c r="BA18" s="259">
        <v>4003</v>
      </c>
      <c r="BB18" s="190">
        <v>100</v>
      </c>
      <c r="BC18" s="190"/>
      <c r="BD18" s="190">
        <v>0</v>
      </c>
      <c r="BE18" s="190">
        <v>0</v>
      </c>
      <c r="BF18" s="190">
        <v>298005</v>
      </c>
      <c r="BG18" s="190">
        <v>302000</v>
      </c>
      <c r="BH18" s="190">
        <v>298100</v>
      </c>
      <c r="BI18" s="190">
        <v>7000</v>
      </c>
      <c r="BJ18" s="190">
        <v>0</v>
      </c>
      <c r="BK18" s="190"/>
      <c r="BL18" s="190" t="s">
        <v>306</v>
      </c>
      <c r="BM18" s="190">
        <v>7000</v>
      </c>
      <c r="BN18" s="190">
        <v>-999999</v>
      </c>
      <c r="BO18" s="190">
        <v>303845</v>
      </c>
      <c r="BP18" s="190">
        <v>303845</v>
      </c>
      <c r="BQ18" s="190">
        <v>52</v>
      </c>
      <c r="BR18" s="190">
        <v>303505</v>
      </c>
      <c r="BS18" s="190">
        <v>0</v>
      </c>
      <c r="BT18" s="190">
        <v>100</v>
      </c>
      <c r="BU18" s="190">
        <v>1</v>
      </c>
      <c r="BV18" s="190">
        <v>340</v>
      </c>
      <c r="BW18" s="190">
        <v>303845</v>
      </c>
      <c r="BX18" s="190">
        <v>303458</v>
      </c>
      <c r="BY18" s="190">
        <v>310353</v>
      </c>
      <c r="BZ18" s="190">
        <v>303453</v>
      </c>
      <c r="CA18" s="190">
        <v>10000</v>
      </c>
      <c r="CB18" s="190">
        <v>0</v>
      </c>
      <c r="CC18" s="190"/>
      <c r="CD18" s="190">
        <v>10000</v>
      </c>
      <c r="CE18" s="190">
        <v>-9</v>
      </c>
      <c r="CF18" s="190">
        <v>319000</v>
      </c>
      <c r="CG18" s="190">
        <v>0</v>
      </c>
      <c r="CH18" s="190">
        <v>319000</v>
      </c>
      <c r="CI18" s="190">
        <v>9</v>
      </c>
      <c r="CJ18" s="190">
        <v>309109</v>
      </c>
      <c r="CK18" s="190">
        <v>0</v>
      </c>
      <c r="CL18" s="190">
        <v>100</v>
      </c>
      <c r="CM18" s="190"/>
      <c r="CN18" s="190">
        <v>0</v>
      </c>
      <c r="CO18" s="190">
        <v>0</v>
      </c>
      <c r="CP18" s="190">
        <v>309000</v>
      </c>
      <c r="CQ18" s="190">
        <v>319000</v>
      </c>
      <c r="CR18" s="190">
        <v>309100</v>
      </c>
      <c r="CS18" s="190">
        <v>15</v>
      </c>
      <c r="CT18" s="190">
        <v>4</v>
      </c>
      <c r="CU18" s="190">
        <v>0</v>
      </c>
      <c r="CV18" s="190">
        <v>9</v>
      </c>
      <c r="CW18" s="190">
        <v>10</v>
      </c>
      <c r="CX18" s="190">
        <v>1</v>
      </c>
      <c r="CY18" s="190">
        <v>2</v>
      </c>
      <c r="CZ18" s="190">
        <v>3</v>
      </c>
      <c r="DA18" s="190">
        <v>4</v>
      </c>
      <c r="DB18" s="190">
        <v>5</v>
      </c>
      <c r="DC18" s="190">
        <v>6</v>
      </c>
      <c r="DD18" s="190">
        <v>7</v>
      </c>
      <c r="DE18" s="190">
        <v>8</v>
      </c>
      <c r="DF18" s="190" t="s">
        <v>413</v>
      </c>
      <c r="DG18" s="190" t="s">
        <v>308</v>
      </c>
      <c r="DH18" s="190" t="s">
        <v>18</v>
      </c>
      <c r="DI18" s="190">
        <v>0</v>
      </c>
      <c r="DJ18" s="190">
        <v>0</v>
      </c>
      <c r="DK18" s="190">
        <v>302104</v>
      </c>
      <c r="DL18" s="190">
        <v>4</v>
      </c>
      <c r="DM18" s="190">
        <v>302104</v>
      </c>
      <c r="DN18" s="190">
        <v>50</v>
      </c>
      <c r="DO18" s="190">
        <v>7000</v>
      </c>
      <c r="DP18" s="190">
        <v>0</v>
      </c>
      <c r="DQ18" s="190"/>
      <c r="DR18" s="190">
        <v>7000</v>
      </c>
      <c r="DS18" s="190">
        <v>-1805</v>
      </c>
      <c r="DT18" s="190">
        <v>309000</v>
      </c>
      <c r="DU18" s="190">
        <v>0</v>
      </c>
      <c r="DV18" s="190">
        <v>309000</v>
      </c>
      <c r="DW18" s="190">
        <v>1805</v>
      </c>
      <c r="DX18" s="190">
        <v>303905</v>
      </c>
      <c r="DY18" s="190">
        <v>5204</v>
      </c>
      <c r="DZ18" s="190">
        <v>100</v>
      </c>
      <c r="EA18" s="190"/>
      <c r="EB18" s="190">
        <v>0</v>
      </c>
      <c r="EC18" s="190">
        <v>0</v>
      </c>
      <c r="ED18" s="190">
        <v>303847</v>
      </c>
      <c r="EE18" s="190">
        <v>309000</v>
      </c>
      <c r="EF18" s="190">
        <v>302100</v>
      </c>
      <c r="EG18" s="190">
        <v>17</v>
      </c>
    </row>
    <row r="19" spans="1:137" x14ac:dyDescent="0.2">
      <c r="A19" s="190" t="s">
        <v>301</v>
      </c>
      <c r="B19" s="263" t="s">
        <v>426</v>
      </c>
      <c r="C19" s="190">
        <v>1</v>
      </c>
      <c r="D19" s="190" t="s">
        <v>396</v>
      </c>
      <c r="E19" s="190" t="s">
        <v>397</v>
      </c>
      <c r="F19" s="190">
        <v>59.956000000000003</v>
      </c>
      <c r="G19" s="190" t="s">
        <v>302</v>
      </c>
      <c r="H19" s="190">
        <v>1</v>
      </c>
      <c r="I19" s="190">
        <v>6000</v>
      </c>
      <c r="J19" s="190">
        <v>-57</v>
      </c>
      <c r="K19" s="190">
        <v>0</v>
      </c>
      <c r="L19" s="190">
        <v>24000</v>
      </c>
      <c r="M19" s="190">
        <v>57</v>
      </c>
      <c r="N19" s="190">
        <v>18157</v>
      </c>
      <c r="O19" s="190">
        <v>5954</v>
      </c>
      <c r="P19" s="190"/>
      <c r="Q19" s="190">
        <v>0</v>
      </c>
      <c r="R19" s="190">
        <v>0</v>
      </c>
      <c r="S19" s="190">
        <v>-725311415</v>
      </c>
      <c r="T19" s="190" t="s">
        <v>303</v>
      </c>
      <c r="U19" s="190" t="s">
        <v>304</v>
      </c>
      <c r="V19" s="190" t="s">
        <v>304</v>
      </c>
      <c r="W19" s="190" t="s">
        <v>398</v>
      </c>
      <c r="X19" s="190" t="s">
        <v>399</v>
      </c>
      <c r="Y19" s="260">
        <v>0.38542824074074072</v>
      </c>
      <c r="Z19" s="190" t="s">
        <v>305</v>
      </c>
      <c r="AA19" s="190" t="s">
        <v>306</v>
      </c>
      <c r="AB19" s="190">
        <v>-1</v>
      </c>
      <c r="AC19" s="190">
        <v>-999999</v>
      </c>
      <c r="AD19" s="190">
        <v>18100</v>
      </c>
      <c r="AE19" s="190">
        <v>41</v>
      </c>
      <c r="AF19" s="190">
        <v>6999</v>
      </c>
      <c r="AG19" s="190">
        <v>0</v>
      </c>
      <c r="AH19" s="190">
        <v>5</v>
      </c>
      <c r="AI19" s="190">
        <v>11101</v>
      </c>
      <c r="AJ19" s="190">
        <v>18100</v>
      </c>
      <c r="AK19" s="190">
        <v>18</v>
      </c>
      <c r="AL19" s="190">
        <v>18</v>
      </c>
      <c r="AM19" s="190">
        <v>1</v>
      </c>
      <c r="AN19" s="190">
        <v>18</v>
      </c>
      <c r="AO19" s="258">
        <v>4</v>
      </c>
      <c r="AP19" s="190" t="s">
        <v>307</v>
      </c>
      <c r="AQ19" s="190">
        <v>4000</v>
      </c>
      <c r="AR19" s="190">
        <v>0</v>
      </c>
      <c r="AS19" s="259"/>
      <c r="AT19" s="190">
        <v>4000</v>
      </c>
      <c r="AU19" s="190">
        <v>0</v>
      </c>
      <c r="AV19" s="190">
        <v>323000</v>
      </c>
      <c r="AW19" s="190">
        <v>0</v>
      </c>
      <c r="AX19" s="190">
        <v>323000</v>
      </c>
      <c r="AY19" s="190">
        <v>0</v>
      </c>
      <c r="AZ19" s="190">
        <v>319100</v>
      </c>
      <c r="BA19" s="259">
        <v>4003</v>
      </c>
      <c r="BB19" s="190">
        <v>100</v>
      </c>
      <c r="BC19" s="190"/>
      <c r="BD19" s="190">
        <v>0</v>
      </c>
      <c r="BE19" s="190">
        <v>0</v>
      </c>
      <c r="BF19" s="190">
        <v>319005</v>
      </c>
      <c r="BG19" s="190">
        <v>323000</v>
      </c>
      <c r="BH19" s="190">
        <v>319100</v>
      </c>
      <c r="BI19" s="190">
        <v>7000</v>
      </c>
      <c r="BJ19" s="190">
        <v>0</v>
      </c>
      <c r="BK19" s="190"/>
      <c r="BL19" s="190" t="s">
        <v>306</v>
      </c>
      <c r="BM19" s="190">
        <v>7000</v>
      </c>
      <c r="BN19" s="190">
        <v>-999999</v>
      </c>
      <c r="BO19" s="190">
        <v>325091</v>
      </c>
      <c r="BP19" s="190">
        <v>325091</v>
      </c>
      <c r="BQ19" s="190">
        <v>62</v>
      </c>
      <c r="BR19" s="190">
        <v>324705</v>
      </c>
      <c r="BS19" s="190">
        <v>0</v>
      </c>
      <c r="BT19" s="190">
        <v>100</v>
      </c>
      <c r="BU19" s="190">
        <v>1</v>
      </c>
      <c r="BV19" s="190">
        <v>386</v>
      </c>
      <c r="BW19" s="190">
        <v>325091</v>
      </c>
      <c r="BX19" s="190">
        <v>324647</v>
      </c>
      <c r="BY19" s="190">
        <v>331543</v>
      </c>
      <c r="BZ19" s="190">
        <v>324643</v>
      </c>
      <c r="CA19" s="190">
        <v>2000</v>
      </c>
      <c r="CB19" s="190">
        <v>0</v>
      </c>
      <c r="CC19" s="190"/>
      <c r="CD19" s="190">
        <v>2000</v>
      </c>
      <c r="CE19" s="190">
        <v>-8</v>
      </c>
      <c r="CF19" s="190">
        <v>332000</v>
      </c>
      <c r="CG19" s="190">
        <v>0</v>
      </c>
      <c r="CH19" s="190">
        <v>332000</v>
      </c>
      <c r="CI19" s="190">
        <v>8</v>
      </c>
      <c r="CJ19" s="190">
        <v>330108</v>
      </c>
      <c r="CK19" s="190">
        <v>0</v>
      </c>
      <c r="CL19" s="190">
        <v>100</v>
      </c>
      <c r="CM19" s="190"/>
      <c r="CN19" s="190">
        <v>0</v>
      </c>
      <c r="CO19" s="190">
        <v>0</v>
      </c>
      <c r="CP19" s="190">
        <v>330000</v>
      </c>
      <c r="CQ19" s="190">
        <v>332000</v>
      </c>
      <c r="CR19" s="190">
        <v>330100</v>
      </c>
      <c r="CS19" s="190">
        <v>15</v>
      </c>
      <c r="CT19" s="190">
        <v>4</v>
      </c>
      <c r="CU19" s="190">
        <v>0</v>
      </c>
      <c r="CV19" s="190">
        <v>9</v>
      </c>
      <c r="CW19" s="190">
        <v>10</v>
      </c>
      <c r="CX19" s="190">
        <v>1</v>
      </c>
      <c r="CY19" s="190">
        <v>2</v>
      </c>
      <c r="CZ19" s="190">
        <v>3</v>
      </c>
      <c r="DA19" s="190">
        <v>4</v>
      </c>
      <c r="DB19" s="190">
        <v>5</v>
      </c>
      <c r="DC19" s="190">
        <v>6</v>
      </c>
      <c r="DD19" s="190">
        <v>7</v>
      </c>
      <c r="DE19" s="190">
        <v>8</v>
      </c>
      <c r="DF19" s="190" t="s">
        <v>411</v>
      </c>
      <c r="DG19" s="190" t="s">
        <v>308</v>
      </c>
      <c r="DH19" s="190" t="s">
        <v>18</v>
      </c>
      <c r="DI19" s="190">
        <v>0</v>
      </c>
      <c r="DJ19" s="190">
        <v>0</v>
      </c>
      <c r="DK19" s="190">
        <v>323103</v>
      </c>
      <c r="DL19" s="190">
        <v>3</v>
      </c>
      <c r="DM19" s="190">
        <v>323103</v>
      </c>
      <c r="DN19" s="190">
        <v>50</v>
      </c>
      <c r="DO19" s="190">
        <v>7000</v>
      </c>
      <c r="DP19" s="190">
        <v>0</v>
      </c>
      <c r="DQ19" s="190"/>
      <c r="DR19" s="190">
        <v>7000</v>
      </c>
      <c r="DS19" s="190">
        <v>-2055</v>
      </c>
      <c r="DT19" s="190">
        <v>330000</v>
      </c>
      <c r="DU19" s="190">
        <v>0</v>
      </c>
      <c r="DV19" s="190">
        <v>330000</v>
      </c>
      <c r="DW19" s="190">
        <v>2055</v>
      </c>
      <c r="DX19" s="190">
        <v>325155</v>
      </c>
      <c r="DY19" s="190">
        <v>4953</v>
      </c>
      <c r="DZ19" s="190">
        <v>100</v>
      </c>
      <c r="EA19" s="190"/>
      <c r="EB19" s="190">
        <v>0</v>
      </c>
      <c r="EC19" s="190">
        <v>0</v>
      </c>
      <c r="ED19" s="190">
        <v>325094</v>
      </c>
      <c r="EE19" s="190">
        <v>330000</v>
      </c>
      <c r="EF19" s="190">
        <v>323100</v>
      </c>
      <c r="EG19" s="190">
        <v>18</v>
      </c>
    </row>
    <row r="20" spans="1:137" x14ac:dyDescent="0.2">
      <c r="A20" s="190" t="s">
        <v>301</v>
      </c>
      <c r="B20" s="263" t="s">
        <v>426</v>
      </c>
      <c r="C20" s="190">
        <v>1</v>
      </c>
      <c r="D20" s="190" t="s">
        <v>396</v>
      </c>
      <c r="E20" s="190" t="s">
        <v>397</v>
      </c>
      <c r="F20" s="190">
        <v>59.956000000000003</v>
      </c>
      <c r="G20" s="190" t="s">
        <v>302</v>
      </c>
      <c r="H20" s="190">
        <v>1</v>
      </c>
      <c r="I20" s="190">
        <v>6000</v>
      </c>
      <c r="J20" s="190">
        <v>-57</v>
      </c>
      <c r="K20" s="190">
        <v>0</v>
      </c>
      <c r="L20" s="190">
        <v>24000</v>
      </c>
      <c r="M20" s="190">
        <v>57</v>
      </c>
      <c r="N20" s="190">
        <v>18157</v>
      </c>
      <c r="O20" s="190">
        <v>5954</v>
      </c>
      <c r="P20" s="190"/>
      <c r="Q20" s="190">
        <v>0</v>
      </c>
      <c r="R20" s="190">
        <v>0</v>
      </c>
      <c r="S20" s="190">
        <v>-725311415</v>
      </c>
      <c r="T20" s="190" t="s">
        <v>303</v>
      </c>
      <c r="U20" s="190" t="s">
        <v>304</v>
      </c>
      <c r="V20" s="190" t="s">
        <v>304</v>
      </c>
      <c r="W20" s="190" t="s">
        <v>398</v>
      </c>
      <c r="X20" s="190" t="s">
        <v>399</v>
      </c>
      <c r="Y20" s="260">
        <v>0.38542824074074072</v>
      </c>
      <c r="Z20" s="190" t="s">
        <v>305</v>
      </c>
      <c r="AA20" s="190" t="s">
        <v>306</v>
      </c>
      <c r="AB20" s="190">
        <v>-1</v>
      </c>
      <c r="AC20" s="190">
        <v>-999999</v>
      </c>
      <c r="AD20" s="190">
        <v>18100</v>
      </c>
      <c r="AE20" s="190">
        <v>41</v>
      </c>
      <c r="AF20" s="190">
        <v>6999</v>
      </c>
      <c r="AG20" s="190">
        <v>0</v>
      </c>
      <c r="AH20" s="190">
        <v>5</v>
      </c>
      <c r="AI20" s="190">
        <v>11101</v>
      </c>
      <c r="AJ20" s="190">
        <v>18100</v>
      </c>
      <c r="AK20" s="190">
        <v>19</v>
      </c>
      <c r="AL20" s="190">
        <v>19</v>
      </c>
      <c r="AM20" s="190">
        <v>1</v>
      </c>
      <c r="AN20" s="190">
        <v>19</v>
      </c>
      <c r="AO20" s="258">
        <v>0</v>
      </c>
      <c r="AP20" s="190" t="s">
        <v>307</v>
      </c>
      <c r="AQ20" s="190">
        <v>4000</v>
      </c>
      <c r="AR20" s="190">
        <v>0</v>
      </c>
      <c r="AS20" s="259"/>
      <c r="AT20" s="190">
        <v>4000</v>
      </c>
      <c r="AU20" s="190">
        <v>-10</v>
      </c>
      <c r="AV20" s="190">
        <v>336000</v>
      </c>
      <c r="AW20" s="190">
        <v>0</v>
      </c>
      <c r="AX20" s="190">
        <v>336000</v>
      </c>
      <c r="AY20" s="190">
        <v>10</v>
      </c>
      <c r="AZ20" s="190">
        <v>332110</v>
      </c>
      <c r="BA20" s="259">
        <v>4003</v>
      </c>
      <c r="BB20" s="190">
        <v>100</v>
      </c>
      <c r="BC20" s="190"/>
      <c r="BD20" s="190">
        <v>0</v>
      </c>
      <c r="BE20" s="190">
        <v>0</v>
      </c>
      <c r="BF20" s="190">
        <v>332005</v>
      </c>
      <c r="BG20" s="190">
        <v>336000</v>
      </c>
      <c r="BH20" s="190">
        <v>332100</v>
      </c>
      <c r="BI20" s="190">
        <v>7000</v>
      </c>
      <c r="BJ20" s="190">
        <v>0</v>
      </c>
      <c r="BK20" s="190"/>
      <c r="BL20" s="190" t="s">
        <v>306</v>
      </c>
      <c r="BM20" s="190">
        <v>7000</v>
      </c>
      <c r="BN20" s="190">
        <v>-999999</v>
      </c>
      <c r="BO20" s="190">
        <v>338866</v>
      </c>
      <c r="BP20" s="190">
        <v>338866</v>
      </c>
      <c r="BQ20" s="190">
        <v>51</v>
      </c>
      <c r="BR20" s="190">
        <v>338565</v>
      </c>
      <c r="BS20" s="190">
        <v>0</v>
      </c>
      <c r="BT20" s="190">
        <v>100</v>
      </c>
      <c r="BU20" s="190">
        <v>1</v>
      </c>
      <c r="BV20" s="190">
        <v>301</v>
      </c>
      <c r="BW20" s="190">
        <v>338866</v>
      </c>
      <c r="BX20" s="190">
        <v>338518</v>
      </c>
      <c r="BY20" s="190">
        <v>345414</v>
      </c>
      <c r="BZ20" s="190">
        <v>338514</v>
      </c>
      <c r="CA20" s="190">
        <v>4000</v>
      </c>
      <c r="CB20" s="190">
        <v>0</v>
      </c>
      <c r="CC20" s="190"/>
      <c r="CD20" s="190">
        <v>4000</v>
      </c>
      <c r="CE20" s="190">
        <v>-2</v>
      </c>
      <c r="CF20" s="190">
        <v>347000</v>
      </c>
      <c r="CG20" s="190">
        <v>0</v>
      </c>
      <c r="CH20" s="190">
        <v>347000</v>
      </c>
      <c r="CI20" s="190">
        <v>2</v>
      </c>
      <c r="CJ20" s="190">
        <v>343102</v>
      </c>
      <c r="CK20" s="190">
        <v>0</v>
      </c>
      <c r="CL20" s="190">
        <v>100</v>
      </c>
      <c r="CM20" s="190"/>
      <c r="CN20" s="190">
        <v>0</v>
      </c>
      <c r="CO20" s="190">
        <v>0</v>
      </c>
      <c r="CP20" s="190">
        <v>343000</v>
      </c>
      <c r="CQ20" s="190">
        <v>347000</v>
      </c>
      <c r="CR20" s="190">
        <v>343100</v>
      </c>
      <c r="CS20" s="190">
        <v>15</v>
      </c>
      <c r="CT20" s="190">
        <v>4</v>
      </c>
      <c r="CU20" s="190">
        <v>0</v>
      </c>
      <c r="CV20" s="190">
        <v>9</v>
      </c>
      <c r="CW20" s="190">
        <v>10</v>
      </c>
      <c r="CX20" s="190">
        <v>1</v>
      </c>
      <c r="CY20" s="190">
        <v>2</v>
      </c>
      <c r="CZ20" s="190">
        <v>3</v>
      </c>
      <c r="DA20" s="190">
        <v>4</v>
      </c>
      <c r="DB20" s="190">
        <v>5</v>
      </c>
      <c r="DC20" s="190">
        <v>6</v>
      </c>
      <c r="DD20" s="190">
        <v>7</v>
      </c>
      <c r="DE20" s="190">
        <v>8</v>
      </c>
      <c r="DF20" s="190" t="s">
        <v>414</v>
      </c>
      <c r="DG20" s="190" t="s">
        <v>308</v>
      </c>
      <c r="DH20" s="190" t="s">
        <v>18</v>
      </c>
      <c r="DI20" s="190">
        <v>0</v>
      </c>
      <c r="DJ20" s="190">
        <v>0</v>
      </c>
      <c r="DK20" s="190">
        <v>336113</v>
      </c>
      <c r="DL20" s="190">
        <v>13</v>
      </c>
      <c r="DM20" s="190">
        <v>336113</v>
      </c>
      <c r="DN20" s="190">
        <v>50</v>
      </c>
      <c r="DO20" s="190">
        <v>7000</v>
      </c>
      <c r="DP20" s="190">
        <v>0</v>
      </c>
      <c r="DQ20" s="190"/>
      <c r="DR20" s="190">
        <v>7000</v>
      </c>
      <c r="DS20" s="190">
        <v>-2815</v>
      </c>
      <c r="DT20" s="190">
        <v>343000</v>
      </c>
      <c r="DU20" s="190">
        <v>0</v>
      </c>
      <c r="DV20" s="190">
        <v>343000</v>
      </c>
      <c r="DW20" s="190">
        <v>2815</v>
      </c>
      <c r="DX20" s="190">
        <v>338915</v>
      </c>
      <c r="DY20" s="190">
        <v>4187</v>
      </c>
      <c r="DZ20" s="190">
        <v>100</v>
      </c>
      <c r="EA20" s="190"/>
      <c r="EB20" s="190">
        <v>0</v>
      </c>
      <c r="EC20" s="190">
        <v>0</v>
      </c>
      <c r="ED20" s="190">
        <v>338870</v>
      </c>
      <c r="EE20" s="190">
        <v>343000</v>
      </c>
      <c r="EF20" s="190">
        <v>336100</v>
      </c>
      <c r="EG20" s="190">
        <v>19</v>
      </c>
    </row>
    <row r="21" spans="1:137" x14ac:dyDescent="0.2">
      <c r="A21" s="190" t="s">
        <v>301</v>
      </c>
      <c r="B21" s="263" t="s">
        <v>426</v>
      </c>
      <c r="C21" s="190">
        <v>1</v>
      </c>
      <c r="D21" s="190" t="s">
        <v>396</v>
      </c>
      <c r="E21" s="190" t="s">
        <v>397</v>
      </c>
      <c r="F21" s="190">
        <v>59.956000000000003</v>
      </c>
      <c r="G21" s="190" t="s">
        <v>302</v>
      </c>
      <c r="H21" s="190">
        <v>1</v>
      </c>
      <c r="I21" s="190">
        <v>6000</v>
      </c>
      <c r="J21" s="190">
        <v>-57</v>
      </c>
      <c r="K21" s="190">
        <v>0</v>
      </c>
      <c r="L21" s="190">
        <v>24000</v>
      </c>
      <c r="M21" s="190">
        <v>57</v>
      </c>
      <c r="N21" s="190">
        <v>18157</v>
      </c>
      <c r="O21" s="190">
        <v>5954</v>
      </c>
      <c r="P21" s="190"/>
      <c r="Q21" s="190">
        <v>0</v>
      </c>
      <c r="R21" s="190">
        <v>0</v>
      </c>
      <c r="S21" s="190">
        <v>-725311415</v>
      </c>
      <c r="T21" s="190" t="s">
        <v>303</v>
      </c>
      <c r="U21" s="190" t="s">
        <v>304</v>
      </c>
      <c r="V21" s="190" t="s">
        <v>304</v>
      </c>
      <c r="W21" s="190" t="s">
        <v>398</v>
      </c>
      <c r="X21" s="190" t="s">
        <v>399</v>
      </c>
      <c r="Y21" s="260">
        <v>0.38542824074074072</v>
      </c>
      <c r="Z21" s="190" t="s">
        <v>305</v>
      </c>
      <c r="AA21" s="190" t="s">
        <v>306</v>
      </c>
      <c r="AB21" s="190">
        <v>-1</v>
      </c>
      <c r="AC21" s="190">
        <v>-999999</v>
      </c>
      <c r="AD21" s="190">
        <v>18100</v>
      </c>
      <c r="AE21" s="190">
        <v>41</v>
      </c>
      <c r="AF21" s="190">
        <v>6999</v>
      </c>
      <c r="AG21" s="190">
        <v>0</v>
      </c>
      <c r="AH21" s="190">
        <v>5</v>
      </c>
      <c r="AI21" s="190">
        <v>11101</v>
      </c>
      <c r="AJ21" s="190">
        <v>18100</v>
      </c>
      <c r="AK21" s="190">
        <v>20</v>
      </c>
      <c r="AL21" s="190">
        <v>20</v>
      </c>
      <c r="AM21" s="190">
        <v>1</v>
      </c>
      <c r="AN21" s="190">
        <v>20</v>
      </c>
      <c r="AO21" s="258">
        <v>5</v>
      </c>
      <c r="AP21" s="190" t="s">
        <v>307</v>
      </c>
      <c r="AQ21" s="190">
        <v>4000</v>
      </c>
      <c r="AR21" s="190">
        <v>0</v>
      </c>
      <c r="AS21" s="259"/>
      <c r="AT21" s="190">
        <v>4000</v>
      </c>
      <c r="AU21" s="190">
        <v>-5</v>
      </c>
      <c r="AV21" s="190">
        <v>351000</v>
      </c>
      <c r="AW21" s="190">
        <v>0</v>
      </c>
      <c r="AX21" s="190">
        <v>351000</v>
      </c>
      <c r="AY21" s="190">
        <v>5</v>
      </c>
      <c r="AZ21" s="190">
        <v>347105</v>
      </c>
      <c r="BA21" s="259">
        <v>4003</v>
      </c>
      <c r="BB21" s="190">
        <v>100</v>
      </c>
      <c r="BC21" s="190"/>
      <c r="BD21" s="190">
        <v>0</v>
      </c>
      <c r="BE21" s="190">
        <v>0</v>
      </c>
      <c r="BF21" s="190">
        <v>347005</v>
      </c>
      <c r="BG21" s="190">
        <v>351000</v>
      </c>
      <c r="BH21" s="190">
        <v>347100</v>
      </c>
      <c r="BI21" s="190">
        <v>7000</v>
      </c>
      <c r="BJ21" s="190">
        <v>0</v>
      </c>
      <c r="BK21" s="190"/>
      <c r="BL21" s="190" t="s">
        <v>306</v>
      </c>
      <c r="BM21" s="190">
        <v>7000</v>
      </c>
      <c r="BN21" s="190">
        <v>-999999</v>
      </c>
      <c r="BO21" s="190">
        <v>353577</v>
      </c>
      <c r="BP21" s="190">
        <v>353577</v>
      </c>
      <c r="BQ21" s="190">
        <v>46</v>
      </c>
      <c r="BR21" s="190">
        <v>352759</v>
      </c>
      <c r="BS21" s="190">
        <v>0</v>
      </c>
      <c r="BT21" s="190">
        <v>100</v>
      </c>
      <c r="BU21" s="190">
        <v>1</v>
      </c>
      <c r="BV21" s="190">
        <v>818</v>
      </c>
      <c r="BW21" s="190">
        <v>353577</v>
      </c>
      <c r="BX21" s="190">
        <v>352716</v>
      </c>
      <c r="BY21" s="190">
        <v>359613</v>
      </c>
      <c r="BZ21" s="190">
        <v>352713</v>
      </c>
      <c r="CA21" s="190">
        <v>4000</v>
      </c>
      <c r="CB21" s="190">
        <v>0</v>
      </c>
      <c r="CC21" s="190"/>
      <c r="CD21" s="190">
        <v>4000</v>
      </c>
      <c r="CE21" s="190">
        <v>-13</v>
      </c>
      <c r="CF21" s="190">
        <v>362000</v>
      </c>
      <c r="CG21" s="190">
        <v>0</v>
      </c>
      <c r="CH21" s="190">
        <v>362000</v>
      </c>
      <c r="CI21" s="190">
        <v>13</v>
      </c>
      <c r="CJ21" s="190">
        <v>358113</v>
      </c>
      <c r="CK21" s="190">
        <v>0</v>
      </c>
      <c r="CL21" s="190">
        <v>100</v>
      </c>
      <c r="CM21" s="190"/>
      <c r="CN21" s="190">
        <v>0</v>
      </c>
      <c r="CO21" s="190">
        <v>0</v>
      </c>
      <c r="CP21" s="190">
        <v>358000</v>
      </c>
      <c r="CQ21" s="190">
        <v>362000</v>
      </c>
      <c r="CR21" s="190">
        <v>358100</v>
      </c>
      <c r="CS21" s="190">
        <v>15</v>
      </c>
      <c r="CT21" s="190">
        <v>4</v>
      </c>
      <c r="CU21" s="190">
        <v>0</v>
      </c>
      <c r="CV21" s="190">
        <v>9</v>
      </c>
      <c r="CW21" s="190">
        <v>10</v>
      </c>
      <c r="CX21" s="190">
        <v>1</v>
      </c>
      <c r="CY21" s="190">
        <v>2</v>
      </c>
      <c r="CZ21" s="190">
        <v>3</v>
      </c>
      <c r="DA21" s="190">
        <v>4</v>
      </c>
      <c r="DB21" s="190">
        <v>5</v>
      </c>
      <c r="DC21" s="190">
        <v>6</v>
      </c>
      <c r="DD21" s="190">
        <v>7</v>
      </c>
      <c r="DE21" s="190">
        <v>8</v>
      </c>
      <c r="DF21" s="190" t="s">
        <v>415</v>
      </c>
      <c r="DG21" s="190" t="s">
        <v>308</v>
      </c>
      <c r="DH21" s="190" t="s">
        <v>18</v>
      </c>
      <c r="DI21" s="190">
        <v>0</v>
      </c>
      <c r="DJ21" s="190">
        <v>0</v>
      </c>
      <c r="DK21" s="190">
        <v>351108</v>
      </c>
      <c r="DL21" s="190">
        <v>8</v>
      </c>
      <c r="DM21" s="190">
        <v>351108</v>
      </c>
      <c r="DN21" s="190">
        <v>50</v>
      </c>
      <c r="DO21" s="190">
        <v>7000</v>
      </c>
      <c r="DP21" s="190">
        <v>0</v>
      </c>
      <c r="DQ21" s="190"/>
      <c r="DR21" s="190">
        <v>7000</v>
      </c>
      <c r="DS21" s="190">
        <v>-2526</v>
      </c>
      <c r="DT21" s="190">
        <v>358000</v>
      </c>
      <c r="DU21" s="190">
        <v>0</v>
      </c>
      <c r="DV21" s="190">
        <v>358000</v>
      </c>
      <c r="DW21" s="190">
        <v>2526</v>
      </c>
      <c r="DX21" s="190">
        <v>353626</v>
      </c>
      <c r="DY21" s="190">
        <v>4487</v>
      </c>
      <c r="DZ21" s="190">
        <v>100</v>
      </c>
      <c r="EA21" s="190"/>
      <c r="EB21" s="190">
        <v>0</v>
      </c>
      <c r="EC21" s="190">
        <v>0</v>
      </c>
      <c r="ED21" s="190">
        <v>353579</v>
      </c>
      <c r="EE21" s="190">
        <v>358000</v>
      </c>
      <c r="EF21" s="190">
        <v>351100</v>
      </c>
      <c r="EG21" s="190">
        <v>20</v>
      </c>
    </row>
    <row r="22" spans="1:137" x14ac:dyDescent="0.2">
      <c r="A22" s="190" t="s">
        <v>301</v>
      </c>
      <c r="B22" s="263" t="s">
        <v>426</v>
      </c>
      <c r="C22" s="190">
        <v>1</v>
      </c>
      <c r="D22" s="190" t="s">
        <v>396</v>
      </c>
      <c r="E22" s="190" t="s">
        <v>397</v>
      </c>
      <c r="F22" s="190">
        <v>59.956000000000003</v>
      </c>
      <c r="G22" s="190" t="s">
        <v>302</v>
      </c>
      <c r="H22" s="190">
        <v>1</v>
      </c>
      <c r="I22" s="190">
        <v>6000</v>
      </c>
      <c r="J22" s="190">
        <v>-57</v>
      </c>
      <c r="K22" s="190">
        <v>0</v>
      </c>
      <c r="L22" s="190">
        <v>24000</v>
      </c>
      <c r="M22" s="190">
        <v>57</v>
      </c>
      <c r="N22" s="190">
        <v>18157</v>
      </c>
      <c r="O22" s="190">
        <v>5954</v>
      </c>
      <c r="P22" s="190"/>
      <c r="Q22" s="190">
        <v>0</v>
      </c>
      <c r="R22" s="190">
        <v>0</v>
      </c>
      <c r="S22" s="190">
        <v>-725311415</v>
      </c>
      <c r="T22" s="190" t="s">
        <v>303</v>
      </c>
      <c r="U22" s="190" t="s">
        <v>304</v>
      </c>
      <c r="V22" s="190" t="s">
        <v>304</v>
      </c>
      <c r="W22" s="190" t="s">
        <v>398</v>
      </c>
      <c r="X22" s="190" t="s">
        <v>399</v>
      </c>
      <c r="Y22" s="260">
        <v>0.38542824074074072</v>
      </c>
      <c r="Z22" s="190" t="s">
        <v>305</v>
      </c>
      <c r="AA22" s="190" t="s">
        <v>306</v>
      </c>
      <c r="AB22" s="190">
        <v>-1</v>
      </c>
      <c r="AC22" s="190">
        <v>-999999</v>
      </c>
      <c r="AD22" s="190">
        <v>18100</v>
      </c>
      <c r="AE22" s="190">
        <v>41</v>
      </c>
      <c r="AF22" s="190">
        <v>6999</v>
      </c>
      <c r="AG22" s="190">
        <v>0</v>
      </c>
      <c r="AH22" s="190">
        <v>5</v>
      </c>
      <c r="AI22" s="190">
        <v>11101</v>
      </c>
      <c r="AJ22" s="190">
        <v>18100</v>
      </c>
      <c r="AK22" s="190">
        <v>21</v>
      </c>
      <c r="AL22" s="190">
        <v>21</v>
      </c>
      <c r="AM22" s="190">
        <v>1</v>
      </c>
      <c r="AN22" s="190">
        <v>21</v>
      </c>
      <c r="AO22" s="258">
        <v>0</v>
      </c>
      <c r="AP22" s="190" t="s">
        <v>307</v>
      </c>
      <c r="AQ22" s="190">
        <v>4000</v>
      </c>
      <c r="AR22" s="190">
        <v>0</v>
      </c>
      <c r="AS22" s="259"/>
      <c r="AT22" s="190">
        <v>4000</v>
      </c>
      <c r="AU22" s="190">
        <v>-16</v>
      </c>
      <c r="AV22" s="190">
        <v>366000</v>
      </c>
      <c r="AW22" s="190">
        <v>0</v>
      </c>
      <c r="AX22" s="190">
        <v>366000</v>
      </c>
      <c r="AY22" s="190">
        <v>16</v>
      </c>
      <c r="AZ22" s="190">
        <v>362116</v>
      </c>
      <c r="BA22" s="259">
        <v>3986</v>
      </c>
      <c r="BB22" s="190">
        <v>100</v>
      </c>
      <c r="BC22" s="190"/>
      <c r="BD22" s="190">
        <v>0</v>
      </c>
      <c r="BE22" s="190">
        <v>0</v>
      </c>
      <c r="BF22" s="190">
        <v>362005</v>
      </c>
      <c r="BG22" s="190">
        <v>366000</v>
      </c>
      <c r="BH22" s="190">
        <v>362100</v>
      </c>
      <c r="BI22" s="190">
        <v>7000</v>
      </c>
      <c r="BJ22" s="190">
        <v>0</v>
      </c>
      <c r="BK22" s="190"/>
      <c r="BL22" s="190" t="s">
        <v>306</v>
      </c>
      <c r="BM22" s="190">
        <v>7000</v>
      </c>
      <c r="BN22" s="190">
        <v>-999999</v>
      </c>
      <c r="BO22" s="190">
        <v>368520</v>
      </c>
      <c r="BP22" s="190">
        <v>368520</v>
      </c>
      <c r="BQ22" s="190">
        <v>60</v>
      </c>
      <c r="BR22" s="190">
        <v>368204</v>
      </c>
      <c r="BS22" s="190">
        <v>0</v>
      </c>
      <c r="BT22" s="190">
        <v>100</v>
      </c>
      <c r="BU22" s="190">
        <v>1</v>
      </c>
      <c r="BV22" s="190">
        <v>316</v>
      </c>
      <c r="BW22" s="190">
        <v>368520</v>
      </c>
      <c r="BX22" s="190">
        <v>368148</v>
      </c>
      <c r="BY22" s="190">
        <v>375044</v>
      </c>
      <c r="BZ22" s="190">
        <v>368144</v>
      </c>
      <c r="CA22" s="190">
        <v>2000</v>
      </c>
      <c r="CB22" s="190">
        <v>0</v>
      </c>
      <c r="CC22" s="190"/>
      <c r="CD22" s="190">
        <v>2000</v>
      </c>
      <c r="CE22" s="190">
        <v>-8</v>
      </c>
      <c r="CF22" s="190">
        <v>375000</v>
      </c>
      <c r="CG22" s="190">
        <v>0</v>
      </c>
      <c r="CH22" s="190">
        <v>375000</v>
      </c>
      <c r="CI22" s="190">
        <v>8</v>
      </c>
      <c r="CJ22" s="190">
        <v>373108</v>
      </c>
      <c r="CK22" s="190">
        <v>0</v>
      </c>
      <c r="CL22" s="190">
        <v>100</v>
      </c>
      <c r="CM22" s="190"/>
      <c r="CN22" s="190">
        <v>0</v>
      </c>
      <c r="CO22" s="190">
        <v>0</v>
      </c>
      <c r="CP22" s="190">
        <v>373000</v>
      </c>
      <c r="CQ22" s="190">
        <v>375000</v>
      </c>
      <c r="CR22" s="190">
        <v>373100</v>
      </c>
      <c r="CS22" s="190">
        <v>15</v>
      </c>
      <c r="CT22" s="190">
        <v>4</v>
      </c>
      <c r="CU22" s="190">
        <v>0</v>
      </c>
      <c r="CV22" s="190">
        <v>9</v>
      </c>
      <c r="CW22" s="190">
        <v>10</v>
      </c>
      <c r="CX22" s="190">
        <v>1</v>
      </c>
      <c r="CY22" s="190">
        <v>2</v>
      </c>
      <c r="CZ22" s="190">
        <v>3</v>
      </c>
      <c r="DA22" s="190">
        <v>4</v>
      </c>
      <c r="DB22" s="190">
        <v>5</v>
      </c>
      <c r="DC22" s="190">
        <v>6</v>
      </c>
      <c r="DD22" s="190">
        <v>7</v>
      </c>
      <c r="DE22" s="190">
        <v>8</v>
      </c>
      <c r="DF22" s="190" t="s">
        <v>406</v>
      </c>
      <c r="DG22" s="190" t="s">
        <v>308</v>
      </c>
      <c r="DH22" s="190" t="s">
        <v>18</v>
      </c>
      <c r="DI22" s="190">
        <v>0</v>
      </c>
      <c r="DJ22" s="190">
        <v>0</v>
      </c>
      <c r="DK22" s="190">
        <v>366102</v>
      </c>
      <c r="DL22" s="190">
        <v>2</v>
      </c>
      <c r="DM22" s="190">
        <v>366102</v>
      </c>
      <c r="DN22" s="190">
        <v>50</v>
      </c>
      <c r="DO22" s="190">
        <v>7000</v>
      </c>
      <c r="DP22" s="190">
        <v>0</v>
      </c>
      <c r="DQ22" s="190"/>
      <c r="DR22" s="190">
        <v>7000</v>
      </c>
      <c r="DS22" s="190">
        <v>-2471</v>
      </c>
      <c r="DT22" s="190">
        <v>373000</v>
      </c>
      <c r="DU22" s="190">
        <v>0</v>
      </c>
      <c r="DV22" s="190">
        <v>373000</v>
      </c>
      <c r="DW22" s="190">
        <v>2471</v>
      </c>
      <c r="DX22" s="190">
        <v>368571</v>
      </c>
      <c r="DY22" s="190">
        <v>4537</v>
      </c>
      <c r="DZ22" s="190">
        <v>100</v>
      </c>
      <c r="EA22" s="190"/>
      <c r="EB22" s="190">
        <v>0</v>
      </c>
      <c r="EC22" s="190">
        <v>0</v>
      </c>
      <c r="ED22" s="190">
        <v>368522</v>
      </c>
      <c r="EE22" s="190">
        <v>373000</v>
      </c>
      <c r="EF22" s="190">
        <v>366100</v>
      </c>
      <c r="EG22" s="190">
        <v>21</v>
      </c>
    </row>
    <row r="23" spans="1:137" x14ac:dyDescent="0.2">
      <c r="A23" s="190" t="s">
        <v>301</v>
      </c>
      <c r="B23" s="263" t="s">
        <v>426</v>
      </c>
      <c r="C23" s="190">
        <v>1</v>
      </c>
      <c r="D23" s="190" t="s">
        <v>396</v>
      </c>
      <c r="E23" s="190" t="s">
        <v>397</v>
      </c>
      <c r="F23" s="190">
        <v>59.956000000000003</v>
      </c>
      <c r="G23" s="190" t="s">
        <v>302</v>
      </c>
      <c r="H23" s="190">
        <v>1</v>
      </c>
      <c r="I23" s="190">
        <v>6000</v>
      </c>
      <c r="J23" s="190">
        <v>-57</v>
      </c>
      <c r="K23" s="190">
        <v>0</v>
      </c>
      <c r="L23" s="190">
        <v>24000</v>
      </c>
      <c r="M23" s="190">
        <v>57</v>
      </c>
      <c r="N23" s="190">
        <v>18157</v>
      </c>
      <c r="O23" s="190">
        <v>5954</v>
      </c>
      <c r="P23" s="190"/>
      <c r="Q23" s="190">
        <v>0</v>
      </c>
      <c r="R23" s="190">
        <v>0</v>
      </c>
      <c r="S23" s="190">
        <v>-725311415</v>
      </c>
      <c r="T23" s="190" t="s">
        <v>303</v>
      </c>
      <c r="U23" s="190" t="s">
        <v>304</v>
      </c>
      <c r="V23" s="190" t="s">
        <v>304</v>
      </c>
      <c r="W23" s="190" t="s">
        <v>398</v>
      </c>
      <c r="X23" s="190" t="s">
        <v>399</v>
      </c>
      <c r="Y23" s="260">
        <v>0.38542824074074072</v>
      </c>
      <c r="Z23" s="190" t="s">
        <v>305</v>
      </c>
      <c r="AA23" s="190" t="s">
        <v>306</v>
      </c>
      <c r="AB23" s="190">
        <v>-1</v>
      </c>
      <c r="AC23" s="190">
        <v>-999999</v>
      </c>
      <c r="AD23" s="190">
        <v>18100</v>
      </c>
      <c r="AE23" s="190">
        <v>41</v>
      </c>
      <c r="AF23" s="190">
        <v>6999</v>
      </c>
      <c r="AG23" s="190">
        <v>0</v>
      </c>
      <c r="AH23" s="190">
        <v>5</v>
      </c>
      <c r="AI23" s="190">
        <v>11101</v>
      </c>
      <c r="AJ23" s="190">
        <v>18100</v>
      </c>
      <c r="AK23" s="190">
        <v>22</v>
      </c>
      <c r="AL23" s="190">
        <v>22</v>
      </c>
      <c r="AM23" s="190">
        <v>1</v>
      </c>
      <c r="AN23" s="190">
        <v>22</v>
      </c>
      <c r="AO23" s="258">
        <v>5</v>
      </c>
      <c r="AP23" s="190" t="s">
        <v>307</v>
      </c>
      <c r="AQ23" s="190">
        <v>4000</v>
      </c>
      <c r="AR23" s="190">
        <v>0</v>
      </c>
      <c r="AS23" s="259"/>
      <c r="AT23" s="190">
        <v>4000</v>
      </c>
      <c r="AU23" s="190">
        <v>-9</v>
      </c>
      <c r="AV23" s="190">
        <v>379000</v>
      </c>
      <c r="AW23" s="190">
        <v>0</v>
      </c>
      <c r="AX23" s="190">
        <v>379000</v>
      </c>
      <c r="AY23" s="190">
        <v>9</v>
      </c>
      <c r="AZ23" s="190">
        <v>375109</v>
      </c>
      <c r="BA23" s="259">
        <v>4003</v>
      </c>
      <c r="BB23" s="190">
        <v>100</v>
      </c>
      <c r="BC23" s="190"/>
      <c r="BD23" s="190">
        <v>0</v>
      </c>
      <c r="BE23" s="190">
        <v>0</v>
      </c>
      <c r="BF23" s="190">
        <v>375005</v>
      </c>
      <c r="BG23" s="190">
        <v>379000</v>
      </c>
      <c r="BH23" s="190">
        <v>375100</v>
      </c>
      <c r="BI23" s="190">
        <v>7000</v>
      </c>
      <c r="BJ23" s="190">
        <v>0</v>
      </c>
      <c r="BK23" s="190"/>
      <c r="BL23" s="190" t="s">
        <v>306</v>
      </c>
      <c r="BM23" s="190">
        <v>7000</v>
      </c>
      <c r="BN23" s="190">
        <v>-999999</v>
      </c>
      <c r="BO23" s="190">
        <v>380543</v>
      </c>
      <c r="BP23" s="190">
        <v>380543</v>
      </c>
      <c r="BQ23" s="190">
        <v>62</v>
      </c>
      <c r="BR23" s="190">
        <v>379629</v>
      </c>
      <c r="BS23" s="190">
        <v>0</v>
      </c>
      <c r="BT23" s="190">
        <v>100</v>
      </c>
      <c r="BU23" s="190">
        <v>1</v>
      </c>
      <c r="BV23" s="190">
        <v>914</v>
      </c>
      <c r="BW23" s="190">
        <v>380543</v>
      </c>
      <c r="BX23" s="190">
        <v>379571</v>
      </c>
      <c r="BY23" s="190">
        <v>386467</v>
      </c>
      <c r="BZ23" s="190">
        <v>379567</v>
      </c>
      <c r="CA23" s="190">
        <v>10000</v>
      </c>
      <c r="CB23" s="190">
        <v>0</v>
      </c>
      <c r="CC23" s="190"/>
      <c r="CD23" s="190">
        <v>10000</v>
      </c>
      <c r="CE23" s="190">
        <v>-1</v>
      </c>
      <c r="CF23" s="190">
        <v>396000</v>
      </c>
      <c r="CG23" s="190">
        <v>0</v>
      </c>
      <c r="CH23" s="190">
        <v>396000</v>
      </c>
      <c r="CI23" s="190">
        <v>1</v>
      </c>
      <c r="CJ23" s="190">
        <v>386101</v>
      </c>
      <c r="CK23" s="190">
        <v>0</v>
      </c>
      <c r="CL23" s="190">
        <v>100</v>
      </c>
      <c r="CM23" s="190"/>
      <c r="CN23" s="190">
        <v>0</v>
      </c>
      <c r="CO23" s="190">
        <v>0</v>
      </c>
      <c r="CP23" s="190">
        <v>386000</v>
      </c>
      <c r="CQ23" s="190">
        <v>396000</v>
      </c>
      <c r="CR23" s="190">
        <v>386100</v>
      </c>
      <c r="CS23" s="190">
        <v>15</v>
      </c>
      <c r="CT23" s="190">
        <v>4</v>
      </c>
      <c r="CU23" s="190">
        <v>0</v>
      </c>
      <c r="CV23" s="190">
        <v>9</v>
      </c>
      <c r="CW23" s="190">
        <v>10</v>
      </c>
      <c r="CX23" s="190">
        <v>1</v>
      </c>
      <c r="CY23" s="190">
        <v>2</v>
      </c>
      <c r="CZ23" s="190">
        <v>3</v>
      </c>
      <c r="DA23" s="190">
        <v>4</v>
      </c>
      <c r="DB23" s="190">
        <v>5</v>
      </c>
      <c r="DC23" s="190">
        <v>6</v>
      </c>
      <c r="DD23" s="190">
        <v>7</v>
      </c>
      <c r="DE23" s="190">
        <v>8</v>
      </c>
      <c r="DF23" s="190" t="s">
        <v>415</v>
      </c>
      <c r="DG23" s="190" t="s">
        <v>308</v>
      </c>
      <c r="DH23" s="190" t="s">
        <v>18</v>
      </c>
      <c r="DI23" s="190">
        <v>0</v>
      </c>
      <c r="DJ23" s="190">
        <v>0</v>
      </c>
      <c r="DK23" s="190">
        <v>379112</v>
      </c>
      <c r="DL23" s="190">
        <v>12</v>
      </c>
      <c r="DM23" s="190">
        <v>379112</v>
      </c>
      <c r="DN23" s="190">
        <v>50</v>
      </c>
      <c r="DO23" s="190">
        <v>7000</v>
      </c>
      <c r="DP23" s="190">
        <v>0</v>
      </c>
      <c r="DQ23" s="190"/>
      <c r="DR23" s="190">
        <v>7000</v>
      </c>
      <c r="DS23" s="190">
        <v>-1497</v>
      </c>
      <c r="DT23" s="190">
        <v>386000</v>
      </c>
      <c r="DU23" s="190">
        <v>0</v>
      </c>
      <c r="DV23" s="190">
        <v>386000</v>
      </c>
      <c r="DW23" s="190">
        <v>1497</v>
      </c>
      <c r="DX23" s="190">
        <v>380597</v>
      </c>
      <c r="DY23" s="190">
        <v>5504</v>
      </c>
      <c r="DZ23" s="190">
        <v>100</v>
      </c>
      <c r="EA23" s="190"/>
      <c r="EB23" s="190">
        <v>0</v>
      </c>
      <c r="EC23" s="190">
        <v>0</v>
      </c>
      <c r="ED23" s="190">
        <v>380545</v>
      </c>
      <c r="EE23" s="190">
        <v>386000</v>
      </c>
      <c r="EF23" s="190">
        <v>379100</v>
      </c>
      <c r="EG23" s="190">
        <v>22</v>
      </c>
    </row>
    <row r="24" spans="1:137" x14ac:dyDescent="0.2">
      <c r="A24" s="190" t="s">
        <v>301</v>
      </c>
      <c r="B24" s="263" t="s">
        <v>426</v>
      </c>
      <c r="C24" s="190">
        <v>1</v>
      </c>
      <c r="D24" s="190" t="s">
        <v>396</v>
      </c>
      <c r="E24" s="190" t="s">
        <v>397</v>
      </c>
      <c r="F24" s="190">
        <v>59.956000000000003</v>
      </c>
      <c r="G24" s="190" t="s">
        <v>302</v>
      </c>
      <c r="H24" s="190">
        <v>1</v>
      </c>
      <c r="I24" s="190">
        <v>6000</v>
      </c>
      <c r="J24" s="190">
        <v>-57</v>
      </c>
      <c r="K24" s="190">
        <v>0</v>
      </c>
      <c r="L24" s="190">
        <v>24000</v>
      </c>
      <c r="M24" s="190">
        <v>57</v>
      </c>
      <c r="N24" s="190">
        <v>18157</v>
      </c>
      <c r="O24" s="190">
        <v>5954</v>
      </c>
      <c r="P24" s="190"/>
      <c r="Q24" s="190">
        <v>0</v>
      </c>
      <c r="R24" s="190">
        <v>0</v>
      </c>
      <c r="S24" s="190">
        <v>-725311415</v>
      </c>
      <c r="T24" s="190" t="s">
        <v>303</v>
      </c>
      <c r="U24" s="190" t="s">
        <v>304</v>
      </c>
      <c r="V24" s="190" t="s">
        <v>304</v>
      </c>
      <c r="W24" s="190" t="s">
        <v>398</v>
      </c>
      <c r="X24" s="190" t="s">
        <v>399</v>
      </c>
      <c r="Y24" s="260">
        <v>0.38542824074074072</v>
      </c>
      <c r="Z24" s="190" t="s">
        <v>305</v>
      </c>
      <c r="AA24" s="190" t="s">
        <v>306</v>
      </c>
      <c r="AB24" s="190">
        <v>-1</v>
      </c>
      <c r="AC24" s="190">
        <v>-999999</v>
      </c>
      <c r="AD24" s="190">
        <v>18100</v>
      </c>
      <c r="AE24" s="190">
        <v>41</v>
      </c>
      <c r="AF24" s="190">
        <v>6999</v>
      </c>
      <c r="AG24" s="190">
        <v>0</v>
      </c>
      <c r="AH24" s="190">
        <v>5</v>
      </c>
      <c r="AI24" s="190">
        <v>11101</v>
      </c>
      <c r="AJ24" s="190">
        <v>18100</v>
      </c>
      <c r="AK24" s="190">
        <v>23</v>
      </c>
      <c r="AL24" s="190">
        <v>23</v>
      </c>
      <c r="AM24" s="190">
        <v>1</v>
      </c>
      <c r="AN24" s="190">
        <v>23</v>
      </c>
      <c r="AO24" s="258">
        <v>9</v>
      </c>
      <c r="AP24" s="190" t="s">
        <v>307</v>
      </c>
      <c r="AQ24" s="190">
        <v>4000</v>
      </c>
      <c r="AR24" s="190">
        <v>0</v>
      </c>
      <c r="AS24" s="259"/>
      <c r="AT24" s="190">
        <v>4000</v>
      </c>
      <c r="AU24" s="190">
        <v>-8</v>
      </c>
      <c r="AV24" s="190">
        <v>400000</v>
      </c>
      <c r="AW24" s="190">
        <v>0</v>
      </c>
      <c r="AX24" s="190">
        <v>400000</v>
      </c>
      <c r="AY24" s="190">
        <v>8</v>
      </c>
      <c r="AZ24" s="190">
        <v>396108</v>
      </c>
      <c r="BA24" s="259">
        <v>4003</v>
      </c>
      <c r="BB24" s="190">
        <v>100</v>
      </c>
      <c r="BC24" s="190"/>
      <c r="BD24" s="190">
        <v>0</v>
      </c>
      <c r="BE24" s="190">
        <v>0</v>
      </c>
      <c r="BF24" s="190">
        <v>396005</v>
      </c>
      <c r="BG24" s="190">
        <v>400000</v>
      </c>
      <c r="BH24" s="190">
        <v>396100</v>
      </c>
      <c r="BI24" s="190">
        <v>7000</v>
      </c>
      <c r="BJ24" s="190">
        <v>0</v>
      </c>
      <c r="BK24" s="190"/>
      <c r="BL24" s="190" t="s">
        <v>306</v>
      </c>
      <c r="BM24" s="190">
        <v>7000</v>
      </c>
      <c r="BN24" s="190">
        <v>-999999</v>
      </c>
      <c r="BO24" s="190">
        <v>402797</v>
      </c>
      <c r="BP24" s="190">
        <v>402797</v>
      </c>
      <c r="BQ24" s="190">
        <v>63</v>
      </c>
      <c r="BR24" s="190">
        <v>402380</v>
      </c>
      <c r="BS24" s="190">
        <v>0</v>
      </c>
      <c r="BT24" s="190">
        <v>100</v>
      </c>
      <c r="BU24" s="190">
        <v>1</v>
      </c>
      <c r="BV24" s="190">
        <v>417</v>
      </c>
      <c r="BW24" s="190">
        <v>402797</v>
      </c>
      <c r="BX24" s="190">
        <v>402322</v>
      </c>
      <c r="BY24" s="190">
        <v>409217</v>
      </c>
      <c r="BZ24" s="190">
        <v>402317</v>
      </c>
      <c r="CA24" s="190">
        <v>4000</v>
      </c>
      <c r="CB24" s="190">
        <v>0</v>
      </c>
      <c r="CC24" s="190"/>
      <c r="CD24" s="190">
        <v>4000</v>
      </c>
      <c r="CE24" s="190">
        <v>0</v>
      </c>
      <c r="CF24" s="190">
        <v>411000</v>
      </c>
      <c r="CG24" s="190">
        <v>0</v>
      </c>
      <c r="CH24" s="190">
        <v>411000</v>
      </c>
      <c r="CI24" s="190">
        <v>0</v>
      </c>
      <c r="CJ24" s="190">
        <v>407100</v>
      </c>
      <c r="CK24" s="190">
        <v>0</v>
      </c>
      <c r="CL24" s="190">
        <v>100</v>
      </c>
      <c r="CM24" s="190"/>
      <c r="CN24" s="190">
        <v>0</v>
      </c>
      <c r="CO24" s="190">
        <v>0</v>
      </c>
      <c r="CP24" s="190">
        <v>407000</v>
      </c>
      <c r="CQ24" s="190">
        <v>411000</v>
      </c>
      <c r="CR24" s="190">
        <v>407100</v>
      </c>
      <c r="CS24" s="190">
        <v>15</v>
      </c>
      <c r="CT24" s="190">
        <v>4</v>
      </c>
      <c r="CU24" s="190">
        <v>0</v>
      </c>
      <c r="CV24" s="190">
        <v>9</v>
      </c>
      <c r="CW24" s="190">
        <v>10</v>
      </c>
      <c r="CX24" s="190">
        <v>1</v>
      </c>
      <c r="CY24" s="190">
        <v>2</v>
      </c>
      <c r="CZ24" s="190">
        <v>3</v>
      </c>
      <c r="DA24" s="190">
        <v>4</v>
      </c>
      <c r="DB24" s="190">
        <v>5</v>
      </c>
      <c r="DC24" s="190">
        <v>6</v>
      </c>
      <c r="DD24" s="190">
        <v>7</v>
      </c>
      <c r="DE24" s="190">
        <v>8</v>
      </c>
      <c r="DF24" s="190" t="s">
        <v>403</v>
      </c>
      <c r="DG24" s="190" t="s">
        <v>308</v>
      </c>
      <c r="DH24" s="190" t="s">
        <v>18</v>
      </c>
      <c r="DI24" s="190">
        <v>0</v>
      </c>
      <c r="DJ24" s="190">
        <v>0</v>
      </c>
      <c r="DK24" s="190">
        <v>400111</v>
      </c>
      <c r="DL24" s="190">
        <v>11</v>
      </c>
      <c r="DM24" s="190">
        <v>400111</v>
      </c>
      <c r="DN24" s="190">
        <v>50</v>
      </c>
      <c r="DO24" s="190">
        <v>7000</v>
      </c>
      <c r="DP24" s="190">
        <v>0</v>
      </c>
      <c r="DQ24" s="190"/>
      <c r="DR24" s="190">
        <v>7000</v>
      </c>
      <c r="DS24" s="190">
        <v>-2747</v>
      </c>
      <c r="DT24" s="190">
        <v>407000</v>
      </c>
      <c r="DU24" s="190">
        <v>0</v>
      </c>
      <c r="DV24" s="190">
        <v>407000</v>
      </c>
      <c r="DW24" s="190">
        <v>2747</v>
      </c>
      <c r="DX24" s="190">
        <v>402847</v>
      </c>
      <c r="DY24" s="190">
        <v>4253</v>
      </c>
      <c r="DZ24" s="190">
        <v>100</v>
      </c>
      <c r="EA24" s="190"/>
      <c r="EB24" s="190">
        <v>0</v>
      </c>
      <c r="EC24" s="190">
        <v>0</v>
      </c>
      <c r="ED24" s="190">
        <v>402800</v>
      </c>
      <c r="EE24" s="190">
        <v>407000</v>
      </c>
      <c r="EF24" s="190">
        <v>400100</v>
      </c>
      <c r="EG24" s="190">
        <v>23</v>
      </c>
    </row>
    <row r="25" spans="1:137" x14ac:dyDescent="0.2">
      <c r="A25" s="190" t="s">
        <v>301</v>
      </c>
      <c r="B25" s="263" t="s">
        <v>426</v>
      </c>
      <c r="C25" s="190">
        <v>1</v>
      </c>
      <c r="D25" s="190" t="s">
        <v>396</v>
      </c>
      <c r="E25" s="190" t="s">
        <v>397</v>
      </c>
      <c r="F25" s="190">
        <v>59.956000000000003</v>
      </c>
      <c r="G25" s="190" t="s">
        <v>302</v>
      </c>
      <c r="H25" s="190">
        <v>1</v>
      </c>
      <c r="I25" s="190">
        <v>6000</v>
      </c>
      <c r="J25" s="190">
        <v>-57</v>
      </c>
      <c r="K25" s="190">
        <v>0</v>
      </c>
      <c r="L25" s="190">
        <v>24000</v>
      </c>
      <c r="M25" s="190">
        <v>57</v>
      </c>
      <c r="N25" s="190">
        <v>18157</v>
      </c>
      <c r="O25" s="190">
        <v>5954</v>
      </c>
      <c r="P25" s="190"/>
      <c r="Q25" s="190">
        <v>0</v>
      </c>
      <c r="R25" s="190">
        <v>0</v>
      </c>
      <c r="S25" s="190">
        <v>-725311415</v>
      </c>
      <c r="T25" s="190" t="s">
        <v>303</v>
      </c>
      <c r="U25" s="190" t="s">
        <v>304</v>
      </c>
      <c r="V25" s="190" t="s">
        <v>304</v>
      </c>
      <c r="W25" s="190" t="s">
        <v>398</v>
      </c>
      <c r="X25" s="190" t="s">
        <v>399</v>
      </c>
      <c r="Y25" s="260">
        <v>0.38542824074074072</v>
      </c>
      <c r="Z25" s="190" t="s">
        <v>305</v>
      </c>
      <c r="AA25" s="190" t="s">
        <v>306</v>
      </c>
      <c r="AB25" s="190">
        <v>-1</v>
      </c>
      <c r="AC25" s="190">
        <v>-999999</v>
      </c>
      <c r="AD25" s="190">
        <v>18100</v>
      </c>
      <c r="AE25" s="190">
        <v>41</v>
      </c>
      <c r="AF25" s="190">
        <v>6999</v>
      </c>
      <c r="AG25" s="190">
        <v>0</v>
      </c>
      <c r="AH25" s="190">
        <v>5</v>
      </c>
      <c r="AI25" s="190">
        <v>11101</v>
      </c>
      <c r="AJ25" s="190">
        <v>18100</v>
      </c>
      <c r="AK25" s="190">
        <v>24</v>
      </c>
      <c r="AL25" s="190">
        <v>24</v>
      </c>
      <c r="AM25" s="190">
        <v>1</v>
      </c>
      <c r="AN25" s="190">
        <v>24</v>
      </c>
      <c r="AO25" s="258">
        <v>3</v>
      </c>
      <c r="AP25" s="190" t="s">
        <v>307</v>
      </c>
      <c r="AQ25" s="190">
        <v>4000</v>
      </c>
      <c r="AR25" s="190">
        <v>0</v>
      </c>
      <c r="AS25" s="259"/>
      <c r="AT25" s="190">
        <v>4000</v>
      </c>
      <c r="AU25" s="190">
        <v>-3</v>
      </c>
      <c r="AV25" s="190">
        <v>415000</v>
      </c>
      <c r="AW25" s="190">
        <v>0</v>
      </c>
      <c r="AX25" s="190">
        <v>415000</v>
      </c>
      <c r="AY25" s="190">
        <v>3</v>
      </c>
      <c r="AZ25" s="190">
        <v>411103</v>
      </c>
      <c r="BA25" s="259">
        <v>4003</v>
      </c>
      <c r="BB25" s="190">
        <v>100</v>
      </c>
      <c r="BC25" s="190"/>
      <c r="BD25" s="190">
        <v>0</v>
      </c>
      <c r="BE25" s="190">
        <v>0</v>
      </c>
      <c r="BF25" s="190">
        <v>411005</v>
      </c>
      <c r="BG25" s="190">
        <v>415000</v>
      </c>
      <c r="BH25" s="190">
        <v>411100</v>
      </c>
      <c r="BI25" s="190">
        <v>7000</v>
      </c>
      <c r="BJ25" s="190">
        <v>0</v>
      </c>
      <c r="BK25" s="190"/>
      <c r="BL25" s="190" t="s">
        <v>306</v>
      </c>
      <c r="BM25" s="190">
        <v>7000</v>
      </c>
      <c r="BN25" s="190">
        <v>-999999</v>
      </c>
      <c r="BO25" s="190">
        <v>417012</v>
      </c>
      <c r="BP25" s="190">
        <v>417012</v>
      </c>
      <c r="BQ25" s="190">
        <v>62</v>
      </c>
      <c r="BR25" s="190">
        <v>416474</v>
      </c>
      <c r="BS25" s="190">
        <v>0</v>
      </c>
      <c r="BT25" s="190">
        <v>100</v>
      </c>
      <c r="BU25" s="190">
        <v>1</v>
      </c>
      <c r="BV25" s="190">
        <v>538</v>
      </c>
      <c r="BW25" s="190">
        <v>417012</v>
      </c>
      <c r="BX25" s="190">
        <v>416416</v>
      </c>
      <c r="BY25" s="190">
        <v>423312</v>
      </c>
      <c r="BZ25" s="190">
        <v>416412</v>
      </c>
      <c r="CA25" s="190">
        <v>2000</v>
      </c>
      <c r="CB25" s="190">
        <v>0</v>
      </c>
      <c r="CC25" s="190"/>
      <c r="CD25" s="190">
        <v>2000</v>
      </c>
      <c r="CE25" s="190">
        <v>-11</v>
      </c>
      <c r="CF25" s="190">
        <v>424000</v>
      </c>
      <c r="CG25" s="190">
        <v>0</v>
      </c>
      <c r="CH25" s="190">
        <v>424000</v>
      </c>
      <c r="CI25" s="190">
        <v>11</v>
      </c>
      <c r="CJ25" s="190">
        <v>422111</v>
      </c>
      <c r="CK25" s="190">
        <v>0</v>
      </c>
      <c r="CL25" s="190">
        <v>100</v>
      </c>
      <c r="CM25" s="190"/>
      <c r="CN25" s="190">
        <v>0</v>
      </c>
      <c r="CO25" s="190">
        <v>0</v>
      </c>
      <c r="CP25" s="190">
        <v>422000</v>
      </c>
      <c r="CQ25" s="190">
        <v>424000</v>
      </c>
      <c r="CR25" s="190">
        <v>422100</v>
      </c>
      <c r="CS25" s="190">
        <v>15</v>
      </c>
      <c r="CT25" s="190">
        <v>4</v>
      </c>
      <c r="CU25" s="190">
        <v>0</v>
      </c>
      <c r="CV25" s="190">
        <v>9</v>
      </c>
      <c r="CW25" s="190">
        <v>10</v>
      </c>
      <c r="CX25" s="190">
        <v>1</v>
      </c>
      <c r="CY25" s="190">
        <v>2</v>
      </c>
      <c r="CZ25" s="190">
        <v>3</v>
      </c>
      <c r="DA25" s="190">
        <v>4</v>
      </c>
      <c r="DB25" s="190">
        <v>5</v>
      </c>
      <c r="DC25" s="190">
        <v>6</v>
      </c>
      <c r="DD25" s="190">
        <v>7</v>
      </c>
      <c r="DE25" s="190">
        <v>8</v>
      </c>
      <c r="DF25" s="190" t="s">
        <v>416</v>
      </c>
      <c r="DG25" s="190" t="s">
        <v>308</v>
      </c>
      <c r="DH25" s="190" t="s">
        <v>18</v>
      </c>
      <c r="DI25" s="190">
        <v>0</v>
      </c>
      <c r="DJ25" s="190">
        <v>0</v>
      </c>
      <c r="DK25" s="190">
        <v>415106</v>
      </c>
      <c r="DL25" s="190">
        <v>6</v>
      </c>
      <c r="DM25" s="190">
        <v>415106</v>
      </c>
      <c r="DN25" s="190">
        <v>50</v>
      </c>
      <c r="DO25" s="190">
        <v>7000</v>
      </c>
      <c r="DP25" s="190">
        <v>0</v>
      </c>
      <c r="DQ25" s="190"/>
      <c r="DR25" s="190">
        <v>7000</v>
      </c>
      <c r="DS25" s="190">
        <v>-1974</v>
      </c>
      <c r="DT25" s="190">
        <v>422000</v>
      </c>
      <c r="DU25" s="190">
        <v>0</v>
      </c>
      <c r="DV25" s="190">
        <v>422000</v>
      </c>
      <c r="DW25" s="190">
        <v>1974</v>
      </c>
      <c r="DX25" s="190">
        <v>417074</v>
      </c>
      <c r="DY25" s="190">
        <v>5037</v>
      </c>
      <c r="DZ25" s="190">
        <v>100</v>
      </c>
      <c r="EA25" s="190"/>
      <c r="EB25" s="190">
        <v>0</v>
      </c>
      <c r="EC25" s="190">
        <v>0</v>
      </c>
      <c r="ED25" s="190">
        <v>417015</v>
      </c>
      <c r="EE25" s="190">
        <v>422000</v>
      </c>
      <c r="EF25" s="190">
        <v>415100</v>
      </c>
      <c r="EG25" s="190">
        <v>24</v>
      </c>
    </row>
    <row r="26" spans="1:137" x14ac:dyDescent="0.2">
      <c r="A26" s="190" t="s">
        <v>301</v>
      </c>
      <c r="B26" s="263" t="s">
        <v>426</v>
      </c>
      <c r="C26" s="190">
        <v>1</v>
      </c>
      <c r="D26" s="190" t="s">
        <v>396</v>
      </c>
      <c r="E26" s="190" t="s">
        <v>397</v>
      </c>
      <c r="F26" s="190">
        <v>59.956000000000003</v>
      </c>
      <c r="G26" s="190" t="s">
        <v>302</v>
      </c>
      <c r="H26" s="190">
        <v>1</v>
      </c>
      <c r="I26" s="190">
        <v>6000</v>
      </c>
      <c r="J26" s="190">
        <v>-57</v>
      </c>
      <c r="K26" s="190">
        <v>0</v>
      </c>
      <c r="L26" s="190">
        <v>24000</v>
      </c>
      <c r="M26" s="190">
        <v>57</v>
      </c>
      <c r="N26" s="190">
        <v>18157</v>
      </c>
      <c r="O26" s="190">
        <v>5954</v>
      </c>
      <c r="P26" s="190"/>
      <c r="Q26" s="190">
        <v>0</v>
      </c>
      <c r="R26" s="190">
        <v>0</v>
      </c>
      <c r="S26" s="190">
        <v>-725311415</v>
      </c>
      <c r="T26" s="190" t="s">
        <v>303</v>
      </c>
      <c r="U26" s="190" t="s">
        <v>304</v>
      </c>
      <c r="V26" s="190" t="s">
        <v>304</v>
      </c>
      <c r="W26" s="190" t="s">
        <v>398</v>
      </c>
      <c r="X26" s="190" t="s">
        <v>399</v>
      </c>
      <c r="Y26" s="260">
        <v>0.38542824074074072</v>
      </c>
      <c r="Z26" s="190" t="s">
        <v>305</v>
      </c>
      <c r="AA26" s="190" t="s">
        <v>306</v>
      </c>
      <c r="AB26" s="190">
        <v>-1</v>
      </c>
      <c r="AC26" s="190">
        <v>-999999</v>
      </c>
      <c r="AD26" s="190">
        <v>18100</v>
      </c>
      <c r="AE26" s="190">
        <v>41</v>
      </c>
      <c r="AF26" s="190">
        <v>6999</v>
      </c>
      <c r="AG26" s="190">
        <v>0</v>
      </c>
      <c r="AH26" s="190">
        <v>5</v>
      </c>
      <c r="AI26" s="190">
        <v>11101</v>
      </c>
      <c r="AJ26" s="190">
        <v>18100</v>
      </c>
      <c r="AK26" s="190">
        <v>25</v>
      </c>
      <c r="AL26" s="190">
        <v>25</v>
      </c>
      <c r="AM26" s="190">
        <v>1</v>
      </c>
      <c r="AN26" s="190">
        <v>25</v>
      </c>
      <c r="AO26" s="258">
        <v>0</v>
      </c>
      <c r="AP26" s="190" t="s">
        <v>307</v>
      </c>
      <c r="AQ26" s="190">
        <v>4000</v>
      </c>
      <c r="AR26" s="190">
        <v>0</v>
      </c>
      <c r="AS26" s="259"/>
      <c r="AT26" s="190">
        <v>4000</v>
      </c>
      <c r="AU26" s="190">
        <v>-13</v>
      </c>
      <c r="AV26" s="190">
        <v>428000</v>
      </c>
      <c r="AW26" s="190">
        <v>0</v>
      </c>
      <c r="AX26" s="190">
        <v>428000</v>
      </c>
      <c r="AY26" s="190">
        <v>13</v>
      </c>
      <c r="AZ26" s="190">
        <v>424113</v>
      </c>
      <c r="BA26" s="259">
        <v>4003</v>
      </c>
      <c r="BB26" s="190">
        <v>100</v>
      </c>
      <c r="BC26" s="190"/>
      <c r="BD26" s="190">
        <v>0</v>
      </c>
      <c r="BE26" s="190">
        <v>0</v>
      </c>
      <c r="BF26" s="190">
        <v>424005</v>
      </c>
      <c r="BG26" s="190">
        <v>428000</v>
      </c>
      <c r="BH26" s="190">
        <v>424100</v>
      </c>
      <c r="BI26" s="190">
        <v>7000</v>
      </c>
      <c r="BJ26" s="190">
        <v>0</v>
      </c>
      <c r="BK26" s="190"/>
      <c r="BL26" s="190" t="s">
        <v>306</v>
      </c>
      <c r="BM26" s="190">
        <v>7000</v>
      </c>
      <c r="BN26" s="190">
        <v>-999999</v>
      </c>
      <c r="BO26" s="190">
        <v>430987</v>
      </c>
      <c r="BP26" s="190">
        <v>430987</v>
      </c>
      <c r="BQ26" s="190">
        <v>53</v>
      </c>
      <c r="BR26" s="190">
        <v>430584</v>
      </c>
      <c r="BS26" s="190">
        <v>0</v>
      </c>
      <c r="BT26" s="190">
        <v>100</v>
      </c>
      <c r="BU26" s="190">
        <v>1</v>
      </c>
      <c r="BV26" s="190">
        <v>403</v>
      </c>
      <c r="BW26" s="190">
        <v>430987</v>
      </c>
      <c r="BX26" s="190">
        <v>430535</v>
      </c>
      <c r="BY26" s="190">
        <v>437431</v>
      </c>
      <c r="BZ26" s="190">
        <v>430531</v>
      </c>
      <c r="CA26" s="190">
        <v>4000</v>
      </c>
      <c r="CB26" s="190">
        <v>0</v>
      </c>
      <c r="CC26" s="190"/>
      <c r="CD26" s="190">
        <v>4000</v>
      </c>
      <c r="CE26" s="190">
        <v>-4</v>
      </c>
      <c r="CF26" s="190">
        <v>439000</v>
      </c>
      <c r="CG26" s="190">
        <v>0</v>
      </c>
      <c r="CH26" s="190">
        <v>439000</v>
      </c>
      <c r="CI26" s="190">
        <v>4</v>
      </c>
      <c r="CJ26" s="190">
        <v>435104</v>
      </c>
      <c r="CK26" s="190">
        <v>0</v>
      </c>
      <c r="CL26" s="190">
        <v>100</v>
      </c>
      <c r="CM26" s="190"/>
      <c r="CN26" s="190">
        <v>0</v>
      </c>
      <c r="CO26" s="190">
        <v>0</v>
      </c>
      <c r="CP26" s="190">
        <v>435000</v>
      </c>
      <c r="CQ26" s="190">
        <v>439000</v>
      </c>
      <c r="CR26" s="190">
        <v>435100</v>
      </c>
      <c r="CS26" s="190">
        <v>15</v>
      </c>
      <c r="CT26" s="190">
        <v>4</v>
      </c>
      <c r="CU26" s="190">
        <v>0</v>
      </c>
      <c r="CV26" s="190">
        <v>9</v>
      </c>
      <c r="CW26" s="190">
        <v>10</v>
      </c>
      <c r="CX26" s="190">
        <v>1</v>
      </c>
      <c r="CY26" s="190">
        <v>2</v>
      </c>
      <c r="CZ26" s="190">
        <v>3</v>
      </c>
      <c r="DA26" s="190">
        <v>4</v>
      </c>
      <c r="DB26" s="190">
        <v>5</v>
      </c>
      <c r="DC26" s="190">
        <v>6</v>
      </c>
      <c r="DD26" s="190">
        <v>7</v>
      </c>
      <c r="DE26" s="190">
        <v>8</v>
      </c>
      <c r="DF26" s="190" t="s">
        <v>409</v>
      </c>
      <c r="DG26" s="190" t="s">
        <v>308</v>
      </c>
      <c r="DH26" s="190" t="s">
        <v>18</v>
      </c>
      <c r="DI26" s="190">
        <v>0</v>
      </c>
      <c r="DJ26" s="190">
        <v>0</v>
      </c>
      <c r="DK26" s="190">
        <v>428116</v>
      </c>
      <c r="DL26" s="190">
        <v>16</v>
      </c>
      <c r="DM26" s="190">
        <v>428116</v>
      </c>
      <c r="DN26" s="190">
        <v>50</v>
      </c>
      <c r="DO26" s="190">
        <v>7000</v>
      </c>
      <c r="DP26" s="190">
        <v>0</v>
      </c>
      <c r="DQ26" s="190"/>
      <c r="DR26" s="190">
        <v>7000</v>
      </c>
      <c r="DS26" s="190">
        <v>-2935</v>
      </c>
      <c r="DT26" s="190">
        <v>435000</v>
      </c>
      <c r="DU26" s="190">
        <v>0</v>
      </c>
      <c r="DV26" s="190">
        <v>435000</v>
      </c>
      <c r="DW26" s="190">
        <v>2935</v>
      </c>
      <c r="DX26" s="190">
        <v>431035</v>
      </c>
      <c r="DY26" s="190">
        <v>4069</v>
      </c>
      <c r="DZ26" s="190">
        <v>100</v>
      </c>
      <c r="EA26" s="190"/>
      <c r="EB26" s="190">
        <v>0</v>
      </c>
      <c r="EC26" s="190">
        <v>0</v>
      </c>
      <c r="ED26" s="190">
        <v>430990</v>
      </c>
      <c r="EE26" s="190">
        <v>435000</v>
      </c>
      <c r="EF26" s="190">
        <v>428100</v>
      </c>
      <c r="EG26" s="190">
        <v>25</v>
      </c>
    </row>
    <row r="27" spans="1:137" x14ac:dyDescent="0.2">
      <c r="A27" s="190" t="s">
        <v>301</v>
      </c>
      <c r="B27" s="263" t="s">
        <v>426</v>
      </c>
      <c r="C27" s="190">
        <v>1</v>
      </c>
      <c r="D27" s="190" t="s">
        <v>396</v>
      </c>
      <c r="E27" s="190" t="s">
        <v>397</v>
      </c>
      <c r="F27" s="190">
        <v>59.956000000000003</v>
      </c>
      <c r="G27" s="190" t="s">
        <v>302</v>
      </c>
      <c r="H27" s="190">
        <v>1</v>
      </c>
      <c r="I27" s="190">
        <v>6000</v>
      </c>
      <c r="J27" s="190">
        <v>-57</v>
      </c>
      <c r="K27" s="190">
        <v>0</v>
      </c>
      <c r="L27" s="190">
        <v>24000</v>
      </c>
      <c r="M27" s="190">
        <v>57</v>
      </c>
      <c r="N27" s="190">
        <v>18157</v>
      </c>
      <c r="O27" s="190">
        <v>5954</v>
      </c>
      <c r="P27" s="190"/>
      <c r="Q27" s="190">
        <v>0</v>
      </c>
      <c r="R27" s="190">
        <v>0</v>
      </c>
      <c r="S27" s="190">
        <v>-725311415</v>
      </c>
      <c r="T27" s="190" t="s">
        <v>303</v>
      </c>
      <c r="U27" s="190" t="s">
        <v>304</v>
      </c>
      <c r="V27" s="190" t="s">
        <v>304</v>
      </c>
      <c r="W27" s="190" t="s">
        <v>398</v>
      </c>
      <c r="X27" s="190" t="s">
        <v>399</v>
      </c>
      <c r="Y27" s="260">
        <v>0.38542824074074072</v>
      </c>
      <c r="Z27" s="190" t="s">
        <v>305</v>
      </c>
      <c r="AA27" s="190" t="s">
        <v>306</v>
      </c>
      <c r="AB27" s="190">
        <v>-1</v>
      </c>
      <c r="AC27" s="190">
        <v>-999999</v>
      </c>
      <c r="AD27" s="190">
        <v>18100</v>
      </c>
      <c r="AE27" s="190">
        <v>41</v>
      </c>
      <c r="AF27" s="190">
        <v>6999</v>
      </c>
      <c r="AG27" s="190">
        <v>0</v>
      </c>
      <c r="AH27" s="190">
        <v>5</v>
      </c>
      <c r="AI27" s="190">
        <v>11101</v>
      </c>
      <c r="AJ27" s="190">
        <v>18100</v>
      </c>
      <c r="AK27" s="190">
        <v>26</v>
      </c>
      <c r="AL27" s="190">
        <v>26</v>
      </c>
      <c r="AM27" s="190">
        <v>1</v>
      </c>
      <c r="AN27" s="190">
        <v>26</v>
      </c>
      <c r="AO27" s="258">
        <v>8</v>
      </c>
      <c r="AP27" s="190" t="s">
        <v>307</v>
      </c>
      <c r="AQ27" s="190">
        <v>4000</v>
      </c>
      <c r="AR27" s="190">
        <v>0</v>
      </c>
      <c r="AS27" s="259"/>
      <c r="AT27" s="190">
        <v>4000</v>
      </c>
      <c r="AU27" s="190">
        <v>-7</v>
      </c>
      <c r="AV27" s="190">
        <v>443000</v>
      </c>
      <c r="AW27" s="190">
        <v>0</v>
      </c>
      <c r="AX27" s="190">
        <v>443000</v>
      </c>
      <c r="AY27" s="190">
        <v>7</v>
      </c>
      <c r="AZ27" s="190">
        <v>439107</v>
      </c>
      <c r="BA27" s="259">
        <v>4003</v>
      </c>
      <c r="BB27" s="190">
        <v>100</v>
      </c>
      <c r="BC27" s="190"/>
      <c r="BD27" s="190">
        <v>0</v>
      </c>
      <c r="BE27" s="190">
        <v>0</v>
      </c>
      <c r="BF27" s="190">
        <v>439005</v>
      </c>
      <c r="BG27" s="190">
        <v>443000</v>
      </c>
      <c r="BH27" s="190">
        <v>439100</v>
      </c>
      <c r="BI27" s="190">
        <v>7000</v>
      </c>
      <c r="BJ27" s="190">
        <v>0</v>
      </c>
      <c r="BK27" s="190"/>
      <c r="BL27" s="190" t="s">
        <v>306</v>
      </c>
      <c r="BM27" s="190">
        <v>7000</v>
      </c>
      <c r="BN27" s="190">
        <v>-999999</v>
      </c>
      <c r="BO27" s="190">
        <v>445394</v>
      </c>
      <c r="BP27" s="190">
        <v>445394</v>
      </c>
      <c r="BQ27" s="190">
        <v>65</v>
      </c>
      <c r="BR27" s="190">
        <v>444995</v>
      </c>
      <c r="BS27" s="190">
        <v>0</v>
      </c>
      <c r="BT27" s="190">
        <v>100</v>
      </c>
      <c r="BU27" s="190">
        <v>1</v>
      </c>
      <c r="BV27" s="190">
        <v>399</v>
      </c>
      <c r="BW27" s="190">
        <v>445394</v>
      </c>
      <c r="BX27" s="190">
        <v>444934</v>
      </c>
      <c r="BY27" s="190">
        <v>451830</v>
      </c>
      <c r="BZ27" s="190">
        <v>444930</v>
      </c>
      <c r="CA27" s="190">
        <v>6000</v>
      </c>
      <c r="CB27" s="190">
        <v>0</v>
      </c>
      <c r="CC27" s="190"/>
      <c r="CD27" s="190">
        <v>6000</v>
      </c>
      <c r="CE27" s="190">
        <v>-16</v>
      </c>
      <c r="CF27" s="190">
        <v>456000</v>
      </c>
      <c r="CG27" s="190">
        <v>0</v>
      </c>
      <c r="CH27" s="190">
        <v>456000</v>
      </c>
      <c r="CI27" s="190">
        <v>16</v>
      </c>
      <c r="CJ27" s="190">
        <v>450116</v>
      </c>
      <c r="CK27" s="190">
        <v>0</v>
      </c>
      <c r="CL27" s="190">
        <v>100</v>
      </c>
      <c r="CM27" s="190"/>
      <c r="CN27" s="190">
        <v>0</v>
      </c>
      <c r="CO27" s="190">
        <v>0</v>
      </c>
      <c r="CP27" s="190">
        <v>450000</v>
      </c>
      <c r="CQ27" s="190">
        <v>456000</v>
      </c>
      <c r="CR27" s="190">
        <v>450100</v>
      </c>
      <c r="CS27" s="190">
        <v>15</v>
      </c>
      <c r="CT27" s="190">
        <v>4</v>
      </c>
      <c r="CU27" s="190">
        <v>0</v>
      </c>
      <c r="CV27" s="190">
        <v>9</v>
      </c>
      <c r="CW27" s="190">
        <v>10</v>
      </c>
      <c r="CX27" s="190">
        <v>1</v>
      </c>
      <c r="CY27" s="190">
        <v>2</v>
      </c>
      <c r="CZ27" s="190">
        <v>3</v>
      </c>
      <c r="DA27" s="190">
        <v>4</v>
      </c>
      <c r="DB27" s="190">
        <v>5</v>
      </c>
      <c r="DC27" s="190">
        <v>6</v>
      </c>
      <c r="DD27" s="190">
        <v>7</v>
      </c>
      <c r="DE27" s="190">
        <v>8</v>
      </c>
      <c r="DF27" s="190" t="s">
        <v>417</v>
      </c>
      <c r="DG27" s="190" t="s">
        <v>308</v>
      </c>
      <c r="DH27" s="190" t="s">
        <v>18</v>
      </c>
      <c r="DI27" s="190">
        <v>0</v>
      </c>
      <c r="DJ27" s="190">
        <v>0</v>
      </c>
      <c r="DK27" s="190">
        <v>443110</v>
      </c>
      <c r="DL27" s="190">
        <v>10</v>
      </c>
      <c r="DM27" s="190">
        <v>443110</v>
      </c>
      <c r="DN27" s="190">
        <v>50</v>
      </c>
      <c r="DO27" s="190">
        <v>7000</v>
      </c>
      <c r="DP27" s="190">
        <v>0</v>
      </c>
      <c r="DQ27" s="190"/>
      <c r="DR27" s="190">
        <v>7000</v>
      </c>
      <c r="DS27" s="190">
        <v>-2346</v>
      </c>
      <c r="DT27" s="190">
        <v>450000</v>
      </c>
      <c r="DU27" s="190">
        <v>0</v>
      </c>
      <c r="DV27" s="190">
        <v>450000</v>
      </c>
      <c r="DW27" s="190">
        <v>2346</v>
      </c>
      <c r="DX27" s="190">
        <v>445446</v>
      </c>
      <c r="DY27" s="190">
        <v>4670</v>
      </c>
      <c r="DZ27" s="190">
        <v>100</v>
      </c>
      <c r="EA27" s="190"/>
      <c r="EB27" s="190">
        <v>0</v>
      </c>
      <c r="EC27" s="190">
        <v>0</v>
      </c>
      <c r="ED27" s="190">
        <v>445396</v>
      </c>
      <c r="EE27" s="190">
        <v>450000</v>
      </c>
      <c r="EF27" s="190">
        <v>443100</v>
      </c>
      <c r="EG27" s="190">
        <v>26</v>
      </c>
    </row>
    <row r="28" spans="1:137" x14ac:dyDescent="0.2">
      <c r="A28" s="190" t="s">
        <v>301</v>
      </c>
      <c r="B28" s="263" t="s">
        <v>426</v>
      </c>
      <c r="C28" s="190">
        <v>1</v>
      </c>
      <c r="D28" s="190" t="s">
        <v>396</v>
      </c>
      <c r="E28" s="190" t="s">
        <v>397</v>
      </c>
      <c r="F28" s="190">
        <v>59.956000000000003</v>
      </c>
      <c r="G28" s="190" t="s">
        <v>302</v>
      </c>
      <c r="H28" s="190">
        <v>1</v>
      </c>
      <c r="I28" s="190">
        <v>6000</v>
      </c>
      <c r="J28" s="190">
        <v>-57</v>
      </c>
      <c r="K28" s="190">
        <v>0</v>
      </c>
      <c r="L28" s="190">
        <v>24000</v>
      </c>
      <c r="M28" s="190">
        <v>57</v>
      </c>
      <c r="N28" s="190">
        <v>18157</v>
      </c>
      <c r="O28" s="190">
        <v>5954</v>
      </c>
      <c r="P28" s="190"/>
      <c r="Q28" s="190">
        <v>0</v>
      </c>
      <c r="R28" s="190">
        <v>0</v>
      </c>
      <c r="S28" s="190">
        <v>-725311415</v>
      </c>
      <c r="T28" s="190" t="s">
        <v>303</v>
      </c>
      <c r="U28" s="190" t="s">
        <v>304</v>
      </c>
      <c r="V28" s="190" t="s">
        <v>304</v>
      </c>
      <c r="W28" s="190" t="s">
        <v>398</v>
      </c>
      <c r="X28" s="190" t="s">
        <v>399</v>
      </c>
      <c r="Y28" s="260">
        <v>0.38542824074074072</v>
      </c>
      <c r="Z28" s="190" t="s">
        <v>305</v>
      </c>
      <c r="AA28" s="190" t="s">
        <v>306</v>
      </c>
      <c r="AB28" s="190">
        <v>-1</v>
      </c>
      <c r="AC28" s="190">
        <v>-999999</v>
      </c>
      <c r="AD28" s="190">
        <v>18100</v>
      </c>
      <c r="AE28" s="190">
        <v>41</v>
      </c>
      <c r="AF28" s="190">
        <v>6999</v>
      </c>
      <c r="AG28" s="190">
        <v>0</v>
      </c>
      <c r="AH28" s="190">
        <v>5</v>
      </c>
      <c r="AI28" s="190">
        <v>11101</v>
      </c>
      <c r="AJ28" s="190">
        <v>18100</v>
      </c>
      <c r="AK28" s="190">
        <v>27</v>
      </c>
      <c r="AL28" s="190">
        <v>27</v>
      </c>
      <c r="AM28" s="190">
        <v>1</v>
      </c>
      <c r="AN28" s="190">
        <v>27</v>
      </c>
      <c r="AO28" s="258">
        <v>0</v>
      </c>
      <c r="AP28" s="190" t="s">
        <v>307</v>
      </c>
      <c r="AQ28" s="190">
        <v>4000</v>
      </c>
      <c r="AR28" s="190">
        <v>0</v>
      </c>
      <c r="AS28" s="259"/>
      <c r="AT28" s="190">
        <v>4000</v>
      </c>
      <c r="AU28" s="190">
        <v>-3</v>
      </c>
      <c r="AV28" s="190">
        <v>460000</v>
      </c>
      <c r="AW28" s="190">
        <v>0</v>
      </c>
      <c r="AX28" s="190">
        <v>460000</v>
      </c>
      <c r="AY28" s="190">
        <v>3</v>
      </c>
      <c r="AZ28" s="190">
        <v>456103</v>
      </c>
      <c r="BA28" s="259">
        <v>4003</v>
      </c>
      <c r="BB28" s="190">
        <v>100</v>
      </c>
      <c r="BC28" s="190"/>
      <c r="BD28" s="190">
        <v>0</v>
      </c>
      <c r="BE28" s="190">
        <v>0</v>
      </c>
      <c r="BF28" s="190">
        <v>456005</v>
      </c>
      <c r="BG28" s="190">
        <v>460000</v>
      </c>
      <c r="BH28" s="190">
        <v>456100</v>
      </c>
      <c r="BI28" s="190">
        <v>7000</v>
      </c>
      <c r="BJ28" s="190">
        <v>0</v>
      </c>
      <c r="BK28" s="190"/>
      <c r="BL28" s="190" t="s">
        <v>306</v>
      </c>
      <c r="BM28" s="190">
        <v>7000</v>
      </c>
      <c r="BN28" s="190">
        <v>-999999</v>
      </c>
      <c r="BO28" s="190">
        <v>462769</v>
      </c>
      <c r="BP28" s="190">
        <v>462769</v>
      </c>
      <c r="BQ28" s="190">
        <v>54</v>
      </c>
      <c r="BR28" s="190">
        <v>462375</v>
      </c>
      <c r="BS28" s="190">
        <v>0</v>
      </c>
      <c r="BT28" s="190">
        <v>100</v>
      </c>
      <c r="BU28" s="190">
        <v>1</v>
      </c>
      <c r="BV28" s="190">
        <v>394</v>
      </c>
      <c r="BW28" s="190">
        <v>462769</v>
      </c>
      <c r="BX28" s="190">
        <v>462325</v>
      </c>
      <c r="BY28" s="190">
        <v>469221</v>
      </c>
      <c r="BZ28" s="190">
        <v>462321</v>
      </c>
      <c r="CA28" s="190">
        <v>4000</v>
      </c>
      <c r="CB28" s="190">
        <v>0</v>
      </c>
      <c r="CC28" s="190"/>
      <c r="CD28" s="190">
        <v>4000</v>
      </c>
      <c r="CE28" s="190">
        <v>-12</v>
      </c>
      <c r="CF28" s="190">
        <v>471000</v>
      </c>
      <c r="CG28" s="190">
        <v>0</v>
      </c>
      <c r="CH28" s="190">
        <v>471000</v>
      </c>
      <c r="CI28" s="190">
        <v>12</v>
      </c>
      <c r="CJ28" s="190">
        <v>467112</v>
      </c>
      <c r="CK28" s="190">
        <v>0</v>
      </c>
      <c r="CL28" s="190">
        <v>100</v>
      </c>
      <c r="CM28" s="190"/>
      <c r="CN28" s="190">
        <v>0</v>
      </c>
      <c r="CO28" s="190">
        <v>0</v>
      </c>
      <c r="CP28" s="190">
        <v>467000</v>
      </c>
      <c r="CQ28" s="190">
        <v>471000</v>
      </c>
      <c r="CR28" s="190">
        <v>467100</v>
      </c>
      <c r="CS28" s="190">
        <v>15</v>
      </c>
      <c r="CT28" s="190">
        <v>4</v>
      </c>
      <c r="CU28" s="190">
        <v>0</v>
      </c>
      <c r="CV28" s="190">
        <v>9</v>
      </c>
      <c r="CW28" s="190">
        <v>10</v>
      </c>
      <c r="CX28" s="190">
        <v>1</v>
      </c>
      <c r="CY28" s="190">
        <v>2</v>
      </c>
      <c r="CZ28" s="190">
        <v>3</v>
      </c>
      <c r="DA28" s="190">
        <v>4</v>
      </c>
      <c r="DB28" s="190">
        <v>5</v>
      </c>
      <c r="DC28" s="190">
        <v>6</v>
      </c>
      <c r="DD28" s="190">
        <v>7</v>
      </c>
      <c r="DE28" s="190">
        <v>8</v>
      </c>
      <c r="DF28" s="190" t="s">
        <v>414</v>
      </c>
      <c r="DG28" s="190" t="s">
        <v>308</v>
      </c>
      <c r="DH28" s="190" t="s">
        <v>18</v>
      </c>
      <c r="DI28" s="190">
        <v>0</v>
      </c>
      <c r="DJ28" s="190">
        <v>0</v>
      </c>
      <c r="DK28" s="190">
        <v>460106</v>
      </c>
      <c r="DL28" s="190">
        <v>6</v>
      </c>
      <c r="DM28" s="190">
        <v>460106</v>
      </c>
      <c r="DN28" s="190">
        <v>67</v>
      </c>
      <c r="DO28" s="190">
        <v>7000</v>
      </c>
      <c r="DP28" s="190">
        <v>0</v>
      </c>
      <c r="DQ28" s="190"/>
      <c r="DR28" s="190">
        <v>7000</v>
      </c>
      <c r="DS28" s="190">
        <v>-2725</v>
      </c>
      <c r="DT28" s="190">
        <v>467000</v>
      </c>
      <c r="DU28" s="190">
        <v>0</v>
      </c>
      <c r="DV28" s="190">
        <v>467000</v>
      </c>
      <c r="DW28" s="190">
        <v>2725</v>
      </c>
      <c r="DX28" s="190">
        <v>462825</v>
      </c>
      <c r="DY28" s="190">
        <v>4287</v>
      </c>
      <c r="DZ28" s="190">
        <v>100</v>
      </c>
      <c r="EA28" s="190"/>
      <c r="EB28" s="190">
        <v>0</v>
      </c>
      <c r="EC28" s="190">
        <v>0</v>
      </c>
      <c r="ED28" s="190">
        <v>462771</v>
      </c>
      <c r="EE28" s="190">
        <v>467000</v>
      </c>
      <c r="EF28" s="190">
        <v>460100</v>
      </c>
      <c r="EG28" s="190">
        <v>27</v>
      </c>
    </row>
    <row r="29" spans="1:137" x14ac:dyDescent="0.2">
      <c r="A29" s="190" t="s">
        <v>301</v>
      </c>
      <c r="B29" s="263" t="s">
        <v>426</v>
      </c>
      <c r="C29" s="190">
        <v>1</v>
      </c>
      <c r="D29" s="190" t="s">
        <v>396</v>
      </c>
      <c r="E29" s="190" t="s">
        <v>397</v>
      </c>
      <c r="F29" s="190">
        <v>59.956000000000003</v>
      </c>
      <c r="G29" s="190" t="s">
        <v>302</v>
      </c>
      <c r="H29" s="190">
        <v>1</v>
      </c>
      <c r="I29" s="190">
        <v>6000</v>
      </c>
      <c r="J29" s="190">
        <v>-57</v>
      </c>
      <c r="K29" s="190">
        <v>0</v>
      </c>
      <c r="L29" s="190">
        <v>24000</v>
      </c>
      <c r="M29" s="190">
        <v>57</v>
      </c>
      <c r="N29" s="190">
        <v>18157</v>
      </c>
      <c r="O29" s="190">
        <v>5954</v>
      </c>
      <c r="P29" s="190"/>
      <c r="Q29" s="190">
        <v>0</v>
      </c>
      <c r="R29" s="190">
        <v>0</v>
      </c>
      <c r="S29" s="190">
        <v>-725311415</v>
      </c>
      <c r="T29" s="190" t="s">
        <v>303</v>
      </c>
      <c r="U29" s="190" t="s">
        <v>304</v>
      </c>
      <c r="V29" s="190" t="s">
        <v>304</v>
      </c>
      <c r="W29" s="190" t="s">
        <v>398</v>
      </c>
      <c r="X29" s="190" t="s">
        <v>399</v>
      </c>
      <c r="Y29" s="260">
        <v>0.38542824074074072</v>
      </c>
      <c r="Z29" s="190" t="s">
        <v>305</v>
      </c>
      <c r="AA29" s="190" t="s">
        <v>306</v>
      </c>
      <c r="AB29" s="190">
        <v>-1</v>
      </c>
      <c r="AC29" s="190">
        <v>-999999</v>
      </c>
      <c r="AD29" s="190">
        <v>18100</v>
      </c>
      <c r="AE29" s="190">
        <v>41</v>
      </c>
      <c r="AF29" s="190">
        <v>6999</v>
      </c>
      <c r="AG29" s="190">
        <v>0</v>
      </c>
      <c r="AH29" s="190">
        <v>5</v>
      </c>
      <c r="AI29" s="190">
        <v>11101</v>
      </c>
      <c r="AJ29" s="190">
        <v>18100</v>
      </c>
      <c r="AK29" s="190">
        <v>28</v>
      </c>
      <c r="AL29" s="190">
        <v>28</v>
      </c>
      <c r="AM29" s="190">
        <v>1</v>
      </c>
      <c r="AN29" s="190">
        <v>28</v>
      </c>
      <c r="AO29" s="258">
        <v>8</v>
      </c>
      <c r="AP29" s="190" t="s">
        <v>307</v>
      </c>
      <c r="AQ29" s="190">
        <v>4000</v>
      </c>
      <c r="AR29" s="190">
        <v>0</v>
      </c>
      <c r="AS29" s="259"/>
      <c r="AT29" s="190">
        <v>4000</v>
      </c>
      <c r="AU29" s="190">
        <v>-15</v>
      </c>
      <c r="AV29" s="190">
        <v>475000</v>
      </c>
      <c r="AW29" s="190">
        <v>0</v>
      </c>
      <c r="AX29" s="190">
        <v>475000</v>
      </c>
      <c r="AY29" s="190">
        <v>15</v>
      </c>
      <c r="AZ29" s="190">
        <v>471115</v>
      </c>
      <c r="BA29" s="259">
        <v>3986</v>
      </c>
      <c r="BB29" s="190">
        <v>100</v>
      </c>
      <c r="BC29" s="190"/>
      <c r="BD29" s="190">
        <v>0</v>
      </c>
      <c r="BE29" s="190">
        <v>0</v>
      </c>
      <c r="BF29" s="190">
        <v>471005</v>
      </c>
      <c r="BG29" s="190">
        <v>475000</v>
      </c>
      <c r="BH29" s="190">
        <v>471100</v>
      </c>
      <c r="BI29" s="190">
        <v>7000</v>
      </c>
      <c r="BJ29" s="190">
        <v>0</v>
      </c>
      <c r="BK29" s="190"/>
      <c r="BL29" s="190" t="s">
        <v>306</v>
      </c>
      <c r="BM29" s="190">
        <v>7000</v>
      </c>
      <c r="BN29" s="190">
        <v>-999999</v>
      </c>
      <c r="BO29" s="190">
        <v>477080</v>
      </c>
      <c r="BP29" s="190">
        <v>477080</v>
      </c>
      <c r="BQ29" s="190">
        <v>59</v>
      </c>
      <c r="BR29" s="190">
        <v>476819</v>
      </c>
      <c r="BS29" s="190">
        <v>0</v>
      </c>
      <c r="BT29" s="190">
        <v>100</v>
      </c>
      <c r="BU29" s="190">
        <v>1</v>
      </c>
      <c r="BV29" s="190">
        <v>261</v>
      </c>
      <c r="BW29" s="190">
        <v>477080</v>
      </c>
      <c r="BX29" s="190">
        <v>476764</v>
      </c>
      <c r="BY29" s="190">
        <v>483660</v>
      </c>
      <c r="BZ29" s="190">
        <v>476760</v>
      </c>
      <c r="CA29" s="190">
        <v>12000</v>
      </c>
      <c r="CB29" s="190">
        <v>0</v>
      </c>
      <c r="CC29" s="190"/>
      <c r="CD29" s="190">
        <v>12000</v>
      </c>
      <c r="CE29" s="190">
        <v>-6</v>
      </c>
      <c r="CF29" s="190">
        <v>494000</v>
      </c>
      <c r="CG29" s="190">
        <v>0</v>
      </c>
      <c r="CH29" s="190">
        <v>494000</v>
      </c>
      <c r="CI29" s="190">
        <v>6</v>
      </c>
      <c r="CJ29" s="190">
        <v>482106</v>
      </c>
      <c r="CK29" s="190">
        <v>0</v>
      </c>
      <c r="CL29" s="190">
        <v>100</v>
      </c>
      <c r="CM29" s="190"/>
      <c r="CN29" s="190">
        <v>0</v>
      </c>
      <c r="CO29" s="190">
        <v>0</v>
      </c>
      <c r="CP29" s="190">
        <v>482000</v>
      </c>
      <c r="CQ29" s="190">
        <v>494000</v>
      </c>
      <c r="CR29" s="190">
        <v>482100</v>
      </c>
      <c r="CS29" s="190">
        <v>15</v>
      </c>
      <c r="CT29" s="190">
        <v>4</v>
      </c>
      <c r="CU29" s="190">
        <v>0</v>
      </c>
      <c r="CV29" s="190">
        <v>9</v>
      </c>
      <c r="CW29" s="190">
        <v>10</v>
      </c>
      <c r="CX29" s="190">
        <v>1</v>
      </c>
      <c r="CY29" s="190">
        <v>2</v>
      </c>
      <c r="CZ29" s="190">
        <v>3</v>
      </c>
      <c r="DA29" s="190">
        <v>4</v>
      </c>
      <c r="DB29" s="190">
        <v>5</v>
      </c>
      <c r="DC29" s="190">
        <v>6</v>
      </c>
      <c r="DD29" s="190">
        <v>7</v>
      </c>
      <c r="DE29" s="190">
        <v>8</v>
      </c>
      <c r="DF29" s="190" t="s">
        <v>410</v>
      </c>
      <c r="DG29" s="190" t="s">
        <v>308</v>
      </c>
      <c r="DH29" s="190" t="s">
        <v>18</v>
      </c>
      <c r="DI29" s="190">
        <v>0</v>
      </c>
      <c r="DJ29" s="190">
        <v>0</v>
      </c>
      <c r="DK29" s="190">
        <v>475101</v>
      </c>
      <c r="DL29" s="190">
        <v>1</v>
      </c>
      <c r="DM29" s="190">
        <v>475101</v>
      </c>
      <c r="DN29" s="190">
        <v>50</v>
      </c>
      <c r="DO29" s="190">
        <v>7000</v>
      </c>
      <c r="DP29" s="190">
        <v>0</v>
      </c>
      <c r="DQ29" s="190"/>
      <c r="DR29" s="190">
        <v>7000</v>
      </c>
      <c r="DS29" s="190">
        <v>-2036</v>
      </c>
      <c r="DT29" s="190">
        <v>482000</v>
      </c>
      <c r="DU29" s="190">
        <v>0</v>
      </c>
      <c r="DV29" s="190">
        <v>482000</v>
      </c>
      <c r="DW29" s="190">
        <v>2036</v>
      </c>
      <c r="DX29" s="190">
        <v>477136</v>
      </c>
      <c r="DY29" s="190">
        <v>4970</v>
      </c>
      <c r="DZ29" s="190">
        <v>100</v>
      </c>
      <c r="EA29" s="190"/>
      <c r="EB29" s="190">
        <v>0</v>
      </c>
      <c r="EC29" s="190">
        <v>0</v>
      </c>
      <c r="ED29" s="190">
        <v>477082</v>
      </c>
      <c r="EE29" s="190">
        <v>482000</v>
      </c>
      <c r="EF29" s="190">
        <v>475100</v>
      </c>
      <c r="EG29" s="190">
        <v>28</v>
      </c>
    </row>
    <row r="30" spans="1:137" x14ac:dyDescent="0.2">
      <c r="A30" s="190" t="s">
        <v>301</v>
      </c>
      <c r="B30" s="263" t="s">
        <v>426</v>
      </c>
      <c r="C30" s="190">
        <v>1</v>
      </c>
      <c r="D30" s="190" t="s">
        <v>396</v>
      </c>
      <c r="E30" s="190" t="s">
        <v>397</v>
      </c>
      <c r="F30" s="190">
        <v>59.956000000000003</v>
      </c>
      <c r="G30" s="190" t="s">
        <v>302</v>
      </c>
      <c r="H30" s="190">
        <v>1</v>
      </c>
      <c r="I30" s="190">
        <v>6000</v>
      </c>
      <c r="J30" s="190">
        <v>-57</v>
      </c>
      <c r="K30" s="190">
        <v>0</v>
      </c>
      <c r="L30" s="190">
        <v>24000</v>
      </c>
      <c r="M30" s="190">
        <v>57</v>
      </c>
      <c r="N30" s="190">
        <v>18157</v>
      </c>
      <c r="O30" s="190">
        <v>5954</v>
      </c>
      <c r="P30" s="190"/>
      <c r="Q30" s="190">
        <v>0</v>
      </c>
      <c r="R30" s="190">
        <v>0</v>
      </c>
      <c r="S30" s="190">
        <v>-725311415</v>
      </c>
      <c r="T30" s="190" t="s">
        <v>303</v>
      </c>
      <c r="U30" s="190" t="s">
        <v>304</v>
      </c>
      <c r="V30" s="190" t="s">
        <v>304</v>
      </c>
      <c r="W30" s="190" t="s">
        <v>398</v>
      </c>
      <c r="X30" s="190" t="s">
        <v>399</v>
      </c>
      <c r="Y30" s="260">
        <v>0.38542824074074072</v>
      </c>
      <c r="Z30" s="190" t="s">
        <v>305</v>
      </c>
      <c r="AA30" s="190" t="s">
        <v>306</v>
      </c>
      <c r="AB30" s="190">
        <v>-1</v>
      </c>
      <c r="AC30" s="190">
        <v>-999999</v>
      </c>
      <c r="AD30" s="190">
        <v>18100</v>
      </c>
      <c r="AE30" s="190">
        <v>41</v>
      </c>
      <c r="AF30" s="190">
        <v>6999</v>
      </c>
      <c r="AG30" s="190">
        <v>0</v>
      </c>
      <c r="AH30" s="190">
        <v>5</v>
      </c>
      <c r="AI30" s="190">
        <v>11101</v>
      </c>
      <c r="AJ30" s="190">
        <v>18100</v>
      </c>
      <c r="AK30" s="190">
        <v>29</v>
      </c>
      <c r="AL30" s="190">
        <v>29</v>
      </c>
      <c r="AM30" s="190">
        <v>1</v>
      </c>
      <c r="AN30" s="190">
        <v>29</v>
      </c>
      <c r="AO30" s="258">
        <v>0</v>
      </c>
      <c r="AP30" s="190" t="s">
        <v>307</v>
      </c>
      <c r="AQ30" s="190">
        <v>4000</v>
      </c>
      <c r="AR30" s="190">
        <v>0</v>
      </c>
      <c r="AS30" s="259"/>
      <c r="AT30" s="190">
        <v>4000</v>
      </c>
      <c r="AU30" s="190">
        <v>-15</v>
      </c>
      <c r="AV30" s="190">
        <v>498000</v>
      </c>
      <c r="AW30" s="190">
        <v>0</v>
      </c>
      <c r="AX30" s="190">
        <v>498000</v>
      </c>
      <c r="AY30" s="190">
        <v>15</v>
      </c>
      <c r="AZ30" s="190">
        <v>494115</v>
      </c>
      <c r="BA30" s="259">
        <v>3987</v>
      </c>
      <c r="BB30" s="190">
        <v>100</v>
      </c>
      <c r="BC30" s="190"/>
      <c r="BD30" s="190">
        <v>0</v>
      </c>
      <c r="BE30" s="190">
        <v>0</v>
      </c>
      <c r="BF30" s="190">
        <v>494005</v>
      </c>
      <c r="BG30" s="190">
        <v>498000</v>
      </c>
      <c r="BH30" s="190">
        <v>494100</v>
      </c>
      <c r="BI30" s="190">
        <v>7000</v>
      </c>
      <c r="BJ30" s="190">
        <v>0</v>
      </c>
      <c r="BK30" s="190"/>
      <c r="BL30" s="190" t="s">
        <v>306</v>
      </c>
      <c r="BM30" s="190">
        <v>7000</v>
      </c>
      <c r="BN30" s="190">
        <v>-999999</v>
      </c>
      <c r="BO30" s="190">
        <v>500670</v>
      </c>
      <c r="BP30" s="190">
        <v>500670</v>
      </c>
      <c r="BQ30" s="190">
        <v>61</v>
      </c>
      <c r="BR30" s="190">
        <v>500203</v>
      </c>
      <c r="BS30" s="190">
        <v>0</v>
      </c>
      <c r="BT30" s="190">
        <v>100</v>
      </c>
      <c r="BU30" s="190">
        <v>1</v>
      </c>
      <c r="BV30" s="190">
        <v>467</v>
      </c>
      <c r="BW30" s="190">
        <v>500670</v>
      </c>
      <c r="BX30" s="190">
        <v>500146</v>
      </c>
      <c r="BY30" s="190">
        <v>507042</v>
      </c>
      <c r="BZ30" s="190">
        <v>500142</v>
      </c>
      <c r="CA30" s="190">
        <v>2000</v>
      </c>
      <c r="CB30" s="190">
        <v>0</v>
      </c>
      <c r="CC30" s="190"/>
      <c r="CD30" s="190">
        <v>2000</v>
      </c>
      <c r="CE30" s="190">
        <v>-7</v>
      </c>
      <c r="CF30" s="190">
        <v>507000</v>
      </c>
      <c r="CG30" s="190">
        <v>0</v>
      </c>
      <c r="CH30" s="190">
        <v>507000</v>
      </c>
      <c r="CI30" s="190">
        <v>7</v>
      </c>
      <c r="CJ30" s="190">
        <v>505107</v>
      </c>
      <c r="CK30" s="190">
        <v>0</v>
      </c>
      <c r="CL30" s="190">
        <v>100</v>
      </c>
      <c r="CM30" s="190"/>
      <c r="CN30" s="190">
        <v>0</v>
      </c>
      <c r="CO30" s="190">
        <v>0</v>
      </c>
      <c r="CP30" s="190">
        <v>505000</v>
      </c>
      <c r="CQ30" s="190">
        <v>507000</v>
      </c>
      <c r="CR30" s="190">
        <v>505100</v>
      </c>
      <c r="CS30" s="190">
        <v>15</v>
      </c>
      <c r="CT30" s="190">
        <v>4</v>
      </c>
      <c r="CU30" s="190">
        <v>0</v>
      </c>
      <c r="CV30" s="190">
        <v>9</v>
      </c>
      <c r="CW30" s="190">
        <v>10</v>
      </c>
      <c r="CX30" s="190">
        <v>1</v>
      </c>
      <c r="CY30" s="190">
        <v>2</v>
      </c>
      <c r="CZ30" s="190">
        <v>3</v>
      </c>
      <c r="DA30" s="190">
        <v>4</v>
      </c>
      <c r="DB30" s="190">
        <v>5</v>
      </c>
      <c r="DC30" s="190">
        <v>6</v>
      </c>
      <c r="DD30" s="190">
        <v>7</v>
      </c>
      <c r="DE30" s="190">
        <v>8</v>
      </c>
      <c r="DF30" s="190" t="s">
        <v>412</v>
      </c>
      <c r="DG30" s="190" t="s">
        <v>308</v>
      </c>
      <c r="DH30" s="190" t="s">
        <v>18</v>
      </c>
      <c r="DI30" s="190">
        <v>0</v>
      </c>
      <c r="DJ30" s="190">
        <v>0</v>
      </c>
      <c r="DK30" s="190">
        <v>498102</v>
      </c>
      <c r="DL30" s="190">
        <v>2</v>
      </c>
      <c r="DM30" s="190">
        <v>498102</v>
      </c>
      <c r="DN30" s="190">
        <v>50</v>
      </c>
      <c r="DO30" s="190">
        <v>7000</v>
      </c>
      <c r="DP30" s="190">
        <v>0</v>
      </c>
      <c r="DQ30" s="190"/>
      <c r="DR30" s="190">
        <v>7000</v>
      </c>
      <c r="DS30" s="190">
        <v>-2620</v>
      </c>
      <c r="DT30" s="190">
        <v>505000</v>
      </c>
      <c r="DU30" s="190">
        <v>0</v>
      </c>
      <c r="DV30" s="190">
        <v>505000</v>
      </c>
      <c r="DW30" s="190">
        <v>2620</v>
      </c>
      <c r="DX30" s="190">
        <v>500720</v>
      </c>
      <c r="DY30" s="190">
        <v>4387</v>
      </c>
      <c r="DZ30" s="190">
        <v>100</v>
      </c>
      <c r="EA30" s="190"/>
      <c r="EB30" s="190">
        <v>0</v>
      </c>
      <c r="EC30" s="190">
        <v>0</v>
      </c>
      <c r="ED30" s="190">
        <v>500672</v>
      </c>
      <c r="EE30" s="190">
        <v>505000</v>
      </c>
      <c r="EF30" s="190">
        <v>498100</v>
      </c>
      <c r="EG30" s="190">
        <v>29</v>
      </c>
    </row>
    <row r="31" spans="1:137" x14ac:dyDescent="0.2">
      <c r="A31" s="190" t="s">
        <v>301</v>
      </c>
      <c r="B31" s="263" t="s">
        <v>426</v>
      </c>
      <c r="C31" s="190">
        <v>1</v>
      </c>
      <c r="D31" s="190" t="s">
        <v>396</v>
      </c>
      <c r="E31" s="190" t="s">
        <v>397</v>
      </c>
      <c r="F31" s="190">
        <v>59.956000000000003</v>
      </c>
      <c r="G31" s="190" t="s">
        <v>302</v>
      </c>
      <c r="H31" s="190">
        <v>1</v>
      </c>
      <c r="I31" s="190">
        <v>6000</v>
      </c>
      <c r="J31" s="190">
        <v>-57</v>
      </c>
      <c r="K31" s="190">
        <v>0</v>
      </c>
      <c r="L31" s="190">
        <v>24000</v>
      </c>
      <c r="M31" s="190">
        <v>57</v>
      </c>
      <c r="N31" s="190">
        <v>18157</v>
      </c>
      <c r="O31" s="190">
        <v>5954</v>
      </c>
      <c r="P31" s="190"/>
      <c r="Q31" s="190">
        <v>0</v>
      </c>
      <c r="R31" s="190">
        <v>0</v>
      </c>
      <c r="S31" s="190">
        <v>-725311415</v>
      </c>
      <c r="T31" s="190" t="s">
        <v>303</v>
      </c>
      <c r="U31" s="190" t="s">
        <v>304</v>
      </c>
      <c r="V31" s="190" t="s">
        <v>304</v>
      </c>
      <c r="W31" s="190" t="s">
        <v>398</v>
      </c>
      <c r="X31" s="190" t="s">
        <v>399</v>
      </c>
      <c r="Y31" s="260">
        <v>0.38542824074074072</v>
      </c>
      <c r="Z31" s="190" t="s">
        <v>305</v>
      </c>
      <c r="AA31" s="190" t="s">
        <v>306</v>
      </c>
      <c r="AB31" s="190">
        <v>-1</v>
      </c>
      <c r="AC31" s="190">
        <v>-999999</v>
      </c>
      <c r="AD31" s="190">
        <v>18100</v>
      </c>
      <c r="AE31" s="190">
        <v>41</v>
      </c>
      <c r="AF31" s="190">
        <v>6999</v>
      </c>
      <c r="AG31" s="190">
        <v>0</v>
      </c>
      <c r="AH31" s="190">
        <v>5</v>
      </c>
      <c r="AI31" s="190">
        <v>11101</v>
      </c>
      <c r="AJ31" s="190">
        <v>18100</v>
      </c>
      <c r="AK31" s="190">
        <v>30</v>
      </c>
      <c r="AL31" s="190">
        <v>30</v>
      </c>
      <c r="AM31" s="190">
        <v>1</v>
      </c>
      <c r="AN31" s="190">
        <v>30</v>
      </c>
      <c r="AO31" s="258">
        <v>3</v>
      </c>
      <c r="AP31" s="190" t="s">
        <v>307</v>
      </c>
      <c r="AQ31" s="190">
        <v>4000</v>
      </c>
      <c r="AR31" s="190">
        <v>0</v>
      </c>
      <c r="AS31" s="259"/>
      <c r="AT31" s="190">
        <v>4000</v>
      </c>
      <c r="AU31" s="190">
        <v>-9</v>
      </c>
      <c r="AV31" s="190">
        <v>511000</v>
      </c>
      <c r="AW31" s="190">
        <v>0</v>
      </c>
      <c r="AX31" s="190">
        <v>511000</v>
      </c>
      <c r="AY31" s="190">
        <v>9</v>
      </c>
      <c r="AZ31" s="190">
        <v>507109</v>
      </c>
      <c r="BA31" s="259">
        <v>4003</v>
      </c>
      <c r="BB31" s="190">
        <v>100</v>
      </c>
      <c r="BC31" s="190"/>
      <c r="BD31" s="190">
        <v>0</v>
      </c>
      <c r="BE31" s="190">
        <v>0</v>
      </c>
      <c r="BF31" s="190">
        <v>507005</v>
      </c>
      <c r="BG31" s="190">
        <v>511000</v>
      </c>
      <c r="BH31" s="190">
        <v>507100</v>
      </c>
      <c r="BI31" s="190">
        <v>7000</v>
      </c>
      <c r="BJ31" s="190">
        <v>0</v>
      </c>
      <c r="BK31" s="190"/>
      <c r="BL31" s="190" t="s">
        <v>306</v>
      </c>
      <c r="BM31" s="190">
        <v>7000</v>
      </c>
      <c r="BN31" s="190">
        <v>-999999</v>
      </c>
      <c r="BO31" s="190">
        <v>515613</v>
      </c>
      <c r="BP31" s="190">
        <v>515613</v>
      </c>
      <c r="BQ31" s="190">
        <v>59</v>
      </c>
      <c r="BR31" s="190">
        <v>514264</v>
      </c>
      <c r="BS31" s="190">
        <v>0</v>
      </c>
      <c r="BT31" s="190">
        <v>100</v>
      </c>
      <c r="BU31" s="190">
        <v>1</v>
      </c>
      <c r="BV31" s="190">
        <v>1348</v>
      </c>
      <c r="BW31" s="190">
        <v>515612</v>
      </c>
      <c r="BX31" s="190">
        <v>514209</v>
      </c>
      <c r="BY31" s="190">
        <v>521105</v>
      </c>
      <c r="BZ31" s="190">
        <v>514205</v>
      </c>
      <c r="CA31" s="190">
        <v>4000</v>
      </c>
      <c r="CB31" s="190">
        <v>0</v>
      </c>
      <c r="CC31" s="190"/>
      <c r="CD31" s="190">
        <v>4000</v>
      </c>
      <c r="CE31" s="190">
        <v>0</v>
      </c>
      <c r="CF31" s="190">
        <v>522000</v>
      </c>
      <c r="CG31" s="190">
        <v>0</v>
      </c>
      <c r="CH31" s="190">
        <v>522000</v>
      </c>
      <c r="CI31" s="190">
        <v>0</v>
      </c>
      <c r="CJ31" s="190">
        <v>518100</v>
      </c>
      <c r="CK31" s="190">
        <v>0</v>
      </c>
      <c r="CL31" s="190">
        <v>100</v>
      </c>
      <c r="CM31" s="190"/>
      <c r="CN31" s="190">
        <v>0</v>
      </c>
      <c r="CO31" s="190">
        <v>0</v>
      </c>
      <c r="CP31" s="190">
        <v>518000</v>
      </c>
      <c r="CQ31" s="190">
        <v>522000</v>
      </c>
      <c r="CR31" s="190">
        <v>518100</v>
      </c>
      <c r="CS31" s="190">
        <v>15</v>
      </c>
      <c r="CT31" s="190">
        <v>4</v>
      </c>
      <c r="CU31" s="190">
        <v>0</v>
      </c>
      <c r="CV31" s="190">
        <v>9</v>
      </c>
      <c r="CW31" s="190">
        <v>10</v>
      </c>
      <c r="CX31" s="190">
        <v>1</v>
      </c>
      <c r="CY31" s="190">
        <v>2</v>
      </c>
      <c r="CZ31" s="190">
        <v>3</v>
      </c>
      <c r="DA31" s="190">
        <v>4</v>
      </c>
      <c r="DB31" s="190">
        <v>5</v>
      </c>
      <c r="DC31" s="190">
        <v>6</v>
      </c>
      <c r="DD31" s="190">
        <v>7</v>
      </c>
      <c r="DE31" s="190">
        <v>8</v>
      </c>
      <c r="DF31" s="190" t="s">
        <v>404</v>
      </c>
      <c r="DG31" s="190" t="s">
        <v>308</v>
      </c>
      <c r="DH31" s="190" t="s">
        <v>18</v>
      </c>
      <c r="DI31" s="190">
        <v>0</v>
      </c>
      <c r="DJ31" s="190">
        <v>0</v>
      </c>
      <c r="DK31" s="190">
        <v>511112</v>
      </c>
      <c r="DL31" s="190">
        <v>12</v>
      </c>
      <c r="DM31" s="190">
        <v>511112</v>
      </c>
      <c r="DN31" s="190">
        <v>50</v>
      </c>
      <c r="DO31" s="190">
        <v>7000</v>
      </c>
      <c r="DP31" s="190">
        <v>0</v>
      </c>
      <c r="DQ31" s="190"/>
      <c r="DR31" s="190">
        <v>7000</v>
      </c>
      <c r="DS31" s="190">
        <v>-4565</v>
      </c>
      <c r="DT31" s="190">
        <v>518000</v>
      </c>
      <c r="DU31" s="190">
        <v>0</v>
      </c>
      <c r="DV31" s="190">
        <v>518000</v>
      </c>
      <c r="DW31" s="190">
        <v>4565</v>
      </c>
      <c r="DX31" s="190">
        <v>515665</v>
      </c>
      <c r="DY31" s="190">
        <v>2435</v>
      </c>
      <c r="DZ31" s="190">
        <v>100</v>
      </c>
      <c r="EA31" s="190"/>
      <c r="EB31" s="190">
        <v>0</v>
      </c>
      <c r="EC31" s="190">
        <v>0</v>
      </c>
      <c r="ED31" s="190">
        <v>515615</v>
      </c>
      <c r="EE31" s="190">
        <v>518000</v>
      </c>
      <c r="EF31" s="190">
        <v>511100</v>
      </c>
      <c r="EG31" s="190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G31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20.5" bestFit="1" customWidth="1"/>
    <col min="2" max="2" width="7.5" bestFit="1" customWidth="1"/>
    <col min="3" max="3" width="7.6640625" bestFit="1" customWidth="1"/>
    <col min="4" max="4" width="255.6640625" bestFit="1" customWidth="1"/>
    <col min="5" max="5" width="26.1640625" bestFit="1" customWidth="1"/>
    <col min="6" max="6" width="19.1640625" bestFit="1" customWidth="1"/>
    <col min="7" max="7" width="18.5" bestFit="1" customWidth="1"/>
    <col min="8" max="8" width="6.5" bestFit="1" customWidth="1"/>
    <col min="9" max="9" width="20" bestFit="1" customWidth="1"/>
    <col min="10" max="10" width="24.5" bestFit="1" customWidth="1"/>
    <col min="11" max="11" width="23" bestFit="1" customWidth="1"/>
    <col min="12" max="12" width="22.5" bestFit="1" customWidth="1"/>
    <col min="13" max="13" width="22.6640625" bestFit="1" customWidth="1"/>
    <col min="14" max="14" width="22.1640625" bestFit="1" customWidth="1"/>
    <col min="15" max="15" width="29.83203125" bestFit="1" customWidth="1"/>
    <col min="16" max="16" width="16.5" bestFit="1" customWidth="1"/>
    <col min="17" max="17" width="14.33203125" bestFit="1" customWidth="1"/>
    <col min="18" max="18" width="18.83203125" bestFit="1" customWidth="1"/>
    <col min="19" max="19" width="12.6640625" bestFit="1" customWidth="1"/>
    <col min="20" max="20" width="19.33203125" bestFit="1" customWidth="1"/>
    <col min="21" max="21" width="15.5" bestFit="1" customWidth="1"/>
    <col min="22" max="22" width="24" bestFit="1" customWidth="1"/>
    <col min="23" max="23" width="11.83203125" bestFit="1" customWidth="1"/>
    <col min="24" max="24" width="23.6640625" bestFit="1" customWidth="1"/>
    <col min="25" max="25" width="12.1640625" bestFit="1" customWidth="1"/>
    <col min="26" max="26" width="13.6640625" bestFit="1" customWidth="1"/>
    <col min="27" max="27" width="15.5" bestFit="1" customWidth="1"/>
    <col min="28" max="28" width="20" bestFit="1" customWidth="1"/>
    <col min="29" max="29" width="18" bestFit="1" customWidth="1"/>
    <col min="30" max="30" width="18.33203125" bestFit="1" customWidth="1"/>
    <col min="31" max="31" width="17.6640625" bestFit="1" customWidth="1"/>
    <col min="32" max="32" width="25.33203125" bestFit="1" customWidth="1"/>
    <col min="33" max="33" width="12" bestFit="1" customWidth="1"/>
    <col min="34" max="34" width="9.83203125" bestFit="1" customWidth="1"/>
    <col min="35" max="35" width="14.5" bestFit="1" customWidth="1"/>
    <col min="36" max="36" width="5.6640625" bestFit="1" customWidth="1"/>
    <col min="37" max="37" width="7" bestFit="1" customWidth="1"/>
    <col min="38" max="38" width="8.5" bestFit="1" customWidth="1"/>
    <col min="39" max="39" width="13.83203125" bestFit="1" customWidth="1"/>
    <col min="40" max="40" width="15.6640625" bestFit="1" customWidth="1"/>
    <col min="41" max="41" width="15.5" bestFit="1" customWidth="1"/>
    <col min="42" max="42" width="19.83203125" bestFit="1" customWidth="1"/>
    <col min="43" max="43" width="17.83203125" bestFit="1" customWidth="1"/>
    <col min="44" max="44" width="18.1640625" bestFit="1" customWidth="1"/>
    <col min="45" max="45" width="17.5" bestFit="1" customWidth="1"/>
    <col min="46" max="46" width="25.1640625" bestFit="1" customWidth="1"/>
    <col min="47" max="47" width="14.6640625" bestFit="1" customWidth="1"/>
    <col min="48" max="48" width="13.5" bestFit="1" customWidth="1"/>
    <col min="49" max="49" width="22.5" bestFit="1" customWidth="1"/>
    <col min="50" max="50" width="27" bestFit="1" customWidth="1"/>
    <col min="51" max="51" width="24.83203125" bestFit="1" customWidth="1"/>
    <col min="52" max="52" width="25.1640625" bestFit="1" customWidth="1"/>
    <col min="53" max="53" width="24.5" bestFit="1" customWidth="1"/>
    <col min="54" max="54" width="32.33203125" bestFit="1" customWidth="1"/>
    <col min="55" max="55" width="6" bestFit="1" customWidth="1"/>
    <col min="56" max="56" width="11.5" bestFit="1" customWidth="1"/>
    <col min="57" max="57" width="15.83203125" bestFit="1" customWidth="1"/>
    <col min="58" max="58" width="13.83203125" bestFit="1" customWidth="1"/>
    <col min="59" max="59" width="14.1640625" bestFit="1" customWidth="1"/>
    <col min="60" max="60" width="13.5" bestFit="1" customWidth="1"/>
    <col min="61" max="61" width="21.1640625" bestFit="1" customWidth="1"/>
    <col min="62" max="62" width="7.83203125" bestFit="1" customWidth="1"/>
    <col min="63" max="63" width="7.5" bestFit="1" customWidth="1"/>
    <col min="64" max="64" width="5.1640625" bestFit="1" customWidth="1"/>
    <col min="65" max="66" width="6.1640625" bestFit="1" customWidth="1"/>
    <col min="67" max="74" width="5.1640625" bestFit="1" customWidth="1"/>
    <col min="75" max="75" width="13.1640625" bestFit="1" customWidth="1"/>
    <col min="76" max="76" width="11.5" bestFit="1" customWidth="1"/>
    <col min="77" max="77" width="8.5" bestFit="1" customWidth="1"/>
    <col min="78" max="78" width="13.5" bestFit="1" customWidth="1"/>
    <col min="79" max="79" width="17.83203125" bestFit="1" customWidth="1"/>
    <col min="80" max="80" width="15.6640625" bestFit="1" customWidth="1"/>
    <col min="81" max="81" width="16" bestFit="1" customWidth="1"/>
    <col min="82" max="82" width="15.5" bestFit="1" customWidth="1"/>
    <col min="83" max="83" width="23.1640625" bestFit="1" customWidth="1"/>
    <col min="84" max="84" width="14.83203125" bestFit="1" customWidth="1"/>
    <col min="85" max="85" width="18.6640625" bestFit="1" customWidth="1"/>
    <col min="86" max="86" width="23.1640625" bestFit="1" customWidth="1"/>
    <col min="87" max="87" width="21" bestFit="1" customWidth="1"/>
    <col min="88" max="88" width="21.5" bestFit="1" customWidth="1"/>
    <col min="89" max="89" width="20.6640625" bestFit="1" customWidth="1"/>
    <col min="90" max="90" width="28.5" bestFit="1" customWidth="1"/>
    <col min="91" max="91" width="11.5" bestFit="1" customWidth="1"/>
  </cols>
  <sheetData>
    <row r="1" spans="1:137" x14ac:dyDescent="0.2">
      <c r="A1" s="190" t="s">
        <v>169</v>
      </c>
      <c r="B1" s="190" t="s">
        <v>170</v>
      </c>
      <c r="C1" s="190" t="s">
        <v>171</v>
      </c>
      <c r="D1" s="190" t="s">
        <v>172</v>
      </c>
      <c r="E1" s="190" t="s">
        <v>173</v>
      </c>
      <c r="F1" s="190" t="s">
        <v>174</v>
      </c>
      <c r="G1" s="190" t="s">
        <v>175</v>
      </c>
      <c r="H1" s="190" t="s">
        <v>0</v>
      </c>
      <c r="I1" s="190" t="s">
        <v>176</v>
      </c>
      <c r="J1" s="190" t="s">
        <v>177</v>
      </c>
      <c r="K1" s="190" t="s">
        <v>178</v>
      </c>
      <c r="L1" s="190" t="s">
        <v>179</v>
      </c>
      <c r="M1" s="190" t="s">
        <v>180</v>
      </c>
      <c r="N1" s="190" t="s">
        <v>181</v>
      </c>
      <c r="O1" s="190" t="s">
        <v>182</v>
      </c>
      <c r="P1" s="190" t="s">
        <v>183</v>
      </c>
      <c r="Q1" s="190" t="s">
        <v>184</v>
      </c>
      <c r="R1" s="190" t="s">
        <v>185</v>
      </c>
      <c r="S1" s="190" t="s">
        <v>186</v>
      </c>
      <c r="T1" s="190" t="s">
        <v>187</v>
      </c>
      <c r="U1" s="190" t="s">
        <v>188</v>
      </c>
      <c r="V1" s="190" t="s">
        <v>189</v>
      </c>
      <c r="W1" s="190" t="s">
        <v>190</v>
      </c>
      <c r="X1" s="190" t="s">
        <v>191</v>
      </c>
      <c r="Y1" s="190" t="s">
        <v>192</v>
      </c>
      <c r="Z1" s="190" t="s">
        <v>193</v>
      </c>
      <c r="AA1" s="190" t="s">
        <v>194</v>
      </c>
      <c r="AB1" s="190" t="s">
        <v>195</v>
      </c>
      <c r="AC1" s="190" t="s">
        <v>196</v>
      </c>
      <c r="AD1" s="190" t="s">
        <v>197</v>
      </c>
      <c r="AE1" s="190" t="s">
        <v>198</v>
      </c>
      <c r="AF1" s="190" t="s">
        <v>199</v>
      </c>
      <c r="AG1" s="190" t="s">
        <v>200</v>
      </c>
      <c r="AH1" s="190" t="s">
        <v>201</v>
      </c>
      <c r="AI1" s="190" t="s">
        <v>202</v>
      </c>
      <c r="AJ1" s="190" t="s">
        <v>203</v>
      </c>
      <c r="AK1" s="190" t="s">
        <v>204</v>
      </c>
      <c r="AL1" s="190" t="s">
        <v>18</v>
      </c>
      <c r="AM1" s="190" t="s">
        <v>205</v>
      </c>
      <c r="AN1" s="190" t="s">
        <v>206</v>
      </c>
      <c r="AO1" s="190" t="s">
        <v>1</v>
      </c>
      <c r="AP1" s="190" t="s">
        <v>207</v>
      </c>
      <c r="AQ1" s="190" t="s">
        <v>208</v>
      </c>
      <c r="AR1" s="190" t="s">
        <v>209</v>
      </c>
      <c r="AS1" s="190" t="s">
        <v>210</v>
      </c>
      <c r="AT1" s="190" t="s">
        <v>211</v>
      </c>
      <c r="AU1" s="190" t="s">
        <v>212</v>
      </c>
      <c r="AV1" s="190" t="s">
        <v>213</v>
      </c>
      <c r="AW1" s="190" t="s">
        <v>214</v>
      </c>
      <c r="AX1" s="190" t="s">
        <v>215</v>
      </c>
      <c r="AY1" s="190" t="s">
        <v>216</v>
      </c>
      <c r="AZ1" s="190" t="s">
        <v>217</v>
      </c>
      <c r="BA1" s="190" t="s">
        <v>218</v>
      </c>
      <c r="BB1" s="190" t="s">
        <v>219</v>
      </c>
      <c r="BC1" s="190" t="s">
        <v>220</v>
      </c>
      <c r="BD1" s="190" t="s">
        <v>221</v>
      </c>
      <c r="BE1" s="190" t="s">
        <v>222</v>
      </c>
      <c r="BF1" s="190" t="s">
        <v>223</v>
      </c>
      <c r="BG1" s="190" t="s">
        <v>224</v>
      </c>
      <c r="BH1" s="190" t="s">
        <v>225</v>
      </c>
      <c r="BI1" s="190" t="s">
        <v>226</v>
      </c>
      <c r="BJ1" s="190" t="s">
        <v>227</v>
      </c>
      <c r="BK1" s="190" t="s">
        <v>228</v>
      </c>
      <c r="BL1" s="190" t="s">
        <v>229</v>
      </c>
      <c r="BM1" s="190" t="s">
        <v>230</v>
      </c>
      <c r="BN1" s="190" t="s">
        <v>231</v>
      </c>
      <c r="BO1" s="190" t="s">
        <v>232</v>
      </c>
      <c r="BP1" s="190" t="s">
        <v>233</v>
      </c>
      <c r="BQ1" s="190" t="s">
        <v>234</v>
      </c>
      <c r="BR1" s="190" t="s">
        <v>235</v>
      </c>
      <c r="BS1" s="190" t="s">
        <v>236</v>
      </c>
      <c r="BT1" s="190" t="s">
        <v>237</v>
      </c>
      <c r="BU1" s="190" t="s">
        <v>238</v>
      </c>
      <c r="BV1" s="190" t="s">
        <v>239</v>
      </c>
      <c r="BW1" s="190" t="s">
        <v>240</v>
      </c>
      <c r="BX1" s="190" t="s">
        <v>241</v>
      </c>
      <c r="BY1" s="190" t="s">
        <v>242</v>
      </c>
      <c r="BZ1" s="190" t="s">
        <v>243</v>
      </c>
      <c r="CA1" s="190" t="s">
        <v>2</v>
      </c>
      <c r="CB1" s="190" t="s">
        <v>244</v>
      </c>
      <c r="CC1" s="190" t="s">
        <v>245</v>
      </c>
      <c r="CD1" s="190" t="s">
        <v>246</v>
      </c>
      <c r="CE1" s="190" t="s">
        <v>247</v>
      </c>
      <c r="CF1" s="190" t="s">
        <v>248</v>
      </c>
      <c r="CG1" s="190" t="s">
        <v>249</v>
      </c>
      <c r="CH1" s="190" t="s">
        <v>250</v>
      </c>
      <c r="CI1" s="190" t="s">
        <v>251</v>
      </c>
      <c r="CJ1" s="190" t="s">
        <v>252</v>
      </c>
      <c r="CK1" s="190" t="s">
        <v>253</v>
      </c>
      <c r="CL1" s="190" t="s">
        <v>254</v>
      </c>
      <c r="CM1" s="190" t="s">
        <v>255</v>
      </c>
      <c r="CN1" s="190" t="s">
        <v>256</v>
      </c>
      <c r="CO1" s="190" t="s">
        <v>257</v>
      </c>
      <c r="CP1" s="190" t="s">
        <v>258</v>
      </c>
      <c r="CQ1" s="190" t="s">
        <v>259</v>
      </c>
      <c r="CR1" s="190" t="s">
        <v>260</v>
      </c>
      <c r="CS1" s="190" t="s">
        <v>261</v>
      </c>
      <c r="CT1" s="190" t="s">
        <v>262</v>
      </c>
      <c r="CU1" s="190" t="s">
        <v>263</v>
      </c>
      <c r="CV1" s="190" t="s">
        <v>264</v>
      </c>
      <c r="CW1" s="190" t="s">
        <v>265</v>
      </c>
      <c r="CX1" s="190" t="s">
        <v>266</v>
      </c>
      <c r="CY1" s="190" t="s">
        <v>267</v>
      </c>
      <c r="CZ1" s="190" t="s">
        <v>268</v>
      </c>
      <c r="DA1" s="190" t="s">
        <v>269</v>
      </c>
      <c r="DB1" s="190" t="s">
        <v>270</v>
      </c>
      <c r="DC1" s="190" t="s">
        <v>271</v>
      </c>
      <c r="DD1" s="190" t="s">
        <v>272</v>
      </c>
      <c r="DE1" s="190" t="s">
        <v>273</v>
      </c>
      <c r="DF1" s="190" t="s">
        <v>3</v>
      </c>
      <c r="DG1" s="190" t="s">
        <v>274</v>
      </c>
      <c r="DH1" s="190" t="s">
        <v>275</v>
      </c>
      <c r="DI1" s="190" t="s">
        <v>276</v>
      </c>
      <c r="DJ1" s="190" t="s">
        <v>277</v>
      </c>
      <c r="DK1" s="190" t="s">
        <v>278</v>
      </c>
      <c r="DL1" s="190" t="s">
        <v>279</v>
      </c>
      <c r="DM1" s="190" t="s">
        <v>280</v>
      </c>
      <c r="DN1" s="190" t="s">
        <v>281</v>
      </c>
      <c r="DO1" s="190" t="s">
        <v>282</v>
      </c>
      <c r="DP1" s="190" t="s">
        <v>283</v>
      </c>
      <c r="DQ1" s="190" t="s">
        <v>284</v>
      </c>
      <c r="DR1" s="190" t="s">
        <v>285</v>
      </c>
      <c r="DS1" s="190" t="s">
        <v>286</v>
      </c>
      <c r="DT1" s="190" t="s">
        <v>287</v>
      </c>
      <c r="DU1" s="190" t="s">
        <v>288</v>
      </c>
      <c r="DV1" s="190" t="s">
        <v>289</v>
      </c>
      <c r="DW1" s="190" t="s">
        <v>290</v>
      </c>
      <c r="DX1" s="190" t="s">
        <v>291</v>
      </c>
      <c r="DY1" s="190" t="s">
        <v>292</v>
      </c>
      <c r="DZ1" s="190" t="s">
        <v>293</v>
      </c>
      <c r="EA1" s="190" t="s">
        <v>294</v>
      </c>
      <c r="EB1" s="190" t="s">
        <v>295</v>
      </c>
      <c r="EC1" s="190" t="s">
        <v>296</v>
      </c>
      <c r="ED1" s="190" t="s">
        <v>297</v>
      </c>
      <c r="EE1" s="190" t="s">
        <v>298</v>
      </c>
      <c r="EF1" s="190" t="s">
        <v>299</v>
      </c>
      <c r="EG1" s="190" t="s">
        <v>300</v>
      </c>
    </row>
    <row r="2" spans="1:137" x14ac:dyDescent="0.2">
      <c r="A2" s="190" t="s">
        <v>309</v>
      </c>
      <c r="B2" s="263" t="s">
        <v>426</v>
      </c>
      <c r="C2" s="190">
        <v>1</v>
      </c>
      <c r="D2" s="190" t="s">
        <v>418</v>
      </c>
      <c r="E2" s="190" t="s">
        <v>419</v>
      </c>
      <c r="F2" s="190">
        <v>59.963000000000001</v>
      </c>
      <c r="G2" s="190" t="s">
        <v>310</v>
      </c>
      <c r="H2" s="190">
        <v>1</v>
      </c>
      <c r="I2" s="190">
        <v>6000</v>
      </c>
      <c r="J2" s="190">
        <v>-41</v>
      </c>
      <c r="K2" s="190">
        <v>0</v>
      </c>
      <c r="L2" s="190">
        <v>24369</v>
      </c>
      <c r="M2" s="190">
        <v>41</v>
      </c>
      <c r="N2" s="190">
        <v>18510</v>
      </c>
      <c r="O2" s="190">
        <v>5971</v>
      </c>
      <c r="P2" s="190"/>
      <c r="Q2" s="190">
        <v>0</v>
      </c>
      <c r="R2" s="190">
        <v>0</v>
      </c>
      <c r="S2" s="190">
        <v>696637077</v>
      </c>
      <c r="T2" s="190" t="s">
        <v>303</v>
      </c>
      <c r="U2" s="190" t="s">
        <v>304</v>
      </c>
      <c r="V2" s="190" t="s">
        <v>304</v>
      </c>
      <c r="W2" s="190" t="s">
        <v>398</v>
      </c>
      <c r="X2" s="190" t="s">
        <v>420</v>
      </c>
      <c r="Y2" s="260">
        <v>0.39193287037037039</v>
      </c>
      <c r="Z2" s="190" t="s">
        <v>305</v>
      </c>
      <c r="AA2" s="190" t="s">
        <v>306</v>
      </c>
      <c r="AB2" s="190">
        <v>-1</v>
      </c>
      <c r="AC2" s="190">
        <v>-999999</v>
      </c>
      <c r="AD2" s="190">
        <v>18469</v>
      </c>
      <c r="AE2" s="190">
        <v>39</v>
      </c>
      <c r="AF2" s="190">
        <v>5767</v>
      </c>
      <c r="AG2" s="190">
        <v>0</v>
      </c>
      <c r="AH2" s="190">
        <v>5</v>
      </c>
      <c r="AI2" s="190">
        <v>12702</v>
      </c>
      <c r="AJ2" s="190">
        <v>18469</v>
      </c>
      <c r="AK2" s="190">
        <v>1</v>
      </c>
      <c r="AL2" s="190">
        <v>1</v>
      </c>
      <c r="AM2" s="190">
        <v>1</v>
      </c>
      <c r="AN2" s="190">
        <v>1</v>
      </c>
      <c r="AO2" s="190">
        <v>8</v>
      </c>
      <c r="AP2" s="190" t="s">
        <v>307</v>
      </c>
      <c r="AQ2" s="190">
        <v>4000</v>
      </c>
      <c r="AR2" s="190">
        <v>0</v>
      </c>
      <c r="AS2" s="190"/>
      <c r="AT2" s="190">
        <v>4000</v>
      </c>
      <c r="AU2" s="190">
        <v>-12</v>
      </c>
      <c r="AV2" s="190">
        <v>28369</v>
      </c>
      <c r="AW2" s="190">
        <v>0</v>
      </c>
      <c r="AX2" s="190">
        <v>28369</v>
      </c>
      <c r="AY2" s="190">
        <v>12</v>
      </c>
      <c r="AZ2" s="190">
        <v>24481</v>
      </c>
      <c r="BA2" s="190">
        <v>4004</v>
      </c>
      <c r="BB2" s="190">
        <v>100</v>
      </c>
      <c r="BC2" s="190"/>
      <c r="BD2" s="190">
        <v>0</v>
      </c>
      <c r="BE2" s="190">
        <v>0</v>
      </c>
      <c r="BF2" s="190">
        <v>24371</v>
      </c>
      <c r="BG2" s="190">
        <v>28369</v>
      </c>
      <c r="BH2" s="190">
        <v>24469</v>
      </c>
      <c r="BI2" s="190">
        <v>7000</v>
      </c>
      <c r="BJ2" s="190">
        <v>0</v>
      </c>
      <c r="BK2" s="190"/>
      <c r="BL2" s="190" t="s">
        <v>306</v>
      </c>
      <c r="BM2" s="190">
        <v>7000</v>
      </c>
      <c r="BN2" s="190">
        <v>-999999</v>
      </c>
      <c r="BO2" s="190">
        <v>31303</v>
      </c>
      <c r="BP2" s="190">
        <v>31303</v>
      </c>
      <c r="BQ2" s="190">
        <v>51</v>
      </c>
      <c r="BR2" s="190">
        <v>30586</v>
      </c>
      <c r="BS2" s="190">
        <v>0</v>
      </c>
      <c r="BT2" s="190">
        <v>100</v>
      </c>
      <c r="BU2" s="190">
        <v>1</v>
      </c>
      <c r="BV2" s="190">
        <v>716</v>
      </c>
      <c r="BW2" s="190">
        <v>31302</v>
      </c>
      <c r="BX2" s="190">
        <v>30538</v>
      </c>
      <c r="BY2" s="190">
        <v>37435</v>
      </c>
      <c r="BZ2" s="190">
        <v>30535</v>
      </c>
      <c r="CA2" s="190">
        <v>6000</v>
      </c>
      <c r="CB2" s="190">
        <v>0</v>
      </c>
      <c r="CC2" s="190"/>
      <c r="CD2" s="190">
        <v>6000</v>
      </c>
      <c r="CE2" s="190">
        <v>-4</v>
      </c>
      <c r="CF2" s="190">
        <v>41369</v>
      </c>
      <c r="CG2" s="190">
        <v>0</v>
      </c>
      <c r="CH2" s="190">
        <v>41369</v>
      </c>
      <c r="CI2" s="190">
        <v>4</v>
      </c>
      <c r="CJ2" s="190">
        <v>35473</v>
      </c>
      <c r="CK2" s="190">
        <v>0</v>
      </c>
      <c r="CL2" s="190">
        <v>100</v>
      </c>
      <c r="CM2" s="190"/>
      <c r="CN2" s="190">
        <v>0</v>
      </c>
      <c r="CO2" s="190">
        <v>0</v>
      </c>
      <c r="CP2" s="190">
        <v>35369</v>
      </c>
      <c r="CQ2" s="190">
        <v>41369</v>
      </c>
      <c r="CR2" s="190">
        <v>35469</v>
      </c>
      <c r="CS2" s="190">
        <v>15</v>
      </c>
      <c r="CT2" s="190">
        <v>4</v>
      </c>
      <c r="CU2" s="190">
        <v>0</v>
      </c>
      <c r="CV2" s="190">
        <v>9</v>
      </c>
      <c r="CW2" s="190">
        <v>10</v>
      </c>
      <c r="CX2" s="190">
        <v>1</v>
      </c>
      <c r="CY2" s="190">
        <v>2</v>
      </c>
      <c r="CZ2" s="190">
        <v>3</v>
      </c>
      <c r="DA2" s="190">
        <v>4</v>
      </c>
      <c r="DB2" s="190">
        <v>5</v>
      </c>
      <c r="DC2" s="190">
        <v>6</v>
      </c>
      <c r="DD2" s="190">
        <v>7</v>
      </c>
      <c r="DE2" s="190">
        <v>8</v>
      </c>
      <c r="DF2" s="190" t="s">
        <v>417</v>
      </c>
      <c r="DG2" s="190" t="s">
        <v>308</v>
      </c>
      <c r="DH2" s="190" t="s">
        <v>18</v>
      </c>
      <c r="DI2" s="190">
        <v>0</v>
      </c>
      <c r="DJ2" s="190">
        <v>0</v>
      </c>
      <c r="DK2" s="190">
        <v>28485</v>
      </c>
      <c r="DL2" s="190">
        <v>16</v>
      </c>
      <c r="DM2" s="190">
        <v>28485</v>
      </c>
      <c r="DN2" s="190">
        <v>66</v>
      </c>
      <c r="DO2" s="190">
        <v>7000</v>
      </c>
      <c r="DP2" s="190">
        <v>0</v>
      </c>
      <c r="DQ2" s="190"/>
      <c r="DR2" s="190">
        <v>7000</v>
      </c>
      <c r="DS2" s="190">
        <v>-2884</v>
      </c>
      <c r="DT2" s="190">
        <v>35369</v>
      </c>
      <c r="DU2" s="190">
        <v>0</v>
      </c>
      <c r="DV2" s="190">
        <v>35369</v>
      </c>
      <c r="DW2" s="190">
        <v>2884</v>
      </c>
      <c r="DX2" s="190">
        <v>31353</v>
      </c>
      <c r="DY2" s="190">
        <v>4120</v>
      </c>
      <c r="DZ2" s="190">
        <v>100</v>
      </c>
      <c r="EA2" s="190"/>
      <c r="EB2" s="190">
        <v>0</v>
      </c>
      <c r="EC2" s="190">
        <v>0</v>
      </c>
      <c r="ED2" s="190">
        <v>31305</v>
      </c>
      <c r="EE2" s="190">
        <v>35369</v>
      </c>
      <c r="EF2" s="190">
        <v>28469</v>
      </c>
      <c r="EG2" s="190">
        <v>1</v>
      </c>
    </row>
    <row r="3" spans="1:137" x14ac:dyDescent="0.2">
      <c r="A3" s="190" t="s">
        <v>309</v>
      </c>
      <c r="B3" s="263" t="s">
        <v>426</v>
      </c>
      <c r="C3" s="190">
        <v>1</v>
      </c>
      <c r="D3" s="190" t="s">
        <v>418</v>
      </c>
      <c r="E3" s="190" t="s">
        <v>419</v>
      </c>
      <c r="F3" s="190">
        <v>59.963000000000001</v>
      </c>
      <c r="G3" s="190" t="s">
        <v>310</v>
      </c>
      <c r="H3" s="190">
        <v>1</v>
      </c>
      <c r="I3" s="190">
        <v>6000</v>
      </c>
      <c r="J3" s="190">
        <v>-41</v>
      </c>
      <c r="K3" s="190">
        <v>0</v>
      </c>
      <c r="L3" s="190">
        <v>24369</v>
      </c>
      <c r="M3" s="190">
        <v>41</v>
      </c>
      <c r="N3" s="190">
        <v>18510</v>
      </c>
      <c r="O3" s="190">
        <v>5971</v>
      </c>
      <c r="P3" s="190"/>
      <c r="Q3" s="190">
        <v>0</v>
      </c>
      <c r="R3" s="190">
        <v>0</v>
      </c>
      <c r="S3" s="190">
        <v>696637077</v>
      </c>
      <c r="T3" s="190" t="s">
        <v>303</v>
      </c>
      <c r="U3" s="190" t="s">
        <v>304</v>
      </c>
      <c r="V3" s="190" t="s">
        <v>304</v>
      </c>
      <c r="W3" s="190" t="s">
        <v>398</v>
      </c>
      <c r="X3" s="190" t="s">
        <v>420</v>
      </c>
      <c r="Y3" s="260">
        <v>0.39193287037037039</v>
      </c>
      <c r="Z3" s="190" t="s">
        <v>305</v>
      </c>
      <c r="AA3" s="190" t="s">
        <v>306</v>
      </c>
      <c r="AB3" s="190">
        <v>-1</v>
      </c>
      <c r="AC3" s="190">
        <v>-999999</v>
      </c>
      <c r="AD3" s="190">
        <v>18469</v>
      </c>
      <c r="AE3" s="190">
        <v>39</v>
      </c>
      <c r="AF3" s="190">
        <v>5767</v>
      </c>
      <c r="AG3" s="190">
        <v>0</v>
      </c>
      <c r="AH3" s="190">
        <v>5</v>
      </c>
      <c r="AI3" s="190">
        <v>12702</v>
      </c>
      <c r="AJ3" s="190">
        <v>18469</v>
      </c>
      <c r="AK3" s="190">
        <v>2</v>
      </c>
      <c r="AL3" s="190">
        <v>2</v>
      </c>
      <c r="AM3" s="190">
        <v>1</v>
      </c>
      <c r="AN3" s="190">
        <v>2</v>
      </c>
      <c r="AO3" s="190">
        <v>7</v>
      </c>
      <c r="AP3" s="190" t="s">
        <v>307</v>
      </c>
      <c r="AQ3" s="190">
        <v>4000</v>
      </c>
      <c r="AR3" s="190">
        <v>0</v>
      </c>
      <c r="AS3" s="190"/>
      <c r="AT3" s="190">
        <v>4000</v>
      </c>
      <c r="AU3" s="190">
        <v>-9</v>
      </c>
      <c r="AV3" s="190">
        <v>45369</v>
      </c>
      <c r="AW3" s="190">
        <v>0</v>
      </c>
      <c r="AX3" s="190">
        <v>45369</v>
      </c>
      <c r="AY3" s="190">
        <v>9</v>
      </c>
      <c r="AZ3" s="190">
        <v>41478</v>
      </c>
      <c r="BA3" s="190">
        <v>4003</v>
      </c>
      <c r="BB3" s="190">
        <v>100</v>
      </c>
      <c r="BC3" s="190"/>
      <c r="BD3" s="190">
        <v>0</v>
      </c>
      <c r="BE3" s="190">
        <v>0</v>
      </c>
      <c r="BF3" s="190">
        <v>41374</v>
      </c>
      <c r="BG3" s="190">
        <v>45369</v>
      </c>
      <c r="BH3" s="190">
        <v>41469</v>
      </c>
      <c r="BI3" s="190">
        <v>7000</v>
      </c>
      <c r="BJ3" s="190">
        <v>0</v>
      </c>
      <c r="BK3" s="190"/>
      <c r="BL3" s="190" t="s">
        <v>306</v>
      </c>
      <c r="BM3" s="190">
        <v>7000</v>
      </c>
      <c r="BN3" s="190">
        <v>-999999</v>
      </c>
      <c r="BO3" s="190">
        <v>47782</v>
      </c>
      <c r="BP3" s="190">
        <v>47781</v>
      </c>
      <c r="BQ3" s="190">
        <v>48</v>
      </c>
      <c r="BR3" s="190">
        <v>47365</v>
      </c>
      <c r="BS3" s="190">
        <v>0</v>
      </c>
      <c r="BT3" s="190">
        <v>100</v>
      </c>
      <c r="BU3" s="190">
        <v>1</v>
      </c>
      <c r="BV3" s="190">
        <v>416</v>
      </c>
      <c r="BW3" s="190">
        <v>47781</v>
      </c>
      <c r="BX3" s="190">
        <v>47321</v>
      </c>
      <c r="BY3" s="190">
        <v>54217</v>
      </c>
      <c r="BZ3" s="190">
        <v>47317</v>
      </c>
      <c r="CA3" s="190">
        <v>12000</v>
      </c>
      <c r="CB3" s="190">
        <v>0</v>
      </c>
      <c r="CC3" s="190"/>
      <c r="CD3" s="190">
        <v>12000</v>
      </c>
      <c r="CE3" s="190">
        <v>0</v>
      </c>
      <c r="CF3" s="190">
        <v>64369</v>
      </c>
      <c r="CG3" s="190">
        <v>0</v>
      </c>
      <c r="CH3" s="190">
        <v>64369</v>
      </c>
      <c r="CI3" s="190">
        <v>0</v>
      </c>
      <c r="CJ3" s="190">
        <v>52469</v>
      </c>
      <c r="CK3" s="190">
        <v>0</v>
      </c>
      <c r="CL3" s="190">
        <v>100</v>
      </c>
      <c r="CM3" s="190"/>
      <c r="CN3" s="190">
        <v>0</v>
      </c>
      <c r="CO3" s="190">
        <v>0</v>
      </c>
      <c r="CP3" s="190">
        <v>52369</v>
      </c>
      <c r="CQ3" s="190">
        <v>64369</v>
      </c>
      <c r="CR3" s="190">
        <v>52469</v>
      </c>
      <c r="CS3" s="190">
        <v>15</v>
      </c>
      <c r="CT3" s="190">
        <v>4</v>
      </c>
      <c r="CU3" s="190">
        <v>0</v>
      </c>
      <c r="CV3" s="190">
        <v>9</v>
      </c>
      <c r="CW3" s="190">
        <v>10</v>
      </c>
      <c r="CX3" s="190">
        <v>1</v>
      </c>
      <c r="CY3" s="190">
        <v>2</v>
      </c>
      <c r="CZ3" s="190">
        <v>3</v>
      </c>
      <c r="DA3" s="190">
        <v>4</v>
      </c>
      <c r="DB3" s="190">
        <v>5</v>
      </c>
      <c r="DC3" s="190">
        <v>6</v>
      </c>
      <c r="DD3" s="190">
        <v>7</v>
      </c>
      <c r="DE3" s="190">
        <v>8</v>
      </c>
      <c r="DF3" s="190" t="s">
        <v>401</v>
      </c>
      <c r="DG3" s="190" t="s">
        <v>308</v>
      </c>
      <c r="DH3" s="190" t="s">
        <v>18</v>
      </c>
      <c r="DI3" s="190">
        <v>0</v>
      </c>
      <c r="DJ3" s="190">
        <v>0</v>
      </c>
      <c r="DK3" s="190">
        <v>45481</v>
      </c>
      <c r="DL3" s="190">
        <v>12</v>
      </c>
      <c r="DM3" s="190">
        <v>45481</v>
      </c>
      <c r="DN3" s="190">
        <v>50</v>
      </c>
      <c r="DO3" s="190">
        <v>7000</v>
      </c>
      <c r="DP3" s="190">
        <v>0</v>
      </c>
      <c r="DQ3" s="190"/>
      <c r="DR3" s="190">
        <v>7000</v>
      </c>
      <c r="DS3" s="190">
        <v>-2363</v>
      </c>
      <c r="DT3" s="190">
        <v>52369</v>
      </c>
      <c r="DU3" s="190">
        <v>0</v>
      </c>
      <c r="DV3" s="190">
        <v>52369</v>
      </c>
      <c r="DW3" s="190">
        <v>2363</v>
      </c>
      <c r="DX3" s="190">
        <v>47832</v>
      </c>
      <c r="DY3" s="190">
        <v>4637</v>
      </c>
      <c r="DZ3" s="190">
        <v>100</v>
      </c>
      <c r="EA3" s="190"/>
      <c r="EB3" s="190">
        <v>0</v>
      </c>
      <c r="EC3" s="190">
        <v>0</v>
      </c>
      <c r="ED3" s="190">
        <v>47783</v>
      </c>
      <c r="EE3" s="190">
        <v>52369</v>
      </c>
      <c r="EF3" s="190">
        <v>45469</v>
      </c>
      <c r="EG3" s="190">
        <v>2</v>
      </c>
    </row>
    <row r="4" spans="1:137" x14ac:dyDescent="0.2">
      <c r="A4" s="190" t="s">
        <v>309</v>
      </c>
      <c r="B4" s="263" t="s">
        <v>426</v>
      </c>
      <c r="C4" s="190">
        <v>1</v>
      </c>
      <c r="D4" s="190" t="s">
        <v>418</v>
      </c>
      <c r="E4" s="190" t="s">
        <v>419</v>
      </c>
      <c r="F4" s="190">
        <v>59.963000000000001</v>
      </c>
      <c r="G4" s="190" t="s">
        <v>310</v>
      </c>
      <c r="H4" s="190">
        <v>1</v>
      </c>
      <c r="I4" s="190">
        <v>6000</v>
      </c>
      <c r="J4" s="190">
        <v>-41</v>
      </c>
      <c r="K4" s="190">
        <v>0</v>
      </c>
      <c r="L4" s="190">
        <v>24369</v>
      </c>
      <c r="M4" s="190">
        <v>41</v>
      </c>
      <c r="N4" s="190">
        <v>18510</v>
      </c>
      <c r="O4" s="190">
        <v>5971</v>
      </c>
      <c r="P4" s="190"/>
      <c r="Q4" s="190">
        <v>0</v>
      </c>
      <c r="R4" s="190">
        <v>0</v>
      </c>
      <c r="S4" s="190">
        <v>696637077</v>
      </c>
      <c r="T4" s="190" t="s">
        <v>303</v>
      </c>
      <c r="U4" s="190" t="s">
        <v>304</v>
      </c>
      <c r="V4" s="190" t="s">
        <v>304</v>
      </c>
      <c r="W4" s="190" t="s">
        <v>398</v>
      </c>
      <c r="X4" s="190" t="s">
        <v>420</v>
      </c>
      <c r="Y4" s="260">
        <v>0.39193287037037039</v>
      </c>
      <c r="Z4" s="190" t="s">
        <v>305</v>
      </c>
      <c r="AA4" s="190" t="s">
        <v>306</v>
      </c>
      <c r="AB4" s="190">
        <v>-1</v>
      </c>
      <c r="AC4" s="190">
        <v>-999999</v>
      </c>
      <c r="AD4" s="190">
        <v>18469</v>
      </c>
      <c r="AE4" s="190">
        <v>39</v>
      </c>
      <c r="AF4" s="190">
        <v>5767</v>
      </c>
      <c r="AG4" s="190">
        <v>0</v>
      </c>
      <c r="AH4" s="190">
        <v>5</v>
      </c>
      <c r="AI4" s="190">
        <v>12702</v>
      </c>
      <c r="AJ4" s="190">
        <v>18469</v>
      </c>
      <c r="AK4" s="190">
        <v>3</v>
      </c>
      <c r="AL4" s="190">
        <v>3</v>
      </c>
      <c r="AM4" s="190">
        <v>1</v>
      </c>
      <c r="AN4" s="190">
        <v>3</v>
      </c>
      <c r="AO4" s="190">
        <v>0</v>
      </c>
      <c r="AP4" s="190" t="s">
        <v>307</v>
      </c>
      <c r="AQ4" s="190">
        <v>4000</v>
      </c>
      <c r="AR4" s="190">
        <v>0</v>
      </c>
      <c r="AS4" s="190"/>
      <c r="AT4" s="190">
        <v>4000</v>
      </c>
      <c r="AU4" s="190">
        <v>-9</v>
      </c>
      <c r="AV4" s="190">
        <v>68369</v>
      </c>
      <c r="AW4" s="190">
        <v>0</v>
      </c>
      <c r="AX4" s="190">
        <v>68369</v>
      </c>
      <c r="AY4" s="190">
        <v>9</v>
      </c>
      <c r="AZ4" s="190">
        <v>64478</v>
      </c>
      <c r="BA4" s="190">
        <v>4003</v>
      </c>
      <c r="BB4" s="190">
        <v>100</v>
      </c>
      <c r="BC4" s="190"/>
      <c r="BD4" s="190">
        <v>0</v>
      </c>
      <c r="BE4" s="190">
        <v>0</v>
      </c>
      <c r="BF4" s="190">
        <v>64374</v>
      </c>
      <c r="BG4" s="190">
        <v>68369</v>
      </c>
      <c r="BH4" s="190">
        <v>64469</v>
      </c>
      <c r="BI4" s="190">
        <v>7000</v>
      </c>
      <c r="BJ4" s="190">
        <v>0</v>
      </c>
      <c r="BK4" s="190"/>
      <c r="BL4" s="190" t="s">
        <v>306</v>
      </c>
      <c r="BM4" s="190">
        <v>7000</v>
      </c>
      <c r="BN4" s="190">
        <v>-999999</v>
      </c>
      <c r="BO4" s="190">
        <v>70996</v>
      </c>
      <c r="BP4" s="190">
        <v>70996</v>
      </c>
      <c r="BQ4" s="190">
        <v>62</v>
      </c>
      <c r="BR4" s="190">
        <v>70666</v>
      </c>
      <c r="BS4" s="190">
        <v>0</v>
      </c>
      <c r="BT4" s="190">
        <v>100</v>
      </c>
      <c r="BU4" s="190">
        <v>1</v>
      </c>
      <c r="BV4" s="190">
        <v>329</v>
      </c>
      <c r="BW4" s="190">
        <v>70995</v>
      </c>
      <c r="BX4" s="190">
        <v>70608</v>
      </c>
      <c r="BY4" s="190">
        <v>77504</v>
      </c>
      <c r="BZ4" s="190">
        <v>70604</v>
      </c>
      <c r="CA4" s="190">
        <v>8000</v>
      </c>
      <c r="CB4" s="190">
        <v>0</v>
      </c>
      <c r="CC4" s="190"/>
      <c r="CD4" s="190">
        <v>8000</v>
      </c>
      <c r="CE4" s="190">
        <v>-1</v>
      </c>
      <c r="CF4" s="190">
        <v>83369</v>
      </c>
      <c r="CG4" s="190">
        <v>0</v>
      </c>
      <c r="CH4" s="190">
        <v>83369</v>
      </c>
      <c r="CI4" s="190">
        <v>1</v>
      </c>
      <c r="CJ4" s="190">
        <v>75470</v>
      </c>
      <c r="CK4" s="190">
        <v>0</v>
      </c>
      <c r="CL4" s="190">
        <v>100</v>
      </c>
      <c r="CM4" s="190"/>
      <c r="CN4" s="190">
        <v>0</v>
      </c>
      <c r="CO4" s="190">
        <v>0</v>
      </c>
      <c r="CP4" s="190">
        <v>75369</v>
      </c>
      <c r="CQ4" s="190">
        <v>83369</v>
      </c>
      <c r="CR4" s="190">
        <v>75469</v>
      </c>
      <c r="CS4" s="190">
        <v>15</v>
      </c>
      <c r="CT4" s="190">
        <v>4</v>
      </c>
      <c r="CU4" s="190">
        <v>0</v>
      </c>
      <c r="CV4" s="190">
        <v>9</v>
      </c>
      <c r="CW4" s="190">
        <v>10</v>
      </c>
      <c r="CX4" s="190">
        <v>1</v>
      </c>
      <c r="CY4" s="190">
        <v>2</v>
      </c>
      <c r="CZ4" s="190">
        <v>3</v>
      </c>
      <c r="DA4" s="190">
        <v>4</v>
      </c>
      <c r="DB4" s="190">
        <v>5</v>
      </c>
      <c r="DC4" s="190">
        <v>6</v>
      </c>
      <c r="DD4" s="190">
        <v>7</v>
      </c>
      <c r="DE4" s="190">
        <v>8</v>
      </c>
      <c r="DF4" s="190" t="s">
        <v>408</v>
      </c>
      <c r="DG4" s="190" t="s">
        <v>308</v>
      </c>
      <c r="DH4" s="190" t="s">
        <v>18</v>
      </c>
      <c r="DI4" s="190">
        <v>0</v>
      </c>
      <c r="DJ4" s="190">
        <v>0</v>
      </c>
      <c r="DK4" s="190">
        <v>68481</v>
      </c>
      <c r="DL4" s="190">
        <v>12</v>
      </c>
      <c r="DM4" s="190">
        <v>68481</v>
      </c>
      <c r="DN4" s="190">
        <v>67</v>
      </c>
      <c r="DO4" s="190">
        <v>7000</v>
      </c>
      <c r="DP4" s="190">
        <v>0</v>
      </c>
      <c r="DQ4" s="190"/>
      <c r="DR4" s="190">
        <v>7000</v>
      </c>
      <c r="DS4" s="190">
        <v>-2581</v>
      </c>
      <c r="DT4" s="190">
        <v>75369</v>
      </c>
      <c r="DU4" s="190">
        <v>0</v>
      </c>
      <c r="DV4" s="190">
        <v>75369</v>
      </c>
      <c r="DW4" s="190">
        <v>2581</v>
      </c>
      <c r="DX4" s="190">
        <v>71050</v>
      </c>
      <c r="DY4" s="190">
        <v>4420</v>
      </c>
      <c r="DZ4" s="190">
        <v>100</v>
      </c>
      <c r="EA4" s="190"/>
      <c r="EB4" s="190">
        <v>0</v>
      </c>
      <c r="EC4" s="190">
        <v>0</v>
      </c>
      <c r="ED4" s="190">
        <v>70999</v>
      </c>
      <c r="EE4" s="190">
        <v>75369</v>
      </c>
      <c r="EF4" s="190">
        <v>68469</v>
      </c>
      <c r="EG4" s="190">
        <v>3</v>
      </c>
    </row>
    <row r="5" spans="1:137" x14ac:dyDescent="0.2">
      <c r="A5" s="190" t="s">
        <v>309</v>
      </c>
      <c r="B5" s="263" t="s">
        <v>426</v>
      </c>
      <c r="C5" s="190">
        <v>1</v>
      </c>
      <c r="D5" s="190" t="s">
        <v>418</v>
      </c>
      <c r="E5" s="190" t="s">
        <v>419</v>
      </c>
      <c r="F5" s="190">
        <v>59.963000000000001</v>
      </c>
      <c r="G5" s="190" t="s">
        <v>310</v>
      </c>
      <c r="H5" s="190">
        <v>1</v>
      </c>
      <c r="I5" s="190">
        <v>6000</v>
      </c>
      <c r="J5" s="190">
        <v>-41</v>
      </c>
      <c r="K5" s="190">
        <v>0</v>
      </c>
      <c r="L5" s="190">
        <v>24369</v>
      </c>
      <c r="M5" s="190">
        <v>41</v>
      </c>
      <c r="N5" s="190">
        <v>18510</v>
      </c>
      <c r="O5" s="190">
        <v>5971</v>
      </c>
      <c r="P5" s="190"/>
      <c r="Q5" s="190">
        <v>0</v>
      </c>
      <c r="R5" s="190">
        <v>0</v>
      </c>
      <c r="S5" s="190">
        <v>696637077</v>
      </c>
      <c r="T5" s="190" t="s">
        <v>303</v>
      </c>
      <c r="U5" s="190" t="s">
        <v>304</v>
      </c>
      <c r="V5" s="190" t="s">
        <v>304</v>
      </c>
      <c r="W5" s="190" t="s">
        <v>398</v>
      </c>
      <c r="X5" s="190" t="s">
        <v>420</v>
      </c>
      <c r="Y5" s="260">
        <v>0.39193287037037039</v>
      </c>
      <c r="Z5" s="190" t="s">
        <v>305</v>
      </c>
      <c r="AA5" s="190" t="s">
        <v>306</v>
      </c>
      <c r="AB5" s="190">
        <v>-1</v>
      </c>
      <c r="AC5" s="190">
        <v>-999999</v>
      </c>
      <c r="AD5" s="190">
        <v>18469</v>
      </c>
      <c r="AE5" s="190">
        <v>39</v>
      </c>
      <c r="AF5" s="190">
        <v>5767</v>
      </c>
      <c r="AG5" s="190">
        <v>0</v>
      </c>
      <c r="AH5" s="190">
        <v>5</v>
      </c>
      <c r="AI5" s="190">
        <v>12702</v>
      </c>
      <c r="AJ5" s="190">
        <v>18469</v>
      </c>
      <c r="AK5" s="190">
        <v>4</v>
      </c>
      <c r="AL5" s="190">
        <v>4</v>
      </c>
      <c r="AM5" s="190">
        <v>1</v>
      </c>
      <c r="AN5" s="190">
        <v>4</v>
      </c>
      <c r="AO5" s="190">
        <v>8</v>
      </c>
      <c r="AP5" s="190" t="s">
        <v>307</v>
      </c>
      <c r="AQ5" s="190">
        <v>4000</v>
      </c>
      <c r="AR5" s="190">
        <v>0</v>
      </c>
      <c r="AS5" s="190"/>
      <c r="AT5" s="190">
        <v>4000</v>
      </c>
      <c r="AU5" s="190">
        <v>-7</v>
      </c>
      <c r="AV5" s="190">
        <v>87369</v>
      </c>
      <c r="AW5" s="190">
        <v>0</v>
      </c>
      <c r="AX5" s="190">
        <v>87369</v>
      </c>
      <c r="AY5" s="190">
        <v>7</v>
      </c>
      <c r="AZ5" s="190">
        <v>83476</v>
      </c>
      <c r="BA5" s="190">
        <v>4003</v>
      </c>
      <c r="BB5" s="190">
        <v>100</v>
      </c>
      <c r="BC5" s="190"/>
      <c r="BD5" s="190">
        <v>0</v>
      </c>
      <c r="BE5" s="190">
        <v>0</v>
      </c>
      <c r="BF5" s="190">
        <v>83374</v>
      </c>
      <c r="BG5" s="190">
        <v>87369</v>
      </c>
      <c r="BH5" s="190">
        <v>83469</v>
      </c>
      <c r="BI5" s="190">
        <v>7000</v>
      </c>
      <c r="BJ5" s="190">
        <v>0</v>
      </c>
      <c r="BK5" s="190"/>
      <c r="BL5" s="190" t="s">
        <v>306</v>
      </c>
      <c r="BM5" s="190">
        <v>7000</v>
      </c>
      <c r="BN5" s="190">
        <v>-999999</v>
      </c>
      <c r="BO5" s="190">
        <v>90010</v>
      </c>
      <c r="BP5" s="190">
        <v>90010</v>
      </c>
      <c r="BQ5" s="190">
        <v>52</v>
      </c>
      <c r="BR5" s="190">
        <v>89430</v>
      </c>
      <c r="BS5" s="190">
        <v>0</v>
      </c>
      <c r="BT5" s="190">
        <v>100</v>
      </c>
      <c r="BU5" s="190">
        <v>1</v>
      </c>
      <c r="BV5" s="190">
        <v>580</v>
      </c>
      <c r="BW5" s="190">
        <v>90010</v>
      </c>
      <c r="BX5" s="190">
        <v>89382</v>
      </c>
      <c r="BY5" s="190">
        <v>96278</v>
      </c>
      <c r="BZ5" s="190">
        <v>89378</v>
      </c>
      <c r="CA5" s="190">
        <v>4000</v>
      </c>
      <c r="CB5" s="190">
        <v>0</v>
      </c>
      <c r="CC5" s="190"/>
      <c r="CD5" s="190">
        <v>4000</v>
      </c>
      <c r="CE5" s="190">
        <v>-15</v>
      </c>
      <c r="CF5" s="190">
        <v>98369</v>
      </c>
      <c r="CG5" s="190">
        <v>0</v>
      </c>
      <c r="CH5" s="190">
        <v>98369</v>
      </c>
      <c r="CI5" s="190">
        <v>15</v>
      </c>
      <c r="CJ5" s="190">
        <v>94484</v>
      </c>
      <c r="CK5" s="190">
        <v>0</v>
      </c>
      <c r="CL5" s="190">
        <v>100</v>
      </c>
      <c r="CM5" s="190"/>
      <c r="CN5" s="190">
        <v>0</v>
      </c>
      <c r="CO5" s="190">
        <v>0</v>
      </c>
      <c r="CP5" s="190">
        <v>94369</v>
      </c>
      <c r="CQ5" s="190">
        <v>98369</v>
      </c>
      <c r="CR5" s="190">
        <v>94469</v>
      </c>
      <c r="CS5" s="190">
        <v>15</v>
      </c>
      <c r="CT5" s="190">
        <v>4</v>
      </c>
      <c r="CU5" s="190">
        <v>0</v>
      </c>
      <c r="CV5" s="190">
        <v>9</v>
      </c>
      <c r="CW5" s="190">
        <v>10</v>
      </c>
      <c r="CX5" s="190">
        <v>1</v>
      </c>
      <c r="CY5" s="190">
        <v>2</v>
      </c>
      <c r="CZ5" s="190">
        <v>3</v>
      </c>
      <c r="DA5" s="190">
        <v>4</v>
      </c>
      <c r="DB5" s="190">
        <v>5</v>
      </c>
      <c r="DC5" s="190">
        <v>6</v>
      </c>
      <c r="DD5" s="190">
        <v>7</v>
      </c>
      <c r="DE5" s="190">
        <v>8</v>
      </c>
      <c r="DF5" s="190" t="s">
        <v>400</v>
      </c>
      <c r="DG5" s="190" t="s">
        <v>308</v>
      </c>
      <c r="DH5" s="190" t="s">
        <v>18</v>
      </c>
      <c r="DI5" s="190">
        <v>0</v>
      </c>
      <c r="DJ5" s="190">
        <v>0</v>
      </c>
      <c r="DK5" s="190">
        <v>87479</v>
      </c>
      <c r="DL5" s="190">
        <v>10</v>
      </c>
      <c r="DM5" s="190">
        <v>87479</v>
      </c>
      <c r="DN5" s="190">
        <v>50</v>
      </c>
      <c r="DO5" s="190">
        <v>7000</v>
      </c>
      <c r="DP5" s="190">
        <v>0</v>
      </c>
      <c r="DQ5" s="190"/>
      <c r="DR5" s="190">
        <v>7000</v>
      </c>
      <c r="DS5" s="190">
        <v>-2595</v>
      </c>
      <c r="DT5" s="190">
        <v>94369</v>
      </c>
      <c r="DU5" s="190">
        <v>0</v>
      </c>
      <c r="DV5" s="190">
        <v>94369</v>
      </c>
      <c r="DW5" s="190">
        <v>2595</v>
      </c>
      <c r="DX5" s="190">
        <v>90064</v>
      </c>
      <c r="DY5" s="190">
        <v>4420</v>
      </c>
      <c r="DZ5" s="190">
        <v>100</v>
      </c>
      <c r="EA5" s="190"/>
      <c r="EB5" s="190">
        <v>0</v>
      </c>
      <c r="EC5" s="190">
        <v>0</v>
      </c>
      <c r="ED5" s="190">
        <v>90012</v>
      </c>
      <c r="EE5" s="190">
        <v>94369</v>
      </c>
      <c r="EF5" s="190">
        <v>87469</v>
      </c>
      <c r="EG5" s="190">
        <v>4</v>
      </c>
    </row>
    <row r="6" spans="1:137" x14ac:dyDescent="0.2">
      <c r="A6" s="190" t="s">
        <v>309</v>
      </c>
      <c r="B6" s="263" t="s">
        <v>426</v>
      </c>
      <c r="C6" s="190">
        <v>1</v>
      </c>
      <c r="D6" s="190" t="s">
        <v>418</v>
      </c>
      <c r="E6" s="190" t="s">
        <v>419</v>
      </c>
      <c r="F6" s="190">
        <v>59.963000000000001</v>
      </c>
      <c r="G6" s="190" t="s">
        <v>310</v>
      </c>
      <c r="H6" s="190">
        <v>1</v>
      </c>
      <c r="I6" s="190">
        <v>6000</v>
      </c>
      <c r="J6" s="190">
        <v>-41</v>
      </c>
      <c r="K6" s="190">
        <v>0</v>
      </c>
      <c r="L6" s="190">
        <v>24369</v>
      </c>
      <c r="M6" s="190">
        <v>41</v>
      </c>
      <c r="N6" s="190">
        <v>18510</v>
      </c>
      <c r="O6" s="190">
        <v>5971</v>
      </c>
      <c r="P6" s="190"/>
      <c r="Q6" s="190">
        <v>0</v>
      </c>
      <c r="R6" s="190">
        <v>0</v>
      </c>
      <c r="S6" s="190">
        <v>696637077</v>
      </c>
      <c r="T6" s="190" t="s">
        <v>303</v>
      </c>
      <c r="U6" s="190" t="s">
        <v>304</v>
      </c>
      <c r="V6" s="190" t="s">
        <v>304</v>
      </c>
      <c r="W6" s="190" t="s">
        <v>398</v>
      </c>
      <c r="X6" s="190" t="s">
        <v>420</v>
      </c>
      <c r="Y6" s="260">
        <v>0.39193287037037039</v>
      </c>
      <c r="Z6" s="190" t="s">
        <v>305</v>
      </c>
      <c r="AA6" s="190" t="s">
        <v>306</v>
      </c>
      <c r="AB6" s="190">
        <v>-1</v>
      </c>
      <c r="AC6" s="190">
        <v>-999999</v>
      </c>
      <c r="AD6" s="190">
        <v>18469</v>
      </c>
      <c r="AE6" s="190">
        <v>39</v>
      </c>
      <c r="AF6" s="190">
        <v>5767</v>
      </c>
      <c r="AG6" s="190">
        <v>0</v>
      </c>
      <c r="AH6" s="190">
        <v>5</v>
      </c>
      <c r="AI6" s="190">
        <v>12702</v>
      </c>
      <c r="AJ6" s="190">
        <v>18469</v>
      </c>
      <c r="AK6" s="190">
        <v>5</v>
      </c>
      <c r="AL6" s="190">
        <v>5</v>
      </c>
      <c r="AM6" s="190">
        <v>1</v>
      </c>
      <c r="AN6" s="190">
        <v>5</v>
      </c>
      <c r="AO6" s="190">
        <v>5</v>
      </c>
      <c r="AP6" s="190" t="s">
        <v>307</v>
      </c>
      <c r="AQ6" s="190">
        <v>4000</v>
      </c>
      <c r="AR6" s="190">
        <v>0</v>
      </c>
      <c r="AS6" s="190"/>
      <c r="AT6" s="190">
        <v>4000</v>
      </c>
      <c r="AU6" s="190">
        <v>-1</v>
      </c>
      <c r="AV6" s="190">
        <v>102369</v>
      </c>
      <c r="AW6" s="190">
        <v>0</v>
      </c>
      <c r="AX6" s="190">
        <v>102369</v>
      </c>
      <c r="AY6" s="190">
        <v>1</v>
      </c>
      <c r="AZ6" s="190">
        <v>98470</v>
      </c>
      <c r="BA6" s="190">
        <v>4003</v>
      </c>
      <c r="BB6" s="190">
        <v>100</v>
      </c>
      <c r="BC6" s="190"/>
      <c r="BD6" s="190">
        <v>0</v>
      </c>
      <c r="BE6" s="190">
        <v>0</v>
      </c>
      <c r="BF6" s="190">
        <v>98374</v>
      </c>
      <c r="BG6" s="190">
        <v>102369</v>
      </c>
      <c r="BH6" s="190">
        <v>98469</v>
      </c>
      <c r="BI6" s="190">
        <v>7000</v>
      </c>
      <c r="BJ6" s="190">
        <v>0</v>
      </c>
      <c r="BK6" s="190"/>
      <c r="BL6" s="190" t="s">
        <v>306</v>
      </c>
      <c r="BM6" s="190">
        <v>7000</v>
      </c>
      <c r="BN6" s="190">
        <v>-999999</v>
      </c>
      <c r="BO6" s="190">
        <v>104089</v>
      </c>
      <c r="BP6" s="190">
        <v>104089</v>
      </c>
      <c r="BQ6" s="190">
        <v>49</v>
      </c>
      <c r="BR6" s="190">
        <v>103458</v>
      </c>
      <c r="BS6" s="190">
        <v>0</v>
      </c>
      <c r="BT6" s="190">
        <v>100</v>
      </c>
      <c r="BU6" s="190">
        <v>1</v>
      </c>
      <c r="BV6" s="190">
        <v>631</v>
      </c>
      <c r="BW6" s="190">
        <v>104089</v>
      </c>
      <c r="BX6" s="190">
        <v>103413</v>
      </c>
      <c r="BY6" s="190">
        <v>110309</v>
      </c>
      <c r="BZ6" s="190">
        <v>103409</v>
      </c>
      <c r="CA6" s="190">
        <v>4000</v>
      </c>
      <c r="CB6" s="190">
        <v>0</v>
      </c>
      <c r="CC6" s="190"/>
      <c r="CD6" s="190">
        <v>4000</v>
      </c>
      <c r="CE6" s="190">
        <v>-10</v>
      </c>
      <c r="CF6" s="190">
        <v>113369</v>
      </c>
      <c r="CG6" s="190">
        <v>0</v>
      </c>
      <c r="CH6" s="190">
        <v>113369</v>
      </c>
      <c r="CI6" s="190">
        <v>10</v>
      </c>
      <c r="CJ6" s="190">
        <v>109479</v>
      </c>
      <c r="CK6" s="190">
        <v>0</v>
      </c>
      <c r="CL6" s="190">
        <v>100</v>
      </c>
      <c r="CM6" s="190"/>
      <c r="CN6" s="190">
        <v>0</v>
      </c>
      <c r="CO6" s="190">
        <v>0</v>
      </c>
      <c r="CP6" s="190">
        <v>109369</v>
      </c>
      <c r="CQ6" s="190">
        <v>113369</v>
      </c>
      <c r="CR6" s="190">
        <v>109469</v>
      </c>
      <c r="CS6" s="190">
        <v>15</v>
      </c>
      <c r="CT6" s="190">
        <v>4</v>
      </c>
      <c r="CU6" s="190">
        <v>0</v>
      </c>
      <c r="CV6" s="190">
        <v>9</v>
      </c>
      <c r="CW6" s="190">
        <v>10</v>
      </c>
      <c r="CX6" s="190">
        <v>1</v>
      </c>
      <c r="CY6" s="190">
        <v>2</v>
      </c>
      <c r="CZ6" s="190">
        <v>3</v>
      </c>
      <c r="DA6" s="190">
        <v>4</v>
      </c>
      <c r="DB6" s="190">
        <v>5</v>
      </c>
      <c r="DC6" s="190">
        <v>6</v>
      </c>
      <c r="DD6" s="190">
        <v>7</v>
      </c>
      <c r="DE6" s="190">
        <v>8</v>
      </c>
      <c r="DF6" s="190" t="s">
        <v>415</v>
      </c>
      <c r="DG6" s="190" t="s">
        <v>308</v>
      </c>
      <c r="DH6" s="190" t="s">
        <v>18</v>
      </c>
      <c r="DI6" s="190">
        <v>0</v>
      </c>
      <c r="DJ6" s="190">
        <v>1</v>
      </c>
      <c r="DK6" s="190">
        <v>102474</v>
      </c>
      <c r="DL6" s="190">
        <v>4</v>
      </c>
      <c r="DM6" s="190">
        <v>102473</v>
      </c>
      <c r="DN6" s="190">
        <v>51</v>
      </c>
      <c r="DO6" s="190">
        <v>7000</v>
      </c>
      <c r="DP6" s="190">
        <v>0</v>
      </c>
      <c r="DQ6" s="190"/>
      <c r="DR6" s="190">
        <v>7000</v>
      </c>
      <c r="DS6" s="190">
        <v>-1673</v>
      </c>
      <c r="DT6" s="190">
        <v>109369</v>
      </c>
      <c r="DU6" s="190">
        <v>0</v>
      </c>
      <c r="DV6" s="190">
        <v>109369</v>
      </c>
      <c r="DW6" s="190">
        <v>1673</v>
      </c>
      <c r="DX6" s="190">
        <v>104142</v>
      </c>
      <c r="DY6" s="190">
        <v>5337</v>
      </c>
      <c r="DZ6" s="190">
        <v>100</v>
      </c>
      <c r="EA6" s="190"/>
      <c r="EB6" s="190">
        <v>0</v>
      </c>
      <c r="EC6" s="190">
        <v>0</v>
      </c>
      <c r="ED6" s="190">
        <v>104092</v>
      </c>
      <c r="EE6" s="190">
        <v>109369</v>
      </c>
      <c r="EF6" s="190">
        <v>102469</v>
      </c>
      <c r="EG6" s="190">
        <v>5</v>
      </c>
    </row>
    <row r="7" spans="1:137" x14ac:dyDescent="0.2">
      <c r="A7" s="190" t="s">
        <v>309</v>
      </c>
      <c r="B7" s="263" t="s">
        <v>426</v>
      </c>
      <c r="C7" s="190">
        <v>1</v>
      </c>
      <c r="D7" s="190" t="s">
        <v>418</v>
      </c>
      <c r="E7" s="190" t="s">
        <v>419</v>
      </c>
      <c r="F7" s="190">
        <v>59.963000000000001</v>
      </c>
      <c r="G7" s="190" t="s">
        <v>310</v>
      </c>
      <c r="H7" s="190">
        <v>1</v>
      </c>
      <c r="I7" s="190">
        <v>6000</v>
      </c>
      <c r="J7" s="190">
        <v>-41</v>
      </c>
      <c r="K7" s="190">
        <v>0</v>
      </c>
      <c r="L7" s="190">
        <v>24369</v>
      </c>
      <c r="M7" s="190">
        <v>41</v>
      </c>
      <c r="N7" s="190">
        <v>18510</v>
      </c>
      <c r="O7" s="190">
        <v>5971</v>
      </c>
      <c r="P7" s="190"/>
      <c r="Q7" s="190">
        <v>0</v>
      </c>
      <c r="R7" s="190">
        <v>0</v>
      </c>
      <c r="S7" s="190">
        <v>696637077</v>
      </c>
      <c r="T7" s="190" t="s">
        <v>303</v>
      </c>
      <c r="U7" s="190" t="s">
        <v>304</v>
      </c>
      <c r="V7" s="190" t="s">
        <v>304</v>
      </c>
      <c r="W7" s="190" t="s">
        <v>398</v>
      </c>
      <c r="X7" s="190" t="s">
        <v>420</v>
      </c>
      <c r="Y7" s="260">
        <v>0.39193287037037039</v>
      </c>
      <c r="Z7" s="190" t="s">
        <v>305</v>
      </c>
      <c r="AA7" s="190" t="s">
        <v>306</v>
      </c>
      <c r="AB7" s="190">
        <v>-1</v>
      </c>
      <c r="AC7" s="190">
        <v>-999999</v>
      </c>
      <c r="AD7" s="190">
        <v>18469</v>
      </c>
      <c r="AE7" s="190">
        <v>39</v>
      </c>
      <c r="AF7" s="190">
        <v>5767</v>
      </c>
      <c r="AG7" s="190">
        <v>0</v>
      </c>
      <c r="AH7" s="190">
        <v>5</v>
      </c>
      <c r="AI7" s="190">
        <v>12702</v>
      </c>
      <c r="AJ7" s="190">
        <v>18469</v>
      </c>
      <c r="AK7" s="190">
        <v>6</v>
      </c>
      <c r="AL7" s="190">
        <v>6</v>
      </c>
      <c r="AM7" s="190">
        <v>1</v>
      </c>
      <c r="AN7" s="190">
        <v>6</v>
      </c>
      <c r="AO7" s="190">
        <v>8</v>
      </c>
      <c r="AP7" s="190" t="s">
        <v>307</v>
      </c>
      <c r="AQ7" s="190">
        <v>4000</v>
      </c>
      <c r="AR7" s="190">
        <v>0</v>
      </c>
      <c r="AS7" s="190"/>
      <c r="AT7" s="190">
        <v>4000</v>
      </c>
      <c r="AU7" s="190">
        <v>-13</v>
      </c>
      <c r="AV7" s="190">
        <v>117369</v>
      </c>
      <c r="AW7" s="190">
        <v>0</v>
      </c>
      <c r="AX7" s="190">
        <v>117369</v>
      </c>
      <c r="AY7" s="190">
        <v>13</v>
      </c>
      <c r="AZ7" s="190">
        <v>113482</v>
      </c>
      <c r="BA7" s="190">
        <v>4003</v>
      </c>
      <c r="BB7" s="190">
        <v>100</v>
      </c>
      <c r="BC7" s="190"/>
      <c r="BD7" s="190">
        <v>0</v>
      </c>
      <c r="BE7" s="190">
        <v>0</v>
      </c>
      <c r="BF7" s="190">
        <v>113374</v>
      </c>
      <c r="BG7" s="190">
        <v>117369</v>
      </c>
      <c r="BH7" s="190">
        <v>113469</v>
      </c>
      <c r="BI7" s="190">
        <v>7000</v>
      </c>
      <c r="BJ7" s="190">
        <v>0</v>
      </c>
      <c r="BK7" s="190"/>
      <c r="BL7" s="190" t="s">
        <v>306</v>
      </c>
      <c r="BM7" s="190">
        <v>7000</v>
      </c>
      <c r="BN7" s="190">
        <v>-999999</v>
      </c>
      <c r="BO7" s="190">
        <v>119304</v>
      </c>
      <c r="BP7" s="190">
        <v>119304</v>
      </c>
      <c r="BQ7" s="190">
        <v>40</v>
      </c>
      <c r="BR7" s="190">
        <v>118936</v>
      </c>
      <c r="BS7" s="190">
        <v>0</v>
      </c>
      <c r="BT7" s="190">
        <v>100</v>
      </c>
      <c r="BU7" s="190">
        <v>1</v>
      </c>
      <c r="BV7" s="190">
        <v>368</v>
      </c>
      <c r="BW7" s="190">
        <v>119304</v>
      </c>
      <c r="BX7" s="190">
        <v>118900</v>
      </c>
      <c r="BY7" s="190">
        <v>125796</v>
      </c>
      <c r="BZ7" s="190">
        <v>118896</v>
      </c>
      <c r="CA7" s="190">
        <v>2000</v>
      </c>
      <c r="CB7" s="190">
        <v>0</v>
      </c>
      <c r="CC7" s="190"/>
      <c r="CD7" s="190">
        <v>2000</v>
      </c>
      <c r="CE7" s="190">
        <v>-4</v>
      </c>
      <c r="CF7" s="190">
        <v>126369</v>
      </c>
      <c r="CG7" s="190">
        <v>0</v>
      </c>
      <c r="CH7" s="190">
        <v>126369</v>
      </c>
      <c r="CI7" s="190">
        <v>4</v>
      </c>
      <c r="CJ7" s="190">
        <v>124473</v>
      </c>
      <c r="CK7" s="190">
        <v>0</v>
      </c>
      <c r="CL7" s="190">
        <v>100</v>
      </c>
      <c r="CM7" s="190"/>
      <c r="CN7" s="190">
        <v>0</v>
      </c>
      <c r="CO7" s="190">
        <v>0</v>
      </c>
      <c r="CP7" s="190">
        <v>124369</v>
      </c>
      <c r="CQ7" s="190">
        <v>126369</v>
      </c>
      <c r="CR7" s="190">
        <v>124469</v>
      </c>
      <c r="CS7" s="190">
        <v>15</v>
      </c>
      <c r="CT7" s="190">
        <v>4</v>
      </c>
      <c r="CU7" s="190">
        <v>0</v>
      </c>
      <c r="CV7" s="190">
        <v>9</v>
      </c>
      <c r="CW7" s="190">
        <v>10</v>
      </c>
      <c r="CX7" s="190">
        <v>1</v>
      </c>
      <c r="CY7" s="190">
        <v>2</v>
      </c>
      <c r="CZ7" s="190">
        <v>3</v>
      </c>
      <c r="DA7" s="190">
        <v>4</v>
      </c>
      <c r="DB7" s="190">
        <v>5</v>
      </c>
      <c r="DC7" s="190">
        <v>6</v>
      </c>
      <c r="DD7" s="190">
        <v>7</v>
      </c>
      <c r="DE7" s="190">
        <v>8</v>
      </c>
      <c r="DF7" s="190" t="s">
        <v>413</v>
      </c>
      <c r="DG7" s="190" t="s">
        <v>308</v>
      </c>
      <c r="DH7" s="190" t="s">
        <v>18</v>
      </c>
      <c r="DI7" s="190">
        <v>0</v>
      </c>
      <c r="DJ7" s="190">
        <v>0</v>
      </c>
      <c r="DK7" s="190">
        <v>117485</v>
      </c>
      <c r="DL7" s="190">
        <v>16</v>
      </c>
      <c r="DM7" s="190">
        <v>117485</v>
      </c>
      <c r="DN7" s="190">
        <v>50</v>
      </c>
      <c r="DO7" s="190">
        <v>7000</v>
      </c>
      <c r="DP7" s="190">
        <v>0</v>
      </c>
      <c r="DQ7" s="190"/>
      <c r="DR7" s="190">
        <v>7000</v>
      </c>
      <c r="DS7" s="190">
        <v>-1884</v>
      </c>
      <c r="DT7" s="190">
        <v>124369</v>
      </c>
      <c r="DU7" s="190">
        <v>0</v>
      </c>
      <c r="DV7" s="190">
        <v>124369</v>
      </c>
      <c r="DW7" s="190">
        <v>1884</v>
      </c>
      <c r="DX7" s="190">
        <v>119353</v>
      </c>
      <c r="DY7" s="190">
        <v>5120</v>
      </c>
      <c r="DZ7" s="190">
        <v>100</v>
      </c>
      <c r="EA7" s="190"/>
      <c r="EB7" s="190">
        <v>0</v>
      </c>
      <c r="EC7" s="190">
        <v>0</v>
      </c>
      <c r="ED7" s="190">
        <v>119306</v>
      </c>
      <c r="EE7" s="190">
        <v>124369</v>
      </c>
      <c r="EF7" s="190">
        <v>117469</v>
      </c>
      <c r="EG7" s="190">
        <v>6</v>
      </c>
    </row>
    <row r="8" spans="1:137" x14ac:dyDescent="0.2">
      <c r="A8" s="190" t="s">
        <v>309</v>
      </c>
      <c r="B8" s="263" t="s">
        <v>426</v>
      </c>
      <c r="C8" s="190">
        <v>1</v>
      </c>
      <c r="D8" s="190" t="s">
        <v>418</v>
      </c>
      <c r="E8" s="190" t="s">
        <v>419</v>
      </c>
      <c r="F8" s="190">
        <v>59.963000000000001</v>
      </c>
      <c r="G8" s="190" t="s">
        <v>310</v>
      </c>
      <c r="H8" s="190">
        <v>1</v>
      </c>
      <c r="I8" s="190">
        <v>6000</v>
      </c>
      <c r="J8" s="190">
        <v>-41</v>
      </c>
      <c r="K8" s="190">
        <v>0</v>
      </c>
      <c r="L8" s="190">
        <v>24369</v>
      </c>
      <c r="M8" s="190">
        <v>41</v>
      </c>
      <c r="N8" s="190">
        <v>18510</v>
      </c>
      <c r="O8" s="190">
        <v>5971</v>
      </c>
      <c r="P8" s="190"/>
      <c r="Q8" s="190">
        <v>0</v>
      </c>
      <c r="R8" s="190">
        <v>0</v>
      </c>
      <c r="S8" s="190">
        <v>696637077</v>
      </c>
      <c r="T8" s="190" t="s">
        <v>303</v>
      </c>
      <c r="U8" s="190" t="s">
        <v>304</v>
      </c>
      <c r="V8" s="190" t="s">
        <v>304</v>
      </c>
      <c r="W8" s="190" t="s">
        <v>398</v>
      </c>
      <c r="X8" s="190" t="s">
        <v>420</v>
      </c>
      <c r="Y8" s="260">
        <v>0.39193287037037039</v>
      </c>
      <c r="Z8" s="190" t="s">
        <v>305</v>
      </c>
      <c r="AA8" s="190" t="s">
        <v>306</v>
      </c>
      <c r="AB8" s="190">
        <v>-1</v>
      </c>
      <c r="AC8" s="190">
        <v>-999999</v>
      </c>
      <c r="AD8" s="190">
        <v>18469</v>
      </c>
      <c r="AE8" s="190">
        <v>39</v>
      </c>
      <c r="AF8" s="190">
        <v>5767</v>
      </c>
      <c r="AG8" s="190">
        <v>0</v>
      </c>
      <c r="AH8" s="190">
        <v>5</v>
      </c>
      <c r="AI8" s="190">
        <v>12702</v>
      </c>
      <c r="AJ8" s="190">
        <v>18469</v>
      </c>
      <c r="AK8" s="190">
        <v>7</v>
      </c>
      <c r="AL8" s="190">
        <v>7</v>
      </c>
      <c r="AM8" s="190">
        <v>1</v>
      </c>
      <c r="AN8" s="190">
        <v>7</v>
      </c>
      <c r="AO8" s="190">
        <v>0</v>
      </c>
      <c r="AP8" s="190" t="s">
        <v>307</v>
      </c>
      <c r="AQ8" s="190">
        <v>4000</v>
      </c>
      <c r="AR8" s="190">
        <v>0</v>
      </c>
      <c r="AS8" s="190"/>
      <c r="AT8" s="190">
        <v>4000</v>
      </c>
      <c r="AU8" s="190">
        <v>-6</v>
      </c>
      <c r="AV8" s="190">
        <v>130369</v>
      </c>
      <c r="AW8" s="190">
        <v>0</v>
      </c>
      <c r="AX8" s="190">
        <v>130369</v>
      </c>
      <c r="AY8" s="190">
        <v>6</v>
      </c>
      <c r="AZ8" s="190">
        <v>126475</v>
      </c>
      <c r="BA8" s="190">
        <v>4003</v>
      </c>
      <c r="BB8" s="190">
        <v>100</v>
      </c>
      <c r="BC8" s="190"/>
      <c r="BD8" s="190">
        <v>0</v>
      </c>
      <c r="BE8" s="190">
        <v>0</v>
      </c>
      <c r="BF8" s="190">
        <v>126374</v>
      </c>
      <c r="BG8" s="190">
        <v>130369</v>
      </c>
      <c r="BH8" s="190">
        <v>126469</v>
      </c>
      <c r="BI8" s="190">
        <v>7000</v>
      </c>
      <c r="BJ8" s="190">
        <v>0</v>
      </c>
      <c r="BK8" s="190"/>
      <c r="BL8" s="190" t="s">
        <v>306</v>
      </c>
      <c r="BM8" s="190">
        <v>7000</v>
      </c>
      <c r="BN8" s="190">
        <v>-999999</v>
      </c>
      <c r="BO8" s="190">
        <v>134367</v>
      </c>
      <c r="BP8" s="190">
        <v>134367</v>
      </c>
      <c r="BQ8" s="190">
        <v>41</v>
      </c>
      <c r="BR8" s="190">
        <v>134064</v>
      </c>
      <c r="BS8" s="190">
        <v>0</v>
      </c>
      <c r="BT8" s="190">
        <v>100</v>
      </c>
      <c r="BU8" s="190">
        <v>1</v>
      </c>
      <c r="BV8" s="190">
        <v>303</v>
      </c>
      <c r="BW8" s="190">
        <v>134367</v>
      </c>
      <c r="BX8" s="190">
        <v>134026</v>
      </c>
      <c r="BY8" s="190">
        <v>140923</v>
      </c>
      <c r="BZ8" s="190">
        <v>134023</v>
      </c>
      <c r="CA8" s="190">
        <v>8000</v>
      </c>
      <c r="CB8" s="190">
        <v>0</v>
      </c>
      <c r="CC8" s="190"/>
      <c r="CD8" s="190">
        <v>8000</v>
      </c>
      <c r="CE8" s="190">
        <v>-14</v>
      </c>
      <c r="CF8" s="190">
        <v>145369</v>
      </c>
      <c r="CG8" s="190">
        <v>0</v>
      </c>
      <c r="CH8" s="190">
        <v>145369</v>
      </c>
      <c r="CI8" s="190">
        <v>14</v>
      </c>
      <c r="CJ8" s="190">
        <v>137483</v>
      </c>
      <c r="CK8" s="190">
        <v>0</v>
      </c>
      <c r="CL8" s="190">
        <v>100</v>
      </c>
      <c r="CM8" s="190"/>
      <c r="CN8" s="190">
        <v>0</v>
      </c>
      <c r="CO8" s="190">
        <v>0</v>
      </c>
      <c r="CP8" s="190">
        <v>137369</v>
      </c>
      <c r="CQ8" s="190">
        <v>145369</v>
      </c>
      <c r="CR8" s="190">
        <v>137469</v>
      </c>
      <c r="CS8" s="190">
        <v>15</v>
      </c>
      <c r="CT8" s="190">
        <v>4</v>
      </c>
      <c r="CU8" s="190">
        <v>0</v>
      </c>
      <c r="CV8" s="190">
        <v>9</v>
      </c>
      <c r="CW8" s="190">
        <v>10</v>
      </c>
      <c r="CX8" s="190">
        <v>1</v>
      </c>
      <c r="CY8" s="190">
        <v>2</v>
      </c>
      <c r="CZ8" s="190">
        <v>3</v>
      </c>
      <c r="DA8" s="190">
        <v>4</v>
      </c>
      <c r="DB8" s="190">
        <v>5</v>
      </c>
      <c r="DC8" s="190">
        <v>6</v>
      </c>
      <c r="DD8" s="190">
        <v>7</v>
      </c>
      <c r="DE8" s="190">
        <v>8</v>
      </c>
      <c r="DF8" s="190" t="s">
        <v>402</v>
      </c>
      <c r="DG8" s="190" t="s">
        <v>308</v>
      </c>
      <c r="DH8" s="190" t="s">
        <v>18</v>
      </c>
      <c r="DI8" s="190">
        <v>0</v>
      </c>
      <c r="DJ8" s="190">
        <v>0</v>
      </c>
      <c r="DK8" s="190">
        <v>130478</v>
      </c>
      <c r="DL8" s="190">
        <v>9</v>
      </c>
      <c r="DM8" s="190">
        <v>130478</v>
      </c>
      <c r="DN8" s="190">
        <v>50</v>
      </c>
      <c r="DO8" s="190">
        <v>7000</v>
      </c>
      <c r="DP8" s="190">
        <v>0</v>
      </c>
      <c r="DQ8" s="190"/>
      <c r="DR8" s="190">
        <v>7000</v>
      </c>
      <c r="DS8" s="190">
        <v>-3945</v>
      </c>
      <c r="DT8" s="190">
        <v>137369</v>
      </c>
      <c r="DU8" s="190">
        <v>0</v>
      </c>
      <c r="DV8" s="190">
        <v>137369</v>
      </c>
      <c r="DW8" s="190">
        <v>3945</v>
      </c>
      <c r="DX8" s="190">
        <v>134414</v>
      </c>
      <c r="DY8" s="190">
        <v>3069</v>
      </c>
      <c r="DZ8" s="190">
        <v>100</v>
      </c>
      <c r="EA8" s="190"/>
      <c r="EB8" s="190">
        <v>0</v>
      </c>
      <c r="EC8" s="190">
        <v>0</v>
      </c>
      <c r="ED8" s="190">
        <v>134370</v>
      </c>
      <c r="EE8" s="190">
        <v>137369</v>
      </c>
      <c r="EF8" s="190">
        <v>130469</v>
      </c>
      <c r="EG8" s="190">
        <v>7</v>
      </c>
    </row>
    <row r="9" spans="1:137" x14ac:dyDescent="0.2">
      <c r="A9" s="190" t="s">
        <v>309</v>
      </c>
      <c r="B9" s="263" t="s">
        <v>426</v>
      </c>
      <c r="C9" s="190">
        <v>1</v>
      </c>
      <c r="D9" s="190" t="s">
        <v>418</v>
      </c>
      <c r="E9" s="190" t="s">
        <v>419</v>
      </c>
      <c r="F9" s="190">
        <v>59.963000000000001</v>
      </c>
      <c r="G9" s="190" t="s">
        <v>310</v>
      </c>
      <c r="H9" s="190">
        <v>1</v>
      </c>
      <c r="I9" s="190">
        <v>6000</v>
      </c>
      <c r="J9" s="190">
        <v>-41</v>
      </c>
      <c r="K9" s="190">
        <v>0</v>
      </c>
      <c r="L9" s="190">
        <v>24369</v>
      </c>
      <c r="M9" s="190">
        <v>41</v>
      </c>
      <c r="N9" s="190">
        <v>18510</v>
      </c>
      <c r="O9" s="190">
        <v>5971</v>
      </c>
      <c r="P9" s="190"/>
      <c r="Q9" s="190">
        <v>0</v>
      </c>
      <c r="R9" s="190">
        <v>0</v>
      </c>
      <c r="S9" s="190">
        <v>696637077</v>
      </c>
      <c r="T9" s="190" t="s">
        <v>303</v>
      </c>
      <c r="U9" s="190" t="s">
        <v>304</v>
      </c>
      <c r="V9" s="190" t="s">
        <v>304</v>
      </c>
      <c r="W9" s="190" t="s">
        <v>398</v>
      </c>
      <c r="X9" s="190" t="s">
        <v>420</v>
      </c>
      <c r="Y9" s="260">
        <v>0.39193287037037039</v>
      </c>
      <c r="Z9" s="190" t="s">
        <v>305</v>
      </c>
      <c r="AA9" s="190" t="s">
        <v>306</v>
      </c>
      <c r="AB9" s="190">
        <v>-1</v>
      </c>
      <c r="AC9" s="190">
        <v>-999999</v>
      </c>
      <c r="AD9" s="190">
        <v>18469</v>
      </c>
      <c r="AE9" s="190">
        <v>39</v>
      </c>
      <c r="AF9" s="190">
        <v>5767</v>
      </c>
      <c r="AG9" s="190">
        <v>0</v>
      </c>
      <c r="AH9" s="190">
        <v>5</v>
      </c>
      <c r="AI9" s="190">
        <v>12702</v>
      </c>
      <c r="AJ9" s="190">
        <v>18469</v>
      </c>
      <c r="AK9" s="190">
        <v>8</v>
      </c>
      <c r="AL9" s="190">
        <v>8</v>
      </c>
      <c r="AM9" s="190">
        <v>1</v>
      </c>
      <c r="AN9" s="190">
        <v>8</v>
      </c>
      <c r="AO9" s="190">
        <v>3</v>
      </c>
      <c r="AP9" s="190" t="s">
        <v>307</v>
      </c>
      <c r="AQ9" s="190">
        <v>4000</v>
      </c>
      <c r="AR9" s="190">
        <v>0</v>
      </c>
      <c r="AS9" s="190"/>
      <c r="AT9" s="190">
        <v>4000</v>
      </c>
      <c r="AU9" s="190">
        <v>-4</v>
      </c>
      <c r="AV9" s="190">
        <v>149369</v>
      </c>
      <c r="AW9" s="190">
        <v>0</v>
      </c>
      <c r="AX9" s="190">
        <v>149369</v>
      </c>
      <c r="AY9" s="190">
        <v>4</v>
      </c>
      <c r="AZ9" s="190">
        <v>145473</v>
      </c>
      <c r="BA9" s="190">
        <v>4003</v>
      </c>
      <c r="BB9" s="190">
        <v>100</v>
      </c>
      <c r="BC9" s="190"/>
      <c r="BD9" s="190">
        <v>0</v>
      </c>
      <c r="BE9" s="190">
        <v>0</v>
      </c>
      <c r="BF9" s="190">
        <v>145374</v>
      </c>
      <c r="BG9" s="190">
        <v>149369</v>
      </c>
      <c r="BH9" s="190">
        <v>145469</v>
      </c>
      <c r="BI9" s="190">
        <v>7000</v>
      </c>
      <c r="BJ9" s="190">
        <v>0</v>
      </c>
      <c r="BK9" s="190"/>
      <c r="BL9" s="190" t="s">
        <v>306</v>
      </c>
      <c r="BM9" s="190">
        <v>7000</v>
      </c>
      <c r="BN9" s="190">
        <v>-999999</v>
      </c>
      <c r="BO9" s="190">
        <v>151517</v>
      </c>
      <c r="BP9" s="190">
        <v>151517</v>
      </c>
      <c r="BQ9" s="190">
        <v>42</v>
      </c>
      <c r="BR9" s="190">
        <v>151144</v>
      </c>
      <c r="BS9" s="190">
        <v>0</v>
      </c>
      <c r="BT9" s="190">
        <v>100</v>
      </c>
      <c r="BU9" s="190">
        <v>1</v>
      </c>
      <c r="BV9" s="190">
        <v>373</v>
      </c>
      <c r="BW9" s="190">
        <v>151517</v>
      </c>
      <c r="BX9" s="190">
        <v>151106</v>
      </c>
      <c r="BY9" s="190">
        <v>158002</v>
      </c>
      <c r="BZ9" s="190">
        <v>151102</v>
      </c>
      <c r="CA9" s="190">
        <v>8000</v>
      </c>
      <c r="CB9" s="190">
        <v>0</v>
      </c>
      <c r="CC9" s="190"/>
      <c r="CD9" s="190">
        <v>8000</v>
      </c>
      <c r="CE9" s="190">
        <v>-12</v>
      </c>
      <c r="CF9" s="190">
        <v>164369</v>
      </c>
      <c r="CG9" s="190">
        <v>0</v>
      </c>
      <c r="CH9" s="190">
        <v>164369</v>
      </c>
      <c r="CI9" s="190">
        <v>12</v>
      </c>
      <c r="CJ9" s="190">
        <v>156481</v>
      </c>
      <c r="CK9" s="190">
        <v>0</v>
      </c>
      <c r="CL9" s="190">
        <v>100</v>
      </c>
      <c r="CM9" s="190"/>
      <c r="CN9" s="190">
        <v>0</v>
      </c>
      <c r="CO9" s="190">
        <v>0</v>
      </c>
      <c r="CP9" s="190">
        <v>156369</v>
      </c>
      <c r="CQ9" s="190">
        <v>164369</v>
      </c>
      <c r="CR9" s="190">
        <v>156469</v>
      </c>
      <c r="CS9" s="190">
        <v>15</v>
      </c>
      <c r="CT9" s="190">
        <v>4</v>
      </c>
      <c r="CU9" s="190">
        <v>0</v>
      </c>
      <c r="CV9" s="190">
        <v>9</v>
      </c>
      <c r="CW9" s="190">
        <v>10</v>
      </c>
      <c r="CX9" s="190">
        <v>1</v>
      </c>
      <c r="CY9" s="190">
        <v>2</v>
      </c>
      <c r="CZ9" s="190">
        <v>3</v>
      </c>
      <c r="DA9" s="190">
        <v>4</v>
      </c>
      <c r="DB9" s="190">
        <v>5</v>
      </c>
      <c r="DC9" s="190">
        <v>6</v>
      </c>
      <c r="DD9" s="190">
        <v>7</v>
      </c>
      <c r="DE9" s="190">
        <v>8</v>
      </c>
      <c r="DF9" s="190" t="s">
        <v>404</v>
      </c>
      <c r="DG9" s="190" t="s">
        <v>308</v>
      </c>
      <c r="DH9" s="190" t="s">
        <v>18</v>
      </c>
      <c r="DI9" s="190">
        <v>0</v>
      </c>
      <c r="DJ9" s="190">
        <v>0</v>
      </c>
      <c r="DK9" s="190">
        <v>149476</v>
      </c>
      <c r="DL9" s="190">
        <v>7</v>
      </c>
      <c r="DM9" s="190">
        <v>149476</v>
      </c>
      <c r="DN9" s="190">
        <v>50</v>
      </c>
      <c r="DO9" s="190">
        <v>7000</v>
      </c>
      <c r="DP9" s="190">
        <v>0</v>
      </c>
      <c r="DQ9" s="190"/>
      <c r="DR9" s="190">
        <v>7000</v>
      </c>
      <c r="DS9" s="190">
        <v>-2092</v>
      </c>
      <c r="DT9" s="190">
        <v>156369</v>
      </c>
      <c r="DU9" s="190">
        <v>0</v>
      </c>
      <c r="DV9" s="190">
        <v>156369</v>
      </c>
      <c r="DW9" s="190">
        <v>2092</v>
      </c>
      <c r="DX9" s="190">
        <v>151561</v>
      </c>
      <c r="DY9" s="190">
        <v>4920</v>
      </c>
      <c r="DZ9" s="190">
        <v>100</v>
      </c>
      <c r="EA9" s="190"/>
      <c r="EB9" s="190">
        <v>0</v>
      </c>
      <c r="EC9" s="190">
        <v>0</v>
      </c>
      <c r="ED9" s="190">
        <v>151519</v>
      </c>
      <c r="EE9" s="190">
        <v>156369</v>
      </c>
      <c r="EF9" s="190">
        <v>149469</v>
      </c>
      <c r="EG9" s="190">
        <v>8</v>
      </c>
    </row>
    <row r="10" spans="1:137" x14ac:dyDescent="0.2">
      <c r="A10" s="190" t="s">
        <v>309</v>
      </c>
      <c r="B10" s="263" t="s">
        <v>426</v>
      </c>
      <c r="C10" s="190">
        <v>1</v>
      </c>
      <c r="D10" s="190" t="s">
        <v>418</v>
      </c>
      <c r="E10" s="190" t="s">
        <v>419</v>
      </c>
      <c r="F10" s="190">
        <v>59.963000000000001</v>
      </c>
      <c r="G10" s="190" t="s">
        <v>310</v>
      </c>
      <c r="H10" s="190">
        <v>1</v>
      </c>
      <c r="I10" s="190">
        <v>6000</v>
      </c>
      <c r="J10" s="190">
        <v>-41</v>
      </c>
      <c r="K10" s="190">
        <v>0</v>
      </c>
      <c r="L10" s="190">
        <v>24369</v>
      </c>
      <c r="M10" s="190">
        <v>41</v>
      </c>
      <c r="N10" s="190">
        <v>18510</v>
      </c>
      <c r="O10" s="190">
        <v>5971</v>
      </c>
      <c r="P10" s="190"/>
      <c r="Q10" s="190">
        <v>0</v>
      </c>
      <c r="R10" s="190">
        <v>0</v>
      </c>
      <c r="S10" s="190">
        <v>696637077</v>
      </c>
      <c r="T10" s="190" t="s">
        <v>303</v>
      </c>
      <c r="U10" s="190" t="s">
        <v>304</v>
      </c>
      <c r="V10" s="190" t="s">
        <v>304</v>
      </c>
      <c r="W10" s="190" t="s">
        <v>398</v>
      </c>
      <c r="X10" s="190" t="s">
        <v>420</v>
      </c>
      <c r="Y10" s="260">
        <v>0.39193287037037039</v>
      </c>
      <c r="Z10" s="190" t="s">
        <v>305</v>
      </c>
      <c r="AA10" s="190" t="s">
        <v>306</v>
      </c>
      <c r="AB10" s="190">
        <v>-1</v>
      </c>
      <c r="AC10" s="190">
        <v>-999999</v>
      </c>
      <c r="AD10" s="190">
        <v>18469</v>
      </c>
      <c r="AE10" s="190">
        <v>39</v>
      </c>
      <c r="AF10" s="190">
        <v>5767</v>
      </c>
      <c r="AG10" s="190">
        <v>0</v>
      </c>
      <c r="AH10" s="190">
        <v>5</v>
      </c>
      <c r="AI10" s="190">
        <v>12702</v>
      </c>
      <c r="AJ10" s="190">
        <v>18469</v>
      </c>
      <c r="AK10" s="190">
        <v>9</v>
      </c>
      <c r="AL10" s="190">
        <v>9</v>
      </c>
      <c r="AM10" s="190">
        <v>1</v>
      </c>
      <c r="AN10" s="190">
        <v>9</v>
      </c>
      <c r="AO10" s="190">
        <v>0</v>
      </c>
      <c r="AP10" s="190" t="s">
        <v>307</v>
      </c>
      <c r="AQ10" s="190">
        <v>4000</v>
      </c>
      <c r="AR10" s="190">
        <v>0</v>
      </c>
      <c r="AS10" s="190"/>
      <c r="AT10" s="190">
        <v>4000</v>
      </c>
      <c r="AU10" s="190">
        <v>-1</v>
      </c>
      <c r="AV10" s="190">
        <v>168369</v>
      </c>
      <c r="AW10" s="190">
        <v>0</v>
      </c>
      <c r="AX10" s="190">
        <v>168369</v>
      </c>
      <c r="AY10" s="190">
        <v>1</v>
      </c>
      <c r="AZ10" s="190">
        <v>164470</v>
      </c>
      <c r="BA10" s="190">
        <v>4003</v>
      </c>
      <c r="BB10" s="190">
        <v>100</v>
      </c>
      <c r="BC10" s="190"/>
      <c r="BD10" s="190">
        <v>0</v>
      </c>
      <c r="BE10" s="190">
        <v>0</v>
      </c>
      <c r="BF10" s="190">
        <v>164374</v>
      </c>
      <c r="BG10" s="190">
        <v>168369</v>
      </c>
      <c r="BH10" s="190">
        <v>164469</v>
      </c>
      <c r="BI10" s="190">
        <v>7000</v>
      </c>
      <c r="BJ10" s="190">
        <v>0</v>
      </c>
      <c r="BK10" s="190"/>
      <c r="BL10" s="190" t="s">
        <v>306</v>
      </c>
      <c r="BM10" s="190">
        <v>7000</v>
      </c>
      <c r="BN10" s="190">
        <v>-999999</v>
      </c>
      <c r="BO10" s="190">
        <v>170756</v>
      </c>
      <c r="BP10" s="190">
        <v>170756</v>
      </c>
      <c r="BQ10" s="190">
        <v>51</v>
      </c>
      <c r="BR10" s="190">
        <v>170391</v>
      </c>
      <c r="BS10" s="190">
        <v>0</v>
      </c>
      <c r="BT10" s="190">
        <v>100</v>
      </c>
      <c r="BU10" s="190">
        <v>1</v>
      </c>
      <c r="BV10" s="190">
        <v>365</v>
      </c>
      <c r="BW10" s="190">
        <v>170756</v>
      </c>
      <c r="BX10" s="190">
        <v>170344</v>
      </c>
      <c r="BY10" s="190">
        <v>177240</v>
      </c>
      <c r="BZ10" s="190">
        <v>170340</v>
      </c>
      <c r="CA10" s="190">
        <v>10000</v>
      </c>
      <c r="CB10" s="190">
        <v>0</v>
      </c>
      <c r="CC10" s="190"/>
      <c r="CD10" s="190">
        <v>10000</v>
      </c>
      <c r="CE10" s="190">
        <v>-9</v>
      </c>
      <c r="CF10" s="190">
        <v>185369</v>
      </c>
      <c r="CG10" s="190">
        <v>0</v>
      </c>
      <c r="CH10" s="190">
        <v>185369</v>
      </c>
      <c r="CI10" s="190">
        <v>9</v>
      </c>
      <c r="CJ10" s="190">
        <v>175478</v>
      </c>
      <c r="CK10" s="190">
        <v>0</v>
      </c>
      <c r="CL10" s="190">
        <v>100</v>
      </c>
      <c r="CM10" s="190"/>
      <c r="CN10" s="190">
        <v>0</v>
      </c>
      <c r="CO10" s="190">
        <v>0</v>
      </c>
      <c r="CP10" s="190">
        <v>175369</v>
      </c>
      <c r="CQ10" s="190">
        <v>185369</v>
      </c>
      <c r="CR10" s="190">
        <v>175469</v>
      </c>
      <c r="CS10" s="190">
        <v>15</v>
      </c>
      <c r="CT10" s="190">
        <v>4</v>
      </c>
      <c r="CU10" s="190">
        <v>0</v>
      </c>
      <c r="CV10" s="190">
        <v>9</v>
      </c>
      <c r="CW10" s="190">
        <v>10</v>
      </c>
      <c r="CX10" s="190">
        <v>1</v>
      </c>
      <c r="CY10" s="190">
        <v>2</v>
      </c>
      <c r="CZ10" s="190">
        <v>3</v>
      </c>
      <c r="DA10" s="190">
        <v>4</v>
      </c>
      <c r="DB10" s="190">
        <v>5</v>
      </c>
      <c r="DC10" s="190">
        <v>6</v>
      </c>
      <c r="DD10" s="190">
        <v>7</v>
      </c>
      <c r="DE10" s="190">
        <v>8</v>
      </c>
      <c r="DF10" s="190" t="s">
        <v>402</v>
      </c>
      <c r="DG10" s="190" t="s">
        <v>308</v>
      </c>
      <c r="DH10" s="190" t="s">
        <v>18</v>
      </c>
      <c r="DI10" s="190">
        <v>0</v>
      </c>
      <c r="DJ10" s="190">
        <v>0</v>
      </c>
      <c r="DK10" s="190">
        <v>168473</v>
      </c>
      <c r="DL10" s="190">
        <v>4</v>
      </c>
      <c r="DM10" s="190">
        <v>168473</v>
      </c>
      <c r="DN10" s="190">
        <v>50</v>
      </c>
      <c r="DO10" s="190">
        <v>7000</v>
      </c>
      <c r="DP10" s="190">
        <v>0</v>
      </c>
      <c r="DQ10" s="190"/>
      <c r="DR10" s="190">
        <v>7000</v>
      </c>
      <c r="DS10" s="190">
        <v>-2323</v>
      </c>
      <c r="DT10" s="190">
        <v>175369</v>
      </c>
      <c r="DU10" s="190">
        <v>0</v>
      </c>
      <c r="DV10" s="190">
        <v>175369</v>
      </c>
      <c r="DW10" s="190">
        <v>2323</v>
      </c>
      <c r="DX10" s="190">
        <v>170792</v>
      </c>
      <c r="DY10" s="190">
        <v>4686</v>
      </c>
      <c r="DZ10" s="190">
        <v>100</v>
      </c>
      <c r="EA10" s="190"/>
      <c r="EB10" s="190">
        <v>0</v>
      </c>
      <c r="EC10" s="190">
        <v>0</v>
      </c>
      <c r="ED10" s="190">
        <v>170758</v>
      </c>
      <c r="EE10" s="190">
        <v>175369</v>
      </c>
      <c r="EF10" s="190">
        <v>168469</v>
      </c>
      <c r="EG10" s="190">
        <v>9</v>
      </c>
    </row>
    <row r="11" spans="1:137" x14ac:dyDescent="0.2">
      <c r="A11" s="190" t="s">
        <v>309</v>
      </c>
      <c r="B11" s="263" t="s">
        <v>426</v>
      </c>
      <c r="C11" s="190">
        <v>1</v>
      </c>
      <c r="D11" s="190" t="s">
        <v>418</v>
      </c>
      <c r="E11" s="190" t="s">
        <v>419</v>
      </c>
      <c r="F11" s="190">
        <v>59.963000000000001</v>
      </c>
      <c r="G11" s="190" t="s">
        <v>310</v>
      </c>
      <c r="H11" s="190">
        <v>1</v>
      </c>
      <c r="I11" s="190">
        <v>6000</v>
      </c>
      <c r="J11" s="190">
        <v>-41</v>
      </c>
      <c r="K11" s="190">
        <v>0</v>
      </c>
      <c r="L11" s="190">
        <v>24369</v>
      </c>
      <c r="M11" s="190">
        <v>41</v>
      </c>
      <c r="N11" s="190">
        <v>18510</v>
      </c>
      <c r="O11" s="190">
        <v>5971</v>
      </c>
      <c r="P11" s="190"/>
      <c r="Q11" s="190">
        <v>0</v>
      </c>
      <c r="R11" s="190">
        <v>0</v>
      </c>
      <c r="S11" s="190">
        <v>696637077</v>
      </c>
      <c r="T11" s="190" t="s">
        <v>303</v>
      </c>
      <c r="U11" s="190" t="s">
        <v>304</v>
      </c>
      <c r="V11" s="190" t="s">
        <v>304</v>
      </c>
      <c r="W11" s="190" t="s">
        <v>398</v>
      </c>
      <c r="X11" s="190" t="s">
        <v>420</v>
      </c>
      <c r="Y11" s="260">
        <v>0.39193287037037039</v>
      </c>
      <c r="Z11" s="190" t="s">
        <v>305</v>
      </c>
      <c r="AA11" s="190" t="s">
        <v>306</v>
      </c>
      <c r="AB11" s="190">
        <v>-1</v>
      </c>
      <c r="AC11" s="190">
        <v>-999999</v>
      </c>
      <c r="AD11" s="190">
        <v>18469</v>
      </c>
      <c r="AE11" s="190">
        <v>39</v>
      </c>
      <c r="AF11" s="190">
        <v>5767</v>
      </c>
      <c r="AG11" s="190">
        <v>0</v>
      </c>
      <c r="AH11" s="190">
        <v>5</v>
      </c>
      <c r="AI11" s="190">
        <v>12702</v>
      </c>
      <c r="AJ11" s="190">
        <v>18469</v>
      </c>
      <c r="AK11" s="190">
        <v>10</v>
      </c>
      <c r="AL11" s="190">
        <v>10</v>
      </c>
      <c r="AM11" s="190">
        <v>1</v>
      </c>
      <c r="AN11" s="190">
        <v>10</v>
      </c>
      <c r="AO11" s="190">
        <v>8</v>
      </c>
      <c r="AP11" s="190" t="s">
        <v>307</v>
      </c>
      <c r="AQ11" s="190">
        <v>4000</v>
      </c>
      <c r="AR11" s="190">
        <v>0</v>
      </c>
      <c r="AS11" s="190"/>
      <c r="AT11" s="190">
        <v>4000</v>
      </c>
      <c r="AU11" s="190">
        <v>0</v>
      </c>
      <c r="AV11" s="190">
        <v>189369</v>
      </c>
      <c r="AW11" s="190">
        <v>0</v>
      </c>
      <c r="AX11" s="190">
        <v>189369</v>
      </c>
      <c r="AY11" s="190">
        <v>0</v>
      </c>
      <c r="AZ11" s="190">
        <v>185469</v>
      </c>
      <c r="BA11" s="190">
        <v>4003</v>
      </c>
      <c r="BB11" s="190">
        <v>100</v>
      </c>
      <c r="BC11" s="190"/>
      <c r="BD11" s="190">
        <v>0</v>
      </c>
      <c r="BE11" s="190">
        <v>0</v>
      </c>
      <c r="BF11" s="190">
        <v>185374</v>
      </c>
      <c r="BG11" s="190">
        <v>189369</v>
      </c>
      <c r="BH11" s="190">
        <v>185469</v>
      </c>
      <c r="BI11" s="190">
        <v>7000</v>
      </c>
      <c r="BJ11" s="190">
        <v>0</v>
      </c>
      <c r="BK11" s="190"/>
      <c r="BL11" s="190" t="s">
        <v>306</v>
      </c>
      <c r="BM11" s="190">
        <v>7000</v>
      </c>
      <c r="BN11" s="190">
        <v>-999999</v>
      </c>
      <c r="BO11" s="190">
        <v>191250</v>
      </c>
      <c r="BP11" s="190">
        <v>191250</v>
      </c>
      <c r="BQ11" s="190">
        <v>50</v>
      </c>
      <c r="BR11" s="190">
        <v>190924</v>
      </c>
      <c r="BS11" s="190">
        <v>0</v>
      </c>
      <c r="BT11" s="190">
        <v>100</v>
      </c>
      <c r="BU11" s="190">
        <v>1</v>
      </c>
      <c r="BV11" s="190">
        <v>326</v>
      </c>
      <c r="BW11" s="190">
        <v>191250</v>
      </c>
      <c r="BX11" s="190">
        <v>190880</v>
      </c>
      <c r="BY11" s="190">
        <v>197774</v>
      </c>
      <c r="BZ11" s="190">
        <v>190874</v>
      </c>
      <c r="CA11" s="190">
        <v>4000</v>
      </c>
      <c r="CB11" s="190">
        <v>0</v>
      </c>
      <c r="CC11" s="190"/>
      <c r="CD11" s="190">
        <v>4000</v>
      </c>
      <c r="CE11" s="190">
        <v>-9</v>
      </c>
      <c r="CF11" s="190">
        <v>200369</v>
      </c>
      <c r="CG11" s="190">
        <v>0</v>
      </c>
      <c r="CH11" s="190">
        <v>200369</v>
      </c>
      <c r="CI11" s="190">
        <v>9</v>
      </c>
      <c r="CJ11" s="190">
        <v>196478</v>
      </c>
      <c r="CK11" s="190">
        <v>0</v>
      </c>
      <c r="CL11" s="190">
        <v>100</v>
      </c>
      <c r="CM11" s="190"/>
      <c r="CN11" s="190">
        <v>0</v>
      </c>
      <c r="CO11" s="190">
        <v>0</v>
      </c>
      <c r="CP11" s="190">
        <v>196369</v>
      </c>
      <c r="CQ11" s="190">
        <v>200369</v>
      </c>
      <c r="CR11" s="190">
        <v>196469</v>
      </c>
      <c r="CS11" s="190">
        <v>15</v>
      </c>
      <c r="CT11" s="190">
        <v>4</v>
      </c>
      <c r="CU11" s="190">
        <v>0</v>
      </c>
      <c r="CV11" s="190">
        <v>9</v>
      </c>
      <c r="CW11" s="190">
        <v>10</v>
      </c>
      <c r="CX11" s="190">
        <v>1</v>
      </c>
      <c r="CY11" s="190">
        <v>2</v>
      </c>
      <c r="CZ11" s="190">
        <v>3</v>
      </c>
      <c r="DA11" s="190">
        <v>4</v>
      </c>
      <c r="DB11" s="190">
        <v>5</v>
      </c>
      <c r="DC11" s="190">
        <v>6</v>
      </c>
      <c r="DD11" s="190">
        <v>7</v>
      </c>
      <c r="DE11" s="190">
        <v>8</v>
      </c>
      <c r="DF11" s="190" t="s">
        <v>413</v>
      </c>
      <c r="DG11" s="190" t="s">
        <v>308</v>
      </c>
      <c r="DH11" s="190" t="s">
        <v>18</v>
      </c>
      <c r="DI11" s="190">
        <v>0</v>
      </c>
      <c r="DJ11" s="190">
        <v>0</v>
      </c>
      <c r="DK11" s="190">
        <v>189472</v>
      </c>
      <c r="DL11" s="190">
        <v>3</v>
      </c>
      <c r="DM11" s="190">
        <v>189472</v>
      </c>
      <c r="DN11" s="190">
        <v>51</v>
      </c>
      <c r="DO11" s="190">
        <v>7000</v>
      </c>
      <c r="DP11" s="190">
        <v>0</v>
      </c>
      <c r="DQ11" s="190"/>
      <c r="DR11" s="190">
        <v>7000</v>
      </c>
      <c r="DS11" s="190">
        <v>-1822</v>
      </c>
      <c r="DT11" s="190">
        <v>196369</v>
      </c>
      <c r="DU11" s="190">
        <v>0</v>
      </c>
      <c r="DV11" s="190">
        <v>196369</v>
      </c>
      <c r="DW11" s="190">
        <v>1822</v>
      </c>
      <c r="DX11" s="190">
        <v>191291</v>
      </c>
      <c r="DY11" s="190">
        <v>5187</v>
      </c>
      <c r="DZ11" s="190">
        <v>100</v>
      </c>
      <c r="EA11" s="190"/>
      <c r="EB11" s="190">
        <v>0</v>
      </c>
      <c r="EC11" s="190">
        <v>0</v>
      </c>
      <c r="ED11" s="190">
        <v>191253</v>
      </c>
      <c r="EE11" s="190">
        <v>196369</v>
      </c>
      <c r="EF11" s="190">
        <v>189469</v>
      </c>
      <c r="EG11" s="190">
        <v>10</v>
      </c>
    </row>
    <row r="12" spans="1:137" x14ac:dyDescent="0.2">
      <c r="A12" s="190" t="s">
        <v>309</v>
      </c>
      <c r="B12" s="263" t="s">
        <v>426</v>
      </c>
      <c r="C12" s="190">
        <v>1</v>
      </c>
      <c r="D12" s="190" t="s">
        <v>418</v>
      </c>
      <c r="E12" s="190" t="s">
        <v>419</v>
      </c>
      <c r="F12" s="190">
        <v>59.963000000000001</v>
      </c>
      <c r="G12" s="190" t="s">
        <v>310</v>
      </c>
      <c r="H12" s="190">
        <v>1</v>
      </c>
      <c r="I12" s="190">
        <v>6000</v>
      </c>
      <c r="J12" s="190">
        <v>-41</v>
      </c>
      <c r="K12" s="190">
        <v>0</v>
      </c>
      <c r="L12" s="190">
        <v>24369</v>
      </c>
      <c r="M12" s="190">
        <v>41</v>
      </c>
      <c r="N12" s="190">
        <v>18510</v>
      </c>
      <c r="O12" s="190">
        <v>5971</v>
      </c>
      <c r="P12" s="190"/>
      <c r="Q12" s="190">
        <v>0</v>
      </c>
      <c r="R12" s="190">
        <v>0</v>
      </c>
      <c r="S12" s="190">
        <v>696637077</v>
      </c>
      <c r="T12" s="190" t="s">
        <v>303</v>
      </c>
      <c r="U12" s="190" t="s">
        <v>304</v>
      </c>
      <c r="V12" s="190" t="s">
        <v>304</v>
      </c>
      <c r="W12" s="190" t="s">
        <v>398</v>
      </c>
      <c r="X12" s="190" t="s">
        <v>420</v>
      </c>
      <c r="Y12" s="260">
        <v>0.39193287037037039</v>
      </c>
      <c r="Z12" s="190" t="s">
        <v>305</v>
      </c>
      <c r="AA12" s="190" t="s">
        <v>306</v>
      </c>
      <c r="AB12" s="190">
        <v>-1</v>
      </c>
      <c r="AC12" s="190">
        <v>-999999</v>
      </c>
      <c r="AD12" s="190">
        <v>18469</v>
      </c>
      <c r="AE12" s="190">
        <v>39</v>
      </c>
      <c r="AF12" s="190">
        <v>5767</v>
      </c>
      <c r="AG12" s="190">
        <v>0</v>
      </c>
      <c r="AH12" s="190">
        <v>5</v>
      </c>
      <c r="AI12" s="190">
        <v>12702</v>
      </c>
      <c r="AJ12" s="190">
        <v>18469</v>
      </c>
      <c r="AK12" s="190">
        <v>11</v>
      </c>
      <c r="AL12" s="190">
        <v>11</v>
      </c>
      <c r="AM12" s="190">
        <v>1</v>
      </c>
      <c r="AN12" s="190">
        <v>11</v>
      </c>
      <c r="AO12" s="190">
        <v>0</v>
      </c>
      <c r="AP12" s="190" t="s">
        <v>307</v>
      </c>
      <c r="AQ12" s="190">
        <v>4000</v>
      </c>
      <c r="AR12" s="190">
        <v>0</v>
      </c>
      <c r="AS12" s="190"/>
      <c r="AT12" s="190">
        <v>4000</v>
      </c>
      <c r="AU12" s="190">
        <v>-12</v>
      </c>
      <c r="AV12" s="190">
        <v>204369</v>
      </c>
      <c r="AW12" s="190">
        <v>0</v>
      </c>
      <c r="AX12" s="190">
        <v>204369</v>
      </c>
      <c r="AY12" s="190">
        <v>12</v>
      </c>
      <c r="AZ12" s="190">
        <v>200481</v>
      </c>
      <c r="BA12" s="190">
        <v>4003</v>
      </c>
      <c r="BB12" s="190">
        <v>100</v>
      </c>
      <c r="BC12" s="190"/>
      <c r="BD12" s="190">
        <v>0</v>
      </c>
      <c r="BE12" s="190">
        <v>0</v>
      </c>
      <c r="BF12" s="190">
        <v>200374</v>
      </c>
      <c r="BG12" s="190">
        <v>204369</v>
      </c>
      <c r="BH12" s="190">
        <v>200469</v>
      </c>
      <c r="BI12" s="190">
        <v>7000</v>
      </c>
      <c r="BJ12" s="190">
        <v>0</v>
      </c>
      <c r="BK12" s="190"/>
      <c r="BL12" s="190" t="s">
        <v>306</v>
      </c>
      <c r="BM12" s="190">
        <v>7000</v>
      </c>
      <c r="BN12" s="190">
        <v>-999999</v>
      </c>
      <c r="BO12" s="190">
        <v>206721</v>
      </c>
      <c r="BP12" s="190">
        <v>206721</v>
      </c>
      <c r="BQ12" s="190">
        <v>51</v>
      </c>
      <c r="BR12" s="190">
        <v>206452</v>
      </c>
      <c r="BS12" s="190">
        <v>0</v>
      </c>
      <c r="BT12" s="190">
        <v>100</v>
      </c>
      <c r="BU12" s="190">
        <v>1</v>
      </c>
      <c r="BV12" s="190">
        <v>269</v>
      </c>
      <c r="BW12" s="190">
        <v>206721</v>
      </c>
      <c r="BX12" s="190">
        <v>206405</v>
      </c>
      <c r="BY12" s="190">
        <v>213301</v>
      </c>
      <c r="BZ12" s="190">
        <v>206401</v>
      </c>
      <c r="CA12" s="190">
        <v>4000</v>
      </c>
      <c r="CB12" s="190">
        <v>0</v>
      </c>
      <c r="CC12" s="190"/>
      <c r="CD12" s="190">
        <v>4000</v>
      </c>
      <c r="CE12" s="190">
        <v>-3</v>
      </c>
      <c r="CF12" s="190">
        <v>215369</v>
      </c>
      <c r="CG12" s="190">
        <v>0</v>
      </c>
      <c r="CH12" s="190">
        <v>215369</v>
      </c>
      <c r="CI12" s="190">
        <v>3</v>
      </c>
      <c r="CJ12" s="190">
        <v>211472</v>
      </c>
      <c r="CK12" s="190">
        <v>0</v>
      </c>
      <c r="CL12" s="190">
        <v>100</v>
      </c>
      <c r="CM12" s="190"/>
      <c r="CN12" s="190">
        <v>0</v>
      </c>
      <c r="CO12" s="190">
        <v>0</v>
      </c>
      <c r="CP12" s="190">
        <v>211369</v>
      </c>
      <c r="CQ12" s="190">
        <v>215369</v>
      </c>
      <c r="CR12" s="190">
        <v>211469</v>
      </c>
      <c r="CS12" s="190">
        <v>15</v>
      </c>
      <c r="CT12" s="190">
        <v>4</v>
      </c>
      <c r="CU12" s="190">
        <v>0</v>
      </c>
      <c r="CV12" s="190">
        <v>9</v>
      </c>
      <c r="CW12" s="190">
        <v>10</v>
      </c>
      <c r="CX12" s="190">
        <v>1</v>
      </c>
      <c r="CY12" s="190">
        <v>2</v>
      </c>
      <c r="CZ12" s="190">
        <v>3</v>
      </c>
      <c r="DA12" s="190">
        <v>4</v>
      </c>
      <c r="DB12" s="190">
        <v>5</v>
      </c>
      <c r="DC12" s="190">
        <v>6</v>
      </c>
      <c r="DD12" s="190">
        <v>7</v>
      </c>
      <c r="DE12" s="190">
        <v>8</v>
      </c>
      <c r="DF12" s="190" t="s">
        <v>409</v>
      </c>
      <c r="DG12" s="190" t="s">
        <v>308</v>
      </c>
      <c r="DH12" s="190" t="s">
        <v>18</v>
      </c>
      <c r="DI12" s="190">
        <v>0</v>
      </c>
      <c r="DJ12" s="190">
        <v>0</v>
      </c>
      <c r="DK12" s="190">
        <v>204484</v>
      </c>
      <c r="DL12" s="190">
        <v>15</v>
      </c>
      <c r="DM12" s="190">
        <v>204484</v>
      </c>
      <c r="DN12" s="190">
        <v>50</v>
      </c>
      <c r="DO12" s="190">
        <v>7000</v>
      </c>
      <c r="DP12" s="190">
        <v>0</v>
      </c>
      <c r="DQ12" s="190"/>
      <c r="DR12" s="190">
        <v>7000</v>
      </c>
      <c r="DS12" s="190">
        <v>-2300</v>
      </c>
      <c r="DT12" s="190">
        <v>211369</v>
      </c>
      <c r="DU12" s="190">
        <v>0</v>
      </c>
      <c r="DV12" s="190">
        <v>211369</v>
      </c>
      <c r="DW12" s="190">
        <v>2300</v>
      </c>
      <c r="DX12" s="190">
        <v>206769</v>
      </c>
      <c r="DY12" s="190">
        <v>4703</v>
      </c>
      <c r="DZ12" s="190">
        <v>100</v>
      </c>
      <c r="EA12" s="190"/>
      <c r="EB12" s="190">
        <v>0</v>
      </c>
      <c r="EC12" s="190">
        <v>0</v>
      </c>
      <c r="ED12" s="190">
        <v>206723</v>
      </c>
      <c r="EE12" s="190">
        <v>211369</v>
      </c>
      <c r="EF12" s="190">
        <v>204469</v>
      </c>
      <c r="EG12" s="190">
        <v>11</v>
      </c>
    </row>
    <row r="13" spans="1:137" x14ac:dyDescent="0.2">
      <c r="A13" s="190" t="s">
        <v>309</v>
      </c>
      <c r="B13" s="263" t="s">
        <v>426</v>
      </c>
      <c r="C13" s="190">
        <v>1</v>
      </c>
      <c r="D13" s="190" t="s">
        <v>418</v>
      </c>
      <c r="E13" s="190" t="s">
        <v>419</v>
      </c>
      <c r="F13" s="190">
        <v>59.963000000000001</v>
      </c>
      <c r="G13" s="190" t="s">
        <v>310</v>
      </c>
      <c r="H13" s="190">
        <v>1</v>
      </c>
      <c r="I13" s="190">
        <v>6000</v>
      </c>
      <c r="J13" s="190">
        <v>-41</v>
      </c>
      <c r="K13" s="190">
        <v>0</v>
      </c>
      <c r="L13" s="190">
        <v>24369</v>
      </c>
      <c r="M13" s="190">
        <v>41</v>
      </c>
      <c r="N13" s="190">
        <v>18510</v>
      </c>
      <c r="O13" s="190">
        <v>5971</v>
      </c>
      <c r="P13" s="190"/>
      <c r="Q13" s="190">
        <v>0</v>
      </c>
      <c r="R13" s="190">
        <v>0</v>
      </c>
      <c r="S13" s="190">
        <v>696637077</v>
      </c>
      <c r="T13" s="190" t="s">
        <v>303</v>
      </c>
      <c r="U13" s="190" t="s">
        <v>304</v>
      </c>
      <c r="V13" s="190" t="s">
        <v>304</v>
      </c>
      <c r="W13" s="190" t="s">
        <v>398</v>
      </c>
      <c r="X13" s="190" t="s">
        <v>420</v>
      </c>
      <c r="Y13" s="260">
        <v>0.39193287037037039</v>
      </c>
      <c r="Z13" s="190" t="s">
        <v>305</v>
      </c>
      <c r="AA13" s="190" t="s">
        <v>306</v>
      </c>
      <c r="AB13" s="190">
        <v>-1</v>
      </c>
      <c r="AC13" s="190">
        <v>-999999</v>
      </c>
      <c r="AD13" s="190">
        <v>18469</v>
      </c>
      <c r="AE13" s="190">
        <v>39</v>
      </c>
      <c r="AF13" s="190">
        <v>5767</v>
      </c>
      <c r="AG13" s="190">
        <v>0</v>
      </c>
      <c r="AH13" s="190">
        <v>5</v>
      </c>
      <c r="AI13" s="190">
        <v>12702</v>
      </c>
      <c r="AJ13" s="190">
        <v>18469</v>
      </c>
      <c r="AK13" s="190">
        <v>12</v>
      </c>
      <c r="AL13" s="190">
        <v>12</v>
      </c>
      <c r="AM13" s="190">
        <v>1</v>
      </c>
      <c r="AN13" s="190">
        <v>12</v>
      </c>
      <c r="AO13" s="190">
        <v>8</v>
      </c>
      <c r="AP13" s="190" t="s">
        <v>307</v>
      </c>
      <c r="AQ13" s="190">
        <v>4000</v>
      </c>
      <c r="AR13" s="190">
        <v>0</v>
      </c>
      <c r="AS13" s="190"/>
      <c r="AT13" s="190">
        <v>4000</v>
      </c>
      <c r="AU13" s="190">
        <v>-6</v>
      </c>
      <c r="AV13" s="190">
        <v>219369</v>
      </c>
      <c r="AW13" s="190">
        <v>0</v>
      </c>
      <c r="AX13" s="190">
        <v>219369</v>
      </c>
      <c r="AY13" s="190">
        <v>6</v>
      </c>
      <c r="AZ13" s="190">
        <v>215475</v>
      </c>
      <c r="BA13" s="190">
        <v>4003</v>
      </c>
      <c r="BB13" s="190">
        <v>100</v>
      </c>
      <c r="BC13" s="190"/>
      <c r="BD13" s="190">
        <v>0</v>
      </c>
      <c r="BE13" s="190">
        <v>0</v>
      </c>
      <c r="BF13" s="190">
        <v>215374</v>
      </c>
      <c r="BG13" s="190">
        <v>219369</v>
      </c>
      <c r="BH13" s="190">
        <v>215469</v>
      </c>
      <c r="BI13" s="190">
        <v>7000</v>
      </c>
      <c r="BJ13" s="190">
        <v>0</v>
      </c>
      <c r="BK13" s="190"/>
      <c r="BL13" s="190" t="s">
        <v>306</v>
      </c>
      <c r="BM13" s="190">
        <v>7000</v>
      </c>
      <c r="BN13" s="190">
        <v>-999999</v>
      </c>
      <c r="BO13" s="190">
        <v>221304</v>
      </c>
      <c r="BP13" s="190">
        <v>221304</v>
      </c>
      <c r="BQ13" s="190">
        <v>53</v>
      </c>
      <c r="BR13" s="190">
        <v>221013</v>
      </c>
      <c r="BS13" s="190">
        <v>0</v>
      </c>
      <c r="BT13" s="190">
        <v>100</v>
      </c>
      <c r="BU13" s="190">
        <v>1</v>
      </c>
      <c r="BV13" s="190">
        <v>291</v>
      </c>
      <c r="BW13" s="190">
        <v>221304</v>
      </c>
      <c r="BX13" s="190">
        <v>220965</v>
      </c>
      <c r="BY13" s="190">
        <v>227860</v>
      </c>
      <c r="BZ13" s="190">
        <v>220960</v>
      </c>
      <c r="CA13" s="190">
        <v>2000</v>
      </c>
      <c r="CB13" s="190">
        <v>0</v>
      </c>
      <c r="CC13" s="190"/>
      <c r="CD13" s="190">
        <v>2000</v>
      </c>
      <c r="CE13" s="190">
        <v>-15</v>
      </c>
      <c r="CF13" s="190">
        <v>228369</v>
      </c>
      <c r="CG13" s="190">
        <v>0</v>
      </c>
      <c r="CH13" s="190">
        <v>228369</v>
      </c>
      <c r="CI13" s="190">
        <v>15</v>
      </c>
      <c r="CJ13" s="190">
        <v>226484</v>
      </c>
      <c r="CK13" s="190">
        <v>0</v>
      </c>
      <c r="CL13" s="190">
        <v>100</v>
      </c>
      <c r="CM13" s="190"/>
      <c r="CN13" s="190">
        <v>0</v>
      </c>
      <c r="CO13" s="190">
        <v>0</v>
      </c>
      <c r="CP13" s="190">
        <v>226369</v>
      </c>
      <c r="CQ13" s="190">
        <v>228369</v>
      </c>
      <c r="CR13" s="190">
        <v>226469</v>
      </c>
      <c r="CS13" s="190">
        <v>15</v>
      </c>
      <c r="CT13" s="190">
        <v>4</v>
      </c>
      <c r="CU13" s="190">
        <v>0</v>
      </c>
      <c r="CV13" s="190">
        <v>9</v>
      </c>
      <c r="CW13" s="190">
        <v>10</v>
      </c>
      <c r="CX13" s="190">
        <v>1</v>
      </c>
      <c r="CY13" s="190">
        <v>2</v>
      </c>
      <c r="CZ13" s="190">
        <v>3</v>
      </c>
      <c r="DA13" s="190">
        <v>4</v>
      </c>
      <c r="DB13" s="190">
        <v>5</v>
      </c>
      <c r="DC13" s="190">
        <v>6</v>
      </c>
      <c r="DD13" s="190">
        <v>7</v>
      </c>
      <c r="DE13" s="190">
        <v>8</v>
      </c>
      <c r="DF13" s="190" t="s">
        <v>400</v>
      </c>
      <c r="DG13" s="190" t="s">
        <v>308</v>
      </c>
      <c r="DH13" s="190" t="s">
        <v>18</v>
      </c>
      <c r="DI13" s="190">
        <v>0</v>
      </c>
      <c r="DJ13" s="190">
        <v>0</v>
      </c>
      <c r="DK13" s="190">
        <v>219478</v>
      </c>
      <c r="DL13" s="190">
        <v>9</v>
      </c>
      <c r="DM13" s="190">
        <v>219478</v>
      </c>
      <c r="DN13" s="190">
        <v>50</v>
      </c>
      <c r="DO13" s="190">
        <v>7000</v>
      </c>
      <c r="DP13" s="190">
        <v>0</v>
      </c>
      <c r="DQ13" s="190"/>
      <c r="DR13" s="190">
        <v>7000</v>
      </c>
      <c r="DS13" s="190">
        <v>-1877</v>
      </c>
      <c r="DT13" s="190">
        <v>226369</v>
      </c>
      <c r="DU13" s="190">
        <v>0</v>
      </c>
      <c r="DV13" s="190">
        <v>226369</v>
      </c>
      <c r="DW13" s="190">
        <v>1877</v>
      </c>
      <c r="DX13" s="190">
        <v>221346</v>
      </c>
      <c r="DY13" s="190">
        <v>5138</v>
      </c>
      <c r="DZ13" s="190">
        <v>100</v>
      </c>
      <c r="EA13" s="190"/>
      <c r="EB13" s="190">
        <v>0</v>
      </c>
      <c r="EC13" s="190">
        <v>0</v>
      </c>
      <c r="ED13" s="190">
        <v>221306</v>
      </c>
      <c r="EE13" s="190">
        <v>226369</v>
      </c>
      <c r="EF13" s="190">
        <v>219469</v>
      </c>
      <c r="EG13" s="190">
        <v>12</v>
      </c>
    </row>
    <row r="14" spans="1:137" x14ac:dyDescent="0.2">
      <c r="A14" s="190" t="s">
        <v>309</v>
      </c>
      <c r="B14" s="263" t="s">
        <v>426</v>
      </c>
      <c r="C14" s="190">
        <v>1</v>
      </c>
      <c r="D14" s="190" t="s">
        <v>418</v>
      </c>
      <c r="E14" s="190" t="s">
        <v>419</v>
      </c>
      <c r="F14" s="190">
        <v>59.963000000000001</v>
      </c>
      <c r="G14" s="190" t="s">
        <v>310</v>
      </c>
      <c r="H14" s="190">
        <v>1</v>
      </c>
      <c r="I14" s="190">
        <v>6000</v>
      </c>
      <c r="J14" s="190">
        <v>-41</v>
      </c>
      <c r="K14" s="190">
        <v>0</v>
      </c>
      <c r="L14" s="190">
        <v>24369</v>
      </c>
      <c r="M14" s="190">
        <v>41</v>
      </c>
      <c r="N14" s="190">
        <v>18510</v>
      </c>
      <c r="O14" s="190">
        <v>5971</v>
      </c>
      <c r="P14" s="190"/>
      <c r="Q14" s="190">
        <v>0</v>
      </c>
      <c r="R14" s="190">
        <v>0</v>
      </c>
      <c r="S14" s="190">
        <v>696637077</v>
      </c>
      <c r="T14" s="190" t="s">
        <v>303</v>
      </c>
      <c r="U14" s="190" t="s">
        <v>304</v>
      </c>
      <c r="V14" s="190" t="s">
        <v>304</v>
      </c>
      <c r="W14" s="190" t="s">
        <v>398</v>
      </c>
      <c r="X14" s="190" t="s">
        <v>420</v>
      </c>
      <c r="Y14" s="260">
        <v>0.39193287037037039</v>
      </c>
      <c r="Z14" s="190" t="s">
        <v>305</v>
      </c>
      <c r="AA14" s="190" t="s">
        <v>306</v>
      </c>
      <c r="AB14" s="190">
        <v>-1</v>
      </c>
      <c r="AC14" s="190">
        <v>-999999</v>
      </c>
      <c r="AD14" s="190">
        <v>18469</v>
      </c>
      <c r="AE14" s="190">
        <v>39</v>
      </c>
      <c r="AF14" s="190">
        <v>5767</v>
      </c>
      <c r="AG14" s="190">
        <v>0</v>
      </c>
      <c r="AH14" s="190">
        <v>5</v>
      </c>
      <c r="AI14" s="190">
        <v>12702</v>
      </c>
      <c r="AJ14" s="190">
        <v>18469</v>
      </c>
      <c r="AK14" s="190">
        <v>13</v>
      </c>
      <c r="AL14" s="190">
        <v>13</v>
      </c>
      <c r="AM14" s="190">
        <v>1</v>
      </c>
      <c r="AN14" s="190">
        <v>13</v>
      </c>
      <c r="AO14" s="190">
        <v>4</v>
      </c>
      <c r="AP14" s="190" t="s">
        <v>307</v>
      </c>
      <c r="AQ14" s="190">
        <v>4000</v>
      </c>
      <c r="AR14" s="190">
        <v>0</v>
      </c>
      <c r="AS14" s="190"/>
      <c r="AT14" s="190">
        <v>4000</v>
      </c>
      <c r="AU14" s="190">
        <v>-16</v>
      </c>
      <c r="AV14" s="190">
        <v>232369</v>
      </c>
      <c r="AW14" s="190">
        <v>0</v>
      </c>
      <c r="AX14" s="190">
        <v>232369</v>
      </c>
      <c r="AY14" s="190">
        <v>16</v>
      </c>
      <c r="AZ14" s="190">
        <v>228485</v>
      </c>
      <c r="BA14" s="190">
        <v>3986</v>
      </c>
      <c r="BB14" s="190">
        <v>100</v>
      </c>
      <c r="BC14" s="190"/>
      <c r="BD14" s="190">
        <v>0</v>
      </c>
      <c r="BE14" s="190">
        <v>0</v>
      </c>
      <c r="BF14" s="190">
        <v>228374</v>
      </c>
      <c r="BG14" s="190">
        <v>232369</v>
      </c>
      <c r="BH14" s="190">
        <v>228469</v>
      </c>
      <c r="BI14" s="190">
        <v>7000</v>
      </c>
      <c r="BJ14" s="190">
        <v>0</v>
      </c>
      <c r="BK14" s="190"/>
      <c r="BL14" s="190" t="s">
        <v>306</v>
      </c>
      <c r="BM14" s="190">
        <v>7000</v>
      </c>
      <c r="BN14" s="190">
        <v>-999999</v>
      </c>
      <c r="BO14" s="190">
        <v>236167</v>
      </c>
      <c r="BP14" s="190">
        <v>236167</v>
      </c>
      <c r="BQ14" s="190">
        <v>51</v>
      </c>
      <c r="BR14" s="190">
        <v>235674</v>
      </c>
      <c r="BS14" s="190">
        <v>0</v>
      </c>
      <c r="BT14" s="190">
        <v>100</v>
      </c>
      <c r="BU14" s="190">
        <v>1</v>
      </c>
      <c r="BV14" s="190">
        <v>493</v>
      </c>
      <c r="BW14" s="190">
        <v>236167</v>
      </c>
      <c r="BX14" s="190">
        <v>235626</v>
      </c>
      <c r="BY14" s="190">
        <v>242523</v>
      </c>
      <c r="BZ14" s="190">
        <v>235623</v>
      </c>
      <c r="CA14" s="190">
        <v>12000</v>
      </c>
      <c r="CB14" s="190">
        <v>0</v>
      </c>
      <c r="CC14" s="190"/>
      <c r="CD14" s="190">
        <v>12000</v>
      </c>
      <c r="CE14" s="190">
        <v>-8</v>
      </c>
      <c r="CF14" s="190">
        <v>251369</v>
      </c>
      <c r="CG14" s="190">
        <v>0</v>
      </c>
      <c r="CH14" s="190">
        <v>251369</v>
      </c>
      <c r="CI14" s="190">
        <v>8</v>
      </c>
      <c r="CJ14" s="190">
        <v>239477</v>
      </c>
      <c r="CK14" s="190">
        <v>0</v>
      </c>
      <c r="CL14" s="190">
        <v>100</v>
      </c>
      <c r="CM14" s="190"/>
      <c r="CN14" s="190">
        <v>0</v>
      </c>
      <c r="CO14" s="190">
        <v>0</v>
      </c>
      <c r="CP14" s="190">
        <v>239369</v>
      </c>
      <c r="CQ14" s="190">
        <v>251369</v>
      </c>
      <c r="CR14" s="190">
        <v>239469</v>
      </c>
      <c r="CS14" s="190">
        <v>15</v>
      </c>
      <c r="CT14" s="190">
        <v>4</v>
      </c>
      <c r="CU14" s="190">
        <v>0</v>
      </c>
      <c r="CV14" s="190">
        <v>9</v>
      </c>
      <c r="CW14" s="190">
        <v>10</v>
      </c>
      <c r="CX14" s="190">
        <v>1</v>
      </c>
      <c r="CY14" s="190">
        <v>2</v>
      </c>
      <c r="CZ14" s="190">
        <v>3</v>
      </c>
      <c r="DA14" s="190">
        <v>4</v>
      </c>
      <c r="DB14" s="190">
        <v>5</v>
      </c>
      <c r="DC14" s="190">
        <v>6</v>
      </c>
      <c r="DD14" s="190">
        <v>7</v>
      </c>
      <c r="DE14" s="190">
        <v>8</v>
      </c>
      <c r="DF14" s="190" t="s">
        <v>407</v>
      </c>
      <c r="DG14" s="190" t="s">
        <v>308</v>
      </c>
      <c r="DH14" s="190" t="s">
        <v>18</v>
      </c>
      <c r="DI14" s="190">
        <v>0</v>
      </c>
      <c r="DJ14" s="190">
        <v>0</v>
      </c>
      <c r="DK14" s="190">
        <v>232471</v>
      </c>
      <c r="DL14" s="190">
        <v>2</v>
      </c>
      <c r="DM14" s="190">
        <v>232471</v>
      </c>
      <c r="DN14" s="190">
        <v>51</v>
      </c>
      <c r="DO14" s="190">
        <v>7000</v>
      </c>
      <c r="DP14" s="190">
        <v>0</v>
      </c>
      <c r="DQ14" s="190"/>
      <c r="DR14" s="190">
        <v>7000</v>
      </c>
      <c r="DS14" s="190">
        <v>-3739</v>
      </c>
      <c r="DT14" s="190">
        <v>239369</v>
      </c>
      <c r="DU14" s="190">
        <v>0</v>
      </c>
      <c r="DV14" s="190">
        <v>239369</v>
      </c>
      <c r="DW14" s="190">
        <v>3739</v>
      </c>
      <c r="DX14" s="190">
        <v>236208</v>
      </c>
      <c r="DY14" s="190">
        <v>3269</v>
      </c>
      <c r="DZ14" s="190">
        <v>100</v>
      </c>
      <c r="EA14" s="190"/>
      <c r="EB14" s="190">
        <v>0</v>
      </c>
      <c r="EC14" s="190">
        <v>0</v>
      </c>
      <c r="ED14" s="190">
        <v>236169</v>
      </c>
      <c r="EE14" s="190">
        <v>239369</v>
      </c>
      <c r="EF14" s="190">
        <v>232469</v>
      </c>
      <c r="EG14" s="190">
        <v>13</v>
      </c>
    </row>
    <row r="15" spans="1:137" x14ac:dyDescent="0.2">
      <c r="A15" s="190" t="s">
        <v>309</v>
      </c>
      <c r="B15" s="263" t="s">
        <v>426</v>
      </c>
      <c r="C15" s="190">
        <v>1</v>
      </c>
      <c r="D15" s="190" t="s">
        <v>418</v>
      </c>
      <c r="E15" s="190" t="s">
        <v>419</v>
      </c>
      <c r="F15" s="190">
        <v>59.963000000000001</v>
      </c>
      <c r="G15" s="190" t="s">
        <v>310</v>
      </c>
      <c r="H15" s="190">
        <v>1</v>
      </c>
      <c r="I15" s="190">
        <v>6000</v>
      </c>
      <c r="J15" s="190">
        <v>-41</v>
      </c>
      <c r="K15" s="190">
        <v>0</v>
      </c>
      <c r="L15" s="190">
        <v>24369</v>
      </c>
      <c r="M15" s="190">
        <v>41</v>
      </c>
      <c r="N15" s="190">
        <v>18510</v>
      </c>
      <c r="O15" s="190">
        <v>5971</v>
      </c>
      <c r="P15" s="190"/>
      <c r="Q15" s="190">
        <v>0</v>
      </c>
      <c r="R15" s="190">
        <v>0</v>
      </c>
      <c r="S15" s="190">
        <v>696637077</v>
      </c>
      <c r="T15" s="190" t="s">
        <v>303</v>
      </c>
      <c r="U15" s="190" t="s">
        <v>304</v>
      </c>
      <c r="V15" s="190" t="s">
        <v>304</v>
      </c>
      <c r="W15" s="190" t="s">
        <v>398</v>
      </c>
      <c r="X15" s="190" t="s">
        <v>420</v>
      </c>
      <c r="Y15" s="260">
        <v>0.39193287037037039</v>
      </c>
      <c r="Z15" s="190" t="s">
        <v>305</v>
      </c>
      <c r="AA15" s="190" t="s">
        <v>306</v>
      </c>
      <c r="AB15" s="190">
        <v>-1</v>
      </c>
      <c r="AC15" s="190">
        <v>-999999</v>
      </c>
      <c r="AD15" s="190">
        <v>18469</v>
      </c>
      <c r="AE15" s="190">
        <v>39</v>
      </c>
      <c r="AF15" s="190">
        <v>5767</v>
      </c>
      <c r="AG15" s="190">
        <v>0</v>
      </c>
      <c r="AH15" s="190">
        <v>5</v>
      </c>
      <c r="AI15" s="190">
        <v>12702</v>
      </c>
      <c r="AJ15" s="190">
        <v>18469</v>
      </c>
      <c r="AK15" s="190">
        <v>14</v>
      </c>
      <c r="AL15" s="190">
        <v>14</v>
      </c>
      <c r="AM15" s="190">
        <v>1</v>
      </c>
      <c r="AN15" s="190">
        <v>14</v>
      </c>
      <c r="AO15" s="190">
        <v>8</v>
      </c>
      <c r="AP15" s="190" t="s">
        <v>307</v>
      </c>
      <c r="AQ15" s="190">
        <v>4000</v>
      </c>
      <c r="AR15" s="190">
        <v>0</v>
      </c>
      <c r="AS15" s="190"/>
      <c r="AT15" s="190">
        <v>4000</v>
      </c>
      <c r="AU15" s="190">
        <v>0</v>
      </c>
      <c r="AV15" s="190">
        <v>255369</v>
      </c>
      <c r="AW15" s="190">
        <v>0</v>
      </c>
      <c r="AX15" s="190">
        <v>255369</v>
      </c>
      <c r="AY15" s="190">
        <v>0</v>
      </c>
      <c r="AZ15" s="190">
        <v>251469</v>
      </c>
      <c r="BA15" s="190">
        <v>4003</v>
      </c>
      <c r="BB15" s="190">
        <v>100</v>
      </c>
      <c r="BC15" s="190"/>
      <c r="BD15" s="190">
        <v>0</v>
      </c>
      <c r="BE15" s="190">
        <v>0</v>
      </c>
      <c r="BF15" s="190">
        <v>251374</v>
      </c>
      <c r="BG15" s="190">
        <v>255369</v>
      </c>
      <c r="BH15" s="190">
        <v>251469</v>
      </c>
      <c r="BI15" s="190">
        <v>7000</v>
      </c>
      <c r="BJ15" s="190">
        <v>0</v>
      </c>
      <c r="BK15" s="190"/>
      <c r="BL15" s="190" t="s">
        <v>306</v>
      </c>
      <c r="BM15" s="190">
        <v>7000</v>
      </c>
      <c r="BN15" s="190">
        <v>-999999</v>
      </c>
      <c r="BO15" s="190">
        <v>257725</v>
      </c>
      <c r="BP15" s="190">
        <v>257725</v>
      </c>
      <c r="BQ15" s="190">
        <v>39</v>
      </c>
      <c r="BR15" s="190">
        <v>257340</v>
      </c>
      <c r="BS15" s="190">
        <v>0</v>
      </c>
      <c r="BT15" s="190">
        <v>100</v>
      </c>
      <c r="BU15" s="190">
        <v>1</v>
      </c>
      <c r="BV15" s="190">
        <v>385</v>
      </c>
      <c r="BW15" s="190">
        <v>257725</v>
      </c>
      <c r="BX15" s="190">
        <v>257305</v>
      </c>
      <c r="BY15" s="190">
        <v>264201</v>
      </c>
      <c r="BZ15" s="190">
        <v>257301</v>
      </c>
      <c r="CA15" s="190">
        <v>4000</v>
      </c>
      <c r="CB15" s="190">
        <v>0</v>
      </c>
      <c r="CC15" s="190"/>
      <c r="CD15" s="190">
        <v>4000</v>
      </c>
      <c r="CE15" s="190">
        <v>-8</v>
      </c>
      <c r="CF15" s="190">
        <v>266369</v>
      </c>
      <c r="CG15" s="190">
        <v>0</v>
      </c>
      <c r="CH15" s="190">
        <v>266369</v>
      </c>
      <c r="CI15" s="190">
        <v>8</v>
      </c>
      <c r="CJ15" s="190">
        <v>262477</v>
      </c>
      <c r="CK15" s="190">
        <v>0</v>
      </c>
      <c r="CL15" s="190">
        <v>100</v>
      </c>
      <c r="CM15" s="190"/>
      <c r="CN15" s="190">
        <v>0</v>
      </c>
      <c r="CO15" s="190">
        <v>0</v>
      </c>
      <c r="CP15" s="190">
        <v>262369</v>
      </c>
      <c r="CQ15" s="190">
        <v>266369</v>
      </c>
      <c r="CR15" s="190">
        <v>262469</v>
      </c>
      <c r="CS15" s="190">
        <v>15</v>
      </c>
      <c r="CT15" s="190">
        <v>4</v>
      </c>
      <c r="CU15" s="190">
        <v>0</v>
      </c>
      <c r="CV15" s="190">
        <v>9</v>
      </c>
      <c r="CW15" s="190">
        <v>10</v>
      </c>
      <c r="CX15" s="190">
        <v>1</v>
      </c>
      <c r="CY15" s="190">
        <v>2</v>
      </c>
      <c r="CZ15" s="190">
        <v>3</v>
      </c>
      <c r="DA15" s="190">
        <v>4</v>
      </c>
      <c r="DB15" s="190">
        <v>5</v>
      </c>
      <c r="DC15" s="190">
        <v>6</v>
      </c>
      <c r="DD15" s="190">
        <v>7</v>
      </c>
      <c r="DE15" s="190">
        <v>8</v>
      </c>
      <c r="DF15" s="190" t="s">
        <v>410</v>
      </c>
      <c r="DG15" s="190" t="s">
        <v>308</v>
      </c>
      <c r="DH15" s="190" t="s">
        <v>18</v>
      </c>
      <c r="DI15" s="190">
        <v>0</v>
      </c>
      <c r="DJ15" s="190">
        <v>0</v>
      </c>
      <c r="DK15" s="190">
        <v>255472</v>
      </c>
      <c r="DL15" s="190">
        <v>3</v>
      </c>
      <c r="DM15" s="190">
        <v>255472</v>
      </c>
      <c r="DN15" s="190">
        <v>50</v>
      </c>
      <c r="DO15" s="190">
        <v>7000</v>
      </c>
      <c r="DP15" s="190">
        <v>0</v>
      </c>
      <c r="DQ15" s="190"/>
      <c r="DR15" s="190">
        <v>7000</v>
      </c>
      <c r="DS15" s="190">
        <v>-2305</v>
      </c>
      <c r="DT15" s="190">
        <v>262369</v>
      </c>
      <c r="DU15" s="190">
        <v>0</v>
      </c>
      <c r="DV15" s="190">
        <v>262369</v>
      </c>
      <c r="DW15" s="190">
        <v>2305</v>
      </c>
      <c r="DX15" s="190">
        <v>257774</v>
      </c>
      <c r="DY15" s="190">
        <v>4703</v>
      </c>
      <c r="DZ15" s="190">
        <v>100</v>
      </c>
      <c r="EA15" s="190"/>
      <c r="EB15" s="190">
        <v>0</v>
      </c>
      <c r="EC15" s="190">
        <v>0</v>
      </c>
      <c r="ED15" s="190">
        <v>257727</v>
      </c>
      <c r="EE15" s="190">
        <v>262369</v>
      </c>
      <c r="EF15" s="190">
        <v>255469</v>
      </c>
      <c r="EG15" s="190">
        <v>14</v>
      </c>
    </row>
    <row r="16" spans="1:137" x14ac:dyDescent="0.2">
      <c r="A16" s="190" t="s">
        <v>309</v>
      </c>
      <c r="B16" s="263" t="s">
        <v>426</v>
      </c>
      <c r="C16" s="190">
        <v>1</v>
      </c>
      <c r="D16" s="190" t="s">
        <v>418</v>
      </c>
      <c r="E16" s="190" t="s">
        <v>419</v>
      </c>
      <c r="F16" s="190">
        <v>59.963000000000001</v>
      </c>
      <c r="G16" s="190" t="s">
        <v>310</v>
      </c>
      <c r="H16" s="190">
        <v>1</v>
      </c>
      <c r="I16" s="190">
        <v>6000</v>
      </c>
      <c r="J16" s="190">
        <v>-41</v>
      </c>
      <c r="K16" s="190">
        <v>0</v>
      </c>
      <c r="L16" s="190">
        <v>24369</v>
      </c>
      <c r="M16" s="190">
        <v>41</v>
      </c>
      <c r="N16" s="190">
        <v>18510</v>
      </c>
      <c r="O16" s="190">
        <v>5971</v>
      </c>
      <c r="P16" s="190"/>
      <c r="Q16" s="190">
        <v>0</v>
      </c>
      <c r="R16" s="190">
        <v>0</v>
      </c>
      <c r="S16" s="190">
        <v>696637077</v>
      </c>
      <c r="T16" s="190" t="s">
        <v>303</v>
      </c>
      <c r="U16" s="190" t="s">
        <v>304</v>
      </c>
      <c r="V16" s="190" t="s">
        <v>304</v>
      </c>
      <c r="W16" s="190" t="s">
        <v>398</v>
      </c>
      <c r="X16" s="190" t="s">
        <v>420</v>
      </c>
      <c r="Y16" s="260">
        <v>0.39193287037037039</v>
      </c>
      <c r="Z16" s="190" t="s">
        <v>305</v>
      </c>
      <c r="AA16" s="190" t="s">
        <v>306</v>
      </c>
      <c r="AB16" s="190">
        <v>-1</v>
      </c>
      <c r="AC16" s="190">
        <v>-999999</v>
      </c>
      <c r="AD16" s="190">
        <v>18469</v>
      </c>
      <c r="AE16" s="190">
        <v>39</v>
      </c>
      <c r="AF16" s="190">
        <v>5767</v>
      </c>
      <c r="AG16" s="190">
        <v>0</v>
      </c>
      <c r="AH16" s="190">
        <v>5</v>
      </c>
      <c r="AI16" s="190">
        <v>12702</v>
      </c>
      <c r="AJ16" s="190">
        <v>18469</v>
      </c>
      <c r="AK16" s="190">
        <v>15</v>
      </c>
      <c r="AL16" s="190">
        <v>15</v>
      </c>
      <c r="AM16" s="190">
        <v>1</v>
      </c>
      <c r="AN16" s="190">
        <v>15</v>
      </c>
      <c r="AO16" s="190">
        <v>0</v>
      </c>
      <c r="AP16" s="190" t="s">
        <v>307</v>
      </c>
      <c r="AQ16" s="190">
        <v>4000</v>
      </c>
      <c r="AR16" s="190">
        <v>0</v>
      </c>
      <c r="AS16" s="190"/>
      <c r="AT16" s="190">
        <v>4000</v>
      </c>
      <c r="AU16" s="190">
        <v>-11</v>
      </c>
      <c r="AV16" s="190">
        <v>270369</v>
      </c>
      <c r="AW16" s="190">
        <v>0</v>
      </c>
      <c r="AX16" s="190">
        <v>270369</v>
      </c>
      <c r="AY16" s="190">
        <v>11</v>
      </c>
      <c r="AZ16" s="190">
        <v>266480</v>
      </c>
      <c r="BA16" s="190">
        <v>4004</v>
      </c>
      <c r="BB16" s="190">
        <v>100</v>
      </c>
      <c r="BC16" s="190"/>
      <c r="BD16" s="190">
        <v>0</v>
      </c>
      <c r="BE16" s="190">
        <v>0</v>
      </c>
      <c r="BF16" s="190">
        <v>266374</v>
      </c>
      <c r="BG16" s="190">
        <v>270369</v>
      </c>
      <c r="BH16" s="190">
        <v>266469</v>
      </c>
      <c r="BI16" s="190">
        <v>7000</v>
      </c>
      <c r="BJ16" s="190">
        <v>0</v>
      </c>
      <c r="BK16" s="190"/>
      <c r="BL16" s="190" t="s">
        <v>306</v>
      </c>
      <c r="BM16" s="190">
        <v>7000</v>
      </c>
      <c r="BN16" s="190">
        <v>-999999</v>
      </c>
      <c r="BO16" s="190">
        <v>272636</v>
      </c>
      <c r="BP16" s="190">
        <v>272636</v>
      </c>
      <c r="BQ16" s="190">
        <v>46</v>
      </c>
      <c r="BR16" s="190">
        <v>272218</v>
      </c>
      <c r="BS16" s="190">
        <v>0</v>
      </c>
      <c r="BT16" s="190">
        <v>100</v>
      </c>
      <c r="BU16" s="190">
        <v>1</v>
      </c>
      <c r="BV16" s="190">
        <v>418</v>
      </c>
      <c r="BW16" s="190">
        <v>272636</v>
      </c>
      <c r="BX16" s="190">
        <v>272177</v>
      </c>
      <c r="BY16" s="190">
        <v>279072</v>
      </c>
      <c r="BZ16" s="190">
        <v>272172</v>
      </c>
      <c r="CA16" s="190">
        <v>6000</v>
      </c>
      <c r="CB16" s="190">
        <v>0</v>
      </c>
      <c r="CC16" s="190"/>
      <c r="CD16" s="190">
        <v>6000</v>
      </c>
      <c r="CE16" s="190">
        <v>-3</v>
      </c>
      <c r="CF16" s="190">
        <v>283369</v>
      </c>
      <c r="CG16" s="190">
        <v>0</v>
      </c>
      <c r="CH16" s="190">
        <v>283369</v>
      </c>
      <c r="CI16" s="190">
        <v>3</v>
      </c>
      <c r="CJ16" s="190">
        <v>277472</v>
      </c>
      <c r="CK16" s="190">
        <v>0</v>
      </c>
      <c r="CL16" s="190">
        <v>100</v>
      </c>
      <c r="CM16" s="190"/>
      <c r="CN16" s="190">
        <v>0</v>
      </c>
      <c r="CO16" s="190">
        <v>0</v>
      </c>
      <c r="CP16" s="190">
        <v>277369</v>
      </c>
      <c r="CQ16" s="190">
        <v>283369</v>
      </c>
      <c r="CR16" s="190">
        <v>277469</v>
      </c>
      <c r="CS16" s="190">
        <v>15</v>
      </c>
      <c r="CT16" s="190">
        <v>4</v>
      </c>
      <c r="CU16" s="190">
        <v>0</v>
      </c>
      <c r="CV16" s="190">
        <v>9</v>
      </c>
      <c r="CW16" s="190">
        <v>10</v>
      </c>
      <c r="CX16" s="190">
        <v>1</v>
      </c>
      <c r="CY16" s="190">
        <v>2</v>
      </c>
      <c r="CZ16" s="190">
        <v>3</v>
      </c>
      <c r="DA16" s="190">
        <v>4</v>
      </c>
      <c r="DB16" s="190">
        <v>5</v>
      </c>
      <c r="DC16" s="190">
        <v>6</v>
      </c>
      <c r="DD16" s="190">
        <v>7</v>
      </c>
      <c r="DE16" s="190">
        <v>8</v>
      </c>
      <c r="DF16" s="190" t="s">
        <v>408</v>
      </c>
      <c r="DG16" s="190" t="s">
        <v>308</v>
      </c>
      <c r="DH16" s="190" t="s">
        <v>18</v>
      </c>
      <c r="DI16" s="190">
        <v>0</v>
      </c>
      <c r="DJ16" s="190">
        <v>0</v>
      </c>
      <c r="DK16" s="190">
        <v>270484</v>
      </c>
      <c r="DL16" s="190">
        <v>15</v>
      </c>
      <c r="DM16" s="190">
        <v>270484</v>
      </c>
      <c r="DN16" s="190">
        <v>50</v>
      </c>
      <c r="DO16" s="190">
        <v>7000</v>
      </c>
      <c r="DP16" s="190">
        <v>0</v>
      </c>
      <c r="DQ16" s="190"/>
      <c r="DR16" s="190">
        <v>7000</v>
      </c>
      <c r="DS16" s="190">
        <v>-2216</v>
      </c>
      <c r="DT16" s="190">
        <v>277369</v>
      </c>
      <c r="DU16" s="190">
        <v>0</v>
      </c>
      <c r="DV16" s="190">
        <v>277369</v>
      </c>
      <c r="DW16" s="190">
        <v>2216</v>
      </c>
      <c r="DX16" s="190">
        <v>272685</v>
      </c>
      <c r="DY16" s="190">
        <v>4787</v>
      </c>
      <c r="DZ16" s="190">
        <v>100</v>
      </c>
      <c r="EA16" s="190"/>
      <c r="EB16" s="190">
        <v>0</v>
      </c>
      <c r="EC16" s="190">
        <v>0</v>
      </c>
      <c r="ED16" s="190">
        <v>272639</v>
      </c>
      <c r="EE16" s="190">
        <v>277369</v>
      </c>
      <c r="EF16" s="190">
        <v>270469</v>
      </c>
      <c r="EG16" s="190">
        <v>15</v>
      </c>
    </row>
    <row r="17" spans="1:137" x14ac:dyDescent="0.2">
      <c r="A17" s="190" t="s">
        <v>309</v>
      </c>
      <c r="B17" s="263" t="s">
        <v>426</v>
      </c>
      <c r="C17" s="190">
        <v>1</v>
      </c>
      <c r="D17" s="190" t="s">
        <v>418</v>
      </c>
      <c r="E17" s="190" t="s">
        <v>419</v>
      </c>
      <c r="F17" s="190">
        <v>59.963000000000001</v>
      </c>
      <c r="G17" s="190" t="s">
        <v>310</v>
      </c>
      <c r="H17" s="190">
        <v>1</v>
      </c>
      <c r="I17" s="190">
        <v>6000</v>
      </c>
      <c r="J17" s="190">
        <v>-41</v>
      </c>
      <c r="K17" s="190">
        <v>0</v>
      </c>
      <c r="L17" s="190">
        <v>24369</v>
      </c>
      <c r="M17" s="190">
        <v>41</v>
      </c>
      <c r="N17" s="190">
        <v>18510</v>
      </c>
      <c r="O17" s="190">
        <v>5971</v>
      </c>
      <c r="P17" s="190"/>
      <c r="Q17" s="190">
        <v>0</v>
      </c>
      <c r="R17" s="190">
        <v>0</v>
      </c>
      <c r="S17" s="190">
        <v>696637077</v>
      </c>
      <c r="T17" s="190" t="s">
        <v>303</v>
      </c>
      <c r="U17" s="190" t="s">
        <v>304</v>
      </c>
      <c r="V17" s="190" t="s">
        <v>304</v>
      </c>
      <c r="W17" s="190" t="s">
        <v>398</v>
      </c>
      <c r="X17" s="190" t="s">
        <v>420</v>
      </c>
      <c r="Y17" s="260">
        <v>0.39193287037037039</v>
      </c>
      <c r="Z17" s="190" t="s">
        <v>305</v>
      </c>
      <c r="AA17" s="190" t="s">
        <v>306</v>
      </c>
      <c r="AB17" s="190">
        <v>-1</v>
      </c>
      <c r="AC17" s="190">
        <v>-999999</v>
      </c>
      <c r="AD17" s="190">
        <v>18469</v>
      </c>
      <c r="AE17" s="190">
        <v>39</v>
      </c>
      <c r="AF17" s="190">
        <v>5767</v>
      </c>
      <c r="AG17" s="190">
        <v>0</v>
      </c>
      <c r="AH17" s="190">
        <v>5</v>
      </c>
      <c r="AI17" s="190">
        <v>12702</v>
      </c>
      <c r="AJ17" s="190">
        <v>18469</v>
      </c>
      <c r="AK17" s="190">
        <v>16</v>
      </c>
      <c r="AL17" s="190">
        <v>16</v>
      </c>
      <c r="AM17" s="190">
        <v>1</v>
      </c>
      <c r="AN17" s="190">
        <v>16</v>
      </c>
      <c r="AO17" s="190">
        <v>4</v>
      </c>
      <c r="AP17" s="190" t="s">
        <v>307</v>
      </c>
      <c r="AQ17" s="190">
        <v>4000</v>
      </c>
      <c r="AR17" s="190">
        <v>0</v>
      </c>
      <c r="AS17" s="190"/>
      <c r="AT17" s="190">
        <v>4000</v>
      </c>
      <c r="AU17" s="190">
        <v>-7</v>
      </c>
      <c r="AV17" s="190">
        <v>287369</v>
      </c>
      <c r="AW17" s="190">
        <v>0</v>
      </c>
      <c r="AX17" s="190">
        <v>287369</v>
      </c>
      <c r="AY17" s="190">
        <v>7</v>
      </c>
      <c r="AZ17" s="190">
        <v>283476</v>
      </c>
      <c r="BA17" s="190">
        <v>4003</v>
      </c>
      <c r="BB17" s="190">
        <v>100</v>
      </c>
      <c r="BC17" s="190"/>
      <c r="BD17" s="190">
        <v>0</v>
      </c>
      <c r="BE17" s="190">
        <v>0</v>
      </c>
      <c r="BF17" s="190">
        <v>283374</v>
      </c>
      <c r="BG17" s="190">
        <v>287369</v>
      </c>
      <c r="BH17" s="190">
        <v>283469</v>
      </c>
      <c r="BI17" s="190">
        <v>7000</v>
      </c>
      <c r="BJ17" s="190">
        <v>0</v>
      </c>
      <c r="BK17" s="190"/>
      <c r="BL17" s="190" t="s">
        <v>306</v>
      </c>
      <c r="BM17" s="190">
        <v>7000</v>
      </c>
      <c r="BN17" s="190">
        <v>-999999</v>
      </c>
      <c r="BO17" s="190">
        <v>290219</v>
      </c>
      <c r="BP17" s="190">
        <v>290219</v>
      </c>
      <c r="BQ17" s="190">
        <v>46</v>
      </c>
      <c r="BR17" s="190">
        <v>289081</v>
      </c>
      <c r="BS17" s="190">
        <v>0</v>
      </c>
      <c r="BT17" s="190">
        <v>100</v>
      </c>
      <c r="BU17" s="190">
        <v>1</v>
      </c>
      <c r="BV17" s="190">
        <v>1138</v>
      </c>
      <c r="BW17" s="190">
        <v>290219</v>
      </c>
      <c r="BX17" s="190">
        <v>289038</v>
      </c>
      <c r="BY17" s="190">
        <v>295935</v>
      </c>
      <c r="BZ17" s="190">
        <v>289035</v>
      </c>
      <c r="CA17" s="190">
        <v>4000</v>
      </c>
      <c r="CB17" s="190">
        <v>0</v>
      </c>
      <c r="CC17" s="190"/>
      <c r="CD17" s="190">
        <v>4000</v>
      </c>
      <c r="CE17" s="190">
        <v>-16</v>
      </c>
      <c r="CF17" s="190">
        <v>298369</v>
      </c>
      <c r="CG17" s="190">
        <v>0</v>
      </c>
      <c r="CH17" s="190">
        <v>298369</v>
      </c>
      <c r="CI17" s="190">
        <v>16</v>
      </c>
      <c r="CJ17" s="190">
        <v>294485</v>
      </c>
      <c r="CK17" s="190">
        <v>0</v>
      </c>
      <c r="CL17" s="190">
        <v>100</v>
      </c>
      <c r="CM17" s="190"/>
      <c r="CN17" s="190">
        <v>0</v>
      </c>
      <c r="CO17" s="190">
        <v>0</v>
      </c>
      <c r="CP17" s="190">
        <v>294369</v>
      </c>
      <c r="CQ17" s="190">
        <v>298369</v>
      </c>
      <c r="CR17" s="190">
        <v>294469</v>
      </c>
      <c r="CS17" s="190">
        <v>15</v>
      </c>
      <c r="CT17" s="190">
        <v>4</v>
      </c>
      <c r="CU17" s="190">
        <v>0</v>
      </c>
      <c r="CV17" s="190">
        <v>9</v>
      </c>
      <c r="CW17" s="190">
        <v>10</v>
      </c>
      <c r="CX17" s="190">
        <v>1</v>
      </c>
      <c r="CY17" s="190">
        <v>2</v>
      </c>
      <c r="CZ17" s="190">
        <v>3</v>
      </c>
      <c r="DA17" s="190">
        <v>4</v>
      </c>
      <c r="DB17" s="190">
        <v>5</v>
      </c>
      <c r="DC17" s="190">
        <v>6</v>
      </c>
      <c r="DD17" s="190">
        <v>7</v>
      </c>
      <c r="DE17" s="190">
        <v>8</v>
      </c>
      <c r="DF17" s="190" t="s">
        <v>411</v>
      </c>
      <c r="DG17" s="190" t="s">
        <v>308</v>
      </c>
      <c r="DH17" s="190" t="s">
        <v>18</v>
      </c>
      <c r="DI17" s="190">
        <v>0</v>
      </c>
      <c r="DJ17" s="190">
        <v>1</v>
      </c>
      <c r="DK17" s="190">
        <v>287480</v>
      </c>
      <c r="DL17" s="190">
        <v>10</v>
      </c>
      <c r="DM17" s="190">
        <v>287479</v>
      </c>
      <c r="DN17" s="190">
        <v>51</v>
      </c>
      <c r="DO17" s="190">
        <v>7000</v>
      </c>
      <c r="DP17" s="190">
        <v>0</v>
      </c>
      <c r="DQ17" s="190"/>
      <c r="DR17" s="190">
        <v>7000</v>
      </c>
      <c r="DS17" s="190">
        <v>-2796</v>
      </c>
      <c r="DT17" s="190">
        <v>294369</v>
      </c>
      <c r="DU17" s="190">
        <v>0</v>
      </c>
      <c r="DV17" s="190">
        <v>294369</v>
      </c>
      <c r="DW17" s="190">
        <v>2796</v>
      </c>
      <c r="DX17" s="190">
        <v>290265</v>
      </c>
      <c r="DY17" s="190">
        <v>4220</v>
      </c>
      <c r="DZ17" s="190">
        <v>100</v>
      </c>
      <c r="EA17" s="190"/>
      <c r="EB17" s="190">
        <v>0</v>
      </c>
      <c r="EC17" s="190">
        <v>0</v>
      </c>
      <c r="ED17" s="190">
        <v>290221</v>
      </c>
      <c r="EE17" s="190">
        <v>294369</v>
      </c>
      <c r="EF17" s="190">
        <v>287469</v>
      </c>
      <c r="EG17" s="190">
        <v>16</v>
      </c>
    </row>
    <row r="18" spans="1:137" x14ac:dyDescent="0.2">
      <c r="A18" s="190" t="s">
        <v>309</v>
      </c>
      <c r="B18" s="263" t="s">
        <v>426</v>
      </c>
      <c r="C18" s="190">
        <v>1</v>
      </c>
      <c r="D18" s="190" t="s">
        <v>418</v>
      </c>
      <c r="E18" s="190" t="s">
        <v>419</v>
      </c>
      <c r="F18" s="190">
        <v>59.963000000000001</v>
      </c>
      <c r="G18" s="190" t="s">
        <v>310</v>
      </c>
      <c r="H18" s="190">
        <v>1</v>
      </c>
      <c r="I18" s="190">
        <v>6000</v>
      </c>
      <c r="J18" s="190">
        <v>-41</v>
      </c>
      <c r="K18" s="190">
        <v>0</v>
      </c>
      <c r="L18" s="190">
        <v>24369</v>
      </c>
      <c r="M18" s="190">
        <v>41</v>
      </c>
      <c r="N18" s="190">
        <v>18510</v>
      </c>
      <c r="O18" s="190">
        <v>5971</v>
      </c>
      <c r="P18" s="190"/>
      <c r="Q18" s="190">
        <v>0</v>
      </c>
      <c r="R18" s="190">
        <v>0</v>
      </c>
      <c r="S18" s="190">
        <v>696637077</v>
      </c>
      <c r="T18" s="190" t="s">
        <v>303</v>
      </c>
      <c r="U18" s="190" t="s">
        <v>304</v>
      </c>
      <c r="V18" s="190" t="s">
        <v>304</v>
      </c>
      <c r="W18" s="190" t="s">
        <v>398</v>
      </c>
      <c r="X18" s="190" t="s">
        <v>420</v>
      </c>
      <c r="Y18" s="260">
        <v>0.39193287037037039</v>
      </c>
      <c r="Z18" s="190" t="s">
        <v>305</v>
      </c>
      <c r="AA18" s="190" t="s">
        <v>306</v>
      </c>
      <c r="AB18" s="190">
        <v>-1</v>
      </c>
      <c r="AC18" s="190">
        <v>-999999</v>
      </c>
      <c r="AD18" s="190">
        <v>18469</v>
      </c>
      <c r="AE18" s="190">
        <v>39</v>
      </c>
      <c r="AF18" s="190">
        <v>5767</v>
      </c>
      <c r="AG18" s="190">
        <v>0</v>
      </c>
      <c r="AH18" s="190">
        <v>5</v>
      </c>
      <c r="AI18" s="190">
        <v>12702</v>
      </c>
      <c r="AJ18" s="190">
        <v>18469</v>
      </c>
      <c r="AK18" s="190">
        <v>17</v>
      </c>
      <c r="AL18" s="190">
        <v>17</v>
      </c>
      <c r="AM18" s="190">
        <v>1</v>
      </c>
      <c r="AN18" s="190">
        <v>17</v>
      </c>
      <c r="AO18" s="190">
        <v>8</v>
      </c>
      <c r="AP18" s="190" t="s">
        <v>307</v>
      </c>
      <c r="AQ18" s="190">
        <v>4000</v>
      </c>
      <c r="AR18" s="190">
        <v>0</v>
      </c>
      <c r="AS18" s="190"/>
      <c r="AT18" s="190">
        <v>4000</v>
      </c>
      <c r="AU18" s="190">
        <v>-2</v>
      </c>
      <c r="AV18" s="190">
        <v>302369</v>
      </c>
      <c r="AW18" s="190">
        <v>0</v>
      </c>
      <c r="AX18" s="190">
        <v>302369</v>
      </c>
      <c r="AY18" s="190">
        <v>2</v>
      </c>
      <c r="AZ18" s="190">
        <v>298471</v>
      </c>
      <c r="BA18" s="190">
        <v>4003</v>
      </c>
      <c r="BB18" s="190">
        <v>100</v>
      </c>
      <c r="BC18" s="190"/>
      <c r="BD18" s="190">
        <v>0</v>
      </c>
      <c r="BE18" s="190">
        <v>0</v>
      </c>
      <c r="BF18" s="190">
        <v>298374</v>
      </c>
      <c r="BG18" s="190">
        <v>302369</v>
      </c>
      <c r="BH18" s="190">
        <v>298469</v>
      </c>
      <c r="BI18" s="190">
        <v>7000</v>
      </c>
      <c r="BJ18" s="190">
        <v>0</v>
      </c>
      <c r="BK18" s="190"/>
      <c r="BL18" s="190" t="s">
        <v>306</v>
      </c>
      <c r="BM18" s="190">
        <v>7000</v>
      </c>
      <c r="BN18" s="190">
        <v>-999999</v>
      </c>
      <c r="BO18" s="190">
        <v>304170</v>
      </c>
      <c r="BP18" s="190">
        <v>304170</v>
      </c>
      <c r="BQ18" s="190">
        <v>38</v>
      </c>
      <c r="BR18" s="190">
        <v>303808</v>
      </c>
      <c r="BS18" s="190">
        <v>0</v>
      </c>
      <c r="BT18" s="190">
        <v>100</v>
      </c>
      <c r="BU18" s="190">
        <v>1</v>
      </c>
      <c r="BV18" s="190">
        <v>361</v>
      </c>
      <c r="BW18" s="190">
        <v>304169</v>
      </c>
      <c r="BX18" s="190">
        <v>303773</v>
      </c>
      <c r="BY18" s="190">
        <v>310670</v>
      </c>
      <c r="BZ18" s="190">
        <v>303770</v>
      </c>
      <c r="CA18" s="190">
        <v>10000</v>
      </c>
      <c r="CB18" s="190">
        <v>0</v>
      </c>
      <c r="CC18" s="190"/>
      <c r="CD18" s="190">
        <v>10000</v>
      </c>
      <c r="CE18" s="190">
        <v>-10</v>
      </c>
      <c r="CF18" s="190">
        <v>319369</v>
      </c>
      <c r="CG18" s="190">
        <v>0</v>
      </c>
      <c r="CH18" s="190">
        <v>319369</v>
      </c>
      <c r="CI18" s="190">
        <v>10</v>
      </c>
      <c r="CJ18" s="190">
        <v>309479</v>
      </c>
      <c r="CK18" s="190">
        <v>0</v>
      </c>
      <c r="CL18" s="190">
        <v>100</v>
      </c>
      <c r="CM18" s="190"/>
      <c r="CN18" s="190">
        <v>0</v>
      </c>
      <c r="CO18" s="190">
        <v>0</v>
      </c>
      <c r="CP18" s="190">
        <v>309369</v>
      </c>
      <c r="CQ18" s="190">
        <v>319369</v>
      </c>
      <c r="CR18" s="190">
        <v>309469</v>
      </c>
      <c r="CS18" s="190">
        <v>15</v>
      </c>
      <c r="CT18" s="190">
        <v>4</v>
      </c>
      <c r="CU18" s="190">
        <v>0</v>
      </c>
      <c r="CV18" s="190">
        <v>9</v>
      </c>
      <c r="CW18" s="190">
        <v>10</v>
      </c>
      <c r="CX18" s="190">
        <v>1</v>
      </c>
      <c r="CY18" s="190">
        <v>2</v>
      </c>
      <c r="CZ18" s="190">
        <v>3</v>
      </c>
      <c r="DA18" s="190">
        <v>4</v>
      </c>
      <c r="DB18" s="190">
        <v>5</v>
      </c>
      <c r="DC18" s="190">
        <v>6</v>
      </c>
      <c r="DD18" s="190">
        <v>7</v>
      </c>
      <c r="DE18" s="190">
        <v>8</v>
      </c>
      <c r="DF18" s="190" t="s">
        <v>405</v>
      </c>
      <c r="DG18" s="190" t="s">
        <v>308</v>
      </c>
      <c r="DH18" s="190" t="s">
        <v>18</v>
      </c>
      <c r="DI18" s="190">
        <v>0</v>
      </c>
      <c r="DJ18" s="190">
        <v>0</v>
      </c>
      <c r="DK18" s="190">
        <v>302474</v>
      </c>
      <c r="DL18" s="190">
        <v>5</v>
      </c>
      <c r="DM18" s="190">
        <v>302474</v>
      </c>
      <c r="DN18" s="190">
        <v>50</v>
      </c>
      <c r="DO18" s="190">
        <v>7000</v>
      </c>
      <c r="DP18" s="190">
        <v>0</v>
      </c>
      <c r="DQ18" s="190"/>
      <c r="DR18" s="190">
        <v>7000</v>
      </c>
      <c r="DS18" s="190">
        <v>-1740</v>
      </c>
      <c r="DT18" s="190">
        <v>309369</v>
      </c>
      <c r="DU18" s="190">
        <v>0</v>
      </c>
      <c r="DV18" s="190">
        <v>309369</v>
      </c>
      <c r="DW18" s="190">
        <v>1740</v>
      </c>
      <c r="DX18" s="190">
        <v>304209</v>
      </c>
      <c r="DY18" s="190">
        <v>5270</v>
      </c>
      <c r="DZ18" s="190">
        <v>100</v>
      </c>
      <c r="EA18" s="190"/>
      <c r="EB18" s="190">
        <v>0</v>
      </c>
      <c r="EC18" s="190">
        <v>0</v>
      </c>
      <c r="ED18" s="190">
        <v>304172</v>
      </c>
      <c r="EE18" s="190">
        <v>309369</v>
      </c>
      <c r="EF18" s="190">
        <v>302469</v>
      </c>
      <c r="EG18" s="190">
        <v>17</v>
      </c>
    </row>
    <row r="19" spans="1:137" x14ac:dyDescent="0.2">
      <c r="A19" s="190" t="s">
        <v>309</v>
      </c>
      <c r="B19" s="263" t="s">
        <v>426</v>
      </c>
      <c r="C19" s="190">
        <v>1</v>
      </c>
      <c r="D19" s="190" t="s">
        <v>418</v>
      </c>
      <c r="E19" s="190" t="s">
        <v>419</v>
      </c>
      <c r="F19" s="190">
        <v>59.963000000000001</v>
      </c>
      <c r="G19" s="190" t="s">
        <v>310</v>
      </c>
      <c r="H19" s="190">
        <v>1</v>
      </c>
      <c r="I19" s="190">
        <v>6000</v>
      </c>
      <c r="J19" s="190">
        <v>-41</v>
      </c>
      <c r="K19" s="190">
        <v>0</v>
      </c>
      <c r="L19" s="190">
        <v>24369</v>
      </c>
      <c r="M19" s="190">
        <v>41</v>
      </c>
      <c r="N19" s="190">
        <v>18510</v>
      </c>
      <c r="O19" s="190">
        <v>5971</v>
      </c>
      <c r="P19" s="190"/>
      <c r="Q19" s="190">
        <v>0</v>
      </c>
      <c r="R19" s="190">
        <v>0</v>
      </c>
      <c r="S19" s="190">
        <v>696637077</v>
      </c>
      <c r="T19" s="190" t="s">
        <v>303</v>
      </c>
      <c r="U19" s="190" t="s">
        <v>304</v>
      </c>
      <c r="V19" s="190" t="s">
        <v>304</v>
      </c>
      <c r="W19" s="190" t="s">
        <v>398</v>
      </c>
      <c r="X19" s="190" t="s">
        <v>420</v>
      </c>
      <c r="Y19" s="260">
        <v>0.39193287037037039</v>
      </c>
      <c r="Z19" s="190" t="s">
        <v>305</v>
      </c>
      <c r="AA19" s="190" t="s">
        <v>306</v>
      </c>
      <c r="AB19" s="190">
        <v>-1</v>
      </c>
      <c r="AC19" s="190">
        <v>-999999</v>
      </c>
      <c r="AD19" s="190">
        <v>18469</v>
      </c>
      <c r="AE19" s="190">
        <v>39</v>
      </c>
      <c r="AF19" s="190">
        <v>5767</v>
      </c>
      <c r="AG19" s="190">
        <v>0</v>
      </c>
      <c r="AH19" s="190">
        <v>5</v>
      </c>
      <c r="AI19" s="190">
        <v>12702</v>
      </c>
      <c r="AJ19" s="190">
        <v>18469</v>
      </c>
      <c r="AK19" s="190">
        <v>18</v>
      </c>
      <c r="AL19" s="190">
        <v>18</v>
      </c>
      <c r="AM19" s="190">
        <v>1</v>
      </c>
      <c r="AN19" s="190">
        <v>18</v>
      </c>
      <c r="AO19" s="190">
        <v>3</v>
      </c>
      <c r="AP19" s="190" t="s">
        <v>307</v>
      </c>
      <c r="AQ19" s="190">
        <v>4000</v>
      </c>
      <c r="AR19" s="190">
        <v>0</v>
      </c>
      <c r="AS19" s="190"/>
      <c r="AT19" s="190">
        <v>4000</v>
      </c>
      <c r="AU19" s="190">
        <v>-1</v>
      </c>
      <c r="AV19" s="190">
        <v>323369</v>
      </c>
      <c r="AW19" s="190">
        <v>0</v>
      </c>
      <c r="AX19" s="190">
        <v>323369</v>
      </c>
      <c r="AY19" s="190">
        <v>1</v>
      </c>
      <c r="AZ19" s="190">
        <v>319470</v>
      </c>
      <c r="BA19" s="190">
        <v>4003</v>
      </c>
      <c r="BB19" s="190">
        <v>100</v>
      </c>
      <c r="BC19" s="190"/>
      <c r="BD19" s="190">
        <v>0</v>
      </c>
      <c r="BE19" s="190">
        <v>0</v>
      </c>
      <c r="BF19" s="190">
        <v>319374</v>
      </c>
      <c r="BG19" s="190">
        <v>323369</v>
      </c>
      <c r="BH19" s="190">
        <v>319469</v>
      </c>
      <c r="BI19" s="190">
        <v>7000</v>
      </c>
      <c r="BJ19" s="190">
        <v>0</v>
      </c>
      <c r="BK19" s="190"/>
      <c r="BL19" s="190" t="s">
        <v>306</v>
      </c>
      <c r="BM19" s="190">
        <v>7000</v>
      </c>
      <c r="BN19" s="190">
        <v>-999999</v>
      </c>
      <c r="BO19" s="190">
        <v>327256</v>
      </c>
      <c r="BP19" s="190">
        <v>327256</v>
      </c>
      <c r="BQ19" s="190">
        <v>49</v>
      </c>
      <c r="BR19" s="190">
        <v>326609</v>
      </c>
      <c r="BS19" s="190">
        <v>0</v>
      </c>
      <c r="BT19" s="190">
        <v>100</v>
      </c>
      <c r="BU19" s="190">
        <v>1</v>
      </c>
      <c r="BV19" s="190">
        <v>647</v>
      </c>
      <c r="BW19" s="190">
        <v>327256</v>
      </c>
      <c r="BX19" s="190">
        <v>326563</v>
      </c>
      <c r="BY19" s="190">
        <v>333460</v>
      </c>
      <c r="BZ19" s="190">
        <v>326560</v>
      </c>
      <c r="CA19" s="190">
        <v>2000</v>
      </c>
      <c r="CB19" s="190">
        <v>0</v>
      </c>
      <c r="CC19" s="190"/>
      <c r="CD19" s="190">
        <v>2000</v>
      </c>
      <c r="CE19" s="190">
        <v>-10</v>
      </c>
      <c r="CF19" s="190">
        <v>332369</v>
      </c>
      <c r="CG19" s="190">
        <v>0</v>
      </c>
      <c r="CH19" s="190">
        <v>332369</v>
      </c>
      <c r="CI19" s="190">
        <v>10</v>
      </c>
      <c r="CJ19" s="190">
        <v>330479</v>
      </c>
      <c r="CK19" s="190">
        <v>0</v>
      </c>
      <c r="CL19" s="190">
        <v>100</v>
      </c>
      <c r="CM19" s="190"/>
      <c r="CN19" s="190">
        <v>0</v>
      </c>
      <c r="CO19" s="190">
        <v>0</v>
      </c>
      <c r="CP19" s="190">
        <v>330369</v>
      </c>
      <c r="CQ19" s="190">
        <v>332369</v>
      </c>
      <c r="CR19" s="190">
        <v>330469</v>
      </c>
      <c r="CS19" s="190">
        <v>15</v>
      </c>
      <c r="CT19" s="190">
        <v>4</v>
      </c>
      <c r="CU19" s="190">
        <v>0</v>
      </c>
      <c r="CV19" s="190">
        <v>9</v>
      </c>
      <c r="CW19" s="190">
        <v>10</v>
      </c>
      <c r="CX19" s="190">
        <v>1</v>
      </c>
      <c r="CY19" s="190">
        <v>2</v>
      </c>
      <c r="CZ19" s="190">
        <v>3</v>
      </c>
      <c r="DA19" s="190">
        <v>4</v>
      </c>
      <c r="DB19" s="190">
        <v>5</v>
      </c>
      <c r="DC19" s="190">
        <v>6</v>
      </c>
      <c r="DD19" s="190">
        <v>7</v>
      </c>
      <c r="DE19" s="190">
        <v>8</v>
      </c>
      <c r="DF19" s="190" t="s">
        <v>407</v>
      </c>
      <c r="DG19" s="190" t="s">
        <v>308</v>
      </c>
      <c r="DH19" s="190" t="s">
        <v>18</v>
      </c>
      <c r="DI19" s="190">
        <v>0</v>
      </c>
      <c r="DJ19" s="190">
        <v>0</v>
      </c>
      <c r="DK19" s="190">
        <v>323473</v>
      </c>
      <c r="DL19" s="190">
        <v>4</v>
      </c>
      <c r="DM19" s="190">
        <v>323473</v>
      </c>
      <c r="DN19" s="190">
        <v>50</v>
      </c>
      <c r="DO19" s="190">
        <v>7000</v>
      </c>
      <c r="DP19" s="190">
        <v>0</v>
      </c>
      <c r="DQ19" s="190"/>
      <c r="DR19" s="190">
        <v>7000</v>
      </c>
      <c r="DS19" s="190">
        <v>-3824</v>
      </c>
      <c r="DT19" s="190">
        <v>330369</v>
      </c>
      <c r="DU19" s="190">
        <v>0</v>
      </c>
      <c r="DV19" s="190">
        <v>330369</v>
      </c>
      <c r="DW19" s="190">
        <v>3824</v>
      </c>
      <c r="DX19" s="190">
        <v>327293</v>
      </c>
      <c r="DY19" s="190">
        <v>3186</v>
      </c>
      <c r="DZ19" s="190">
        <v>100</v>
      </c>
      <c r="EA19" s="190"/>
      <c r="EB19" s="190">
        <v>0</v>
      </c>
      <c r="EC19" s="190">
        <v>0</v>
      </c>
      <c r="ED19" s="190">
        <v>327258</v>
      </c>
      <c r="EE19" s="190">
        <v>330369</v>
      </c>
      <c r="EF19" s="190">
        <v>323469</v>
      </c>
      <c r="EG19" s="190">
        <v>18</v>
      </c>
    </row>
    <row r="20" spans="1:137" x14ac:dyDescent="0.2">
      <c r="A20" s="190" t="s">
        <v>309</v>
      </c>
      <c r="B20" s="263" t="s">
        <v>426</v>
      </c>
      <c r="C20" s="190">
        <v>1</v>
      </c>
      <c r="D20" s="190" t="s">
        <v>418</v>
      </c>
      <c r="E20" s="190" t="s">
        <v>419</v>
      </c>
      <c r="F20" s="190">
        <v>59.963000000000001</v>
      </c>
      <c r="G20" s="190" t="s">
        <v>310</v>
      </c>
      <c r="H20" s="190">
        <v>1</v>
      </c>
      <c r="I20" s="190">
        <v>6000</v>
      </c>
      <c r="J20" s="190">
        <v>-41</v>
      </c>
      <c r="K20" s="190">
        <v>0</v>
      </c>
      <c r="L20" s="190">
        <v>24369</v>
      </c>
      <c r="M20" s="190">
        <v>41</v>
      </c>
      <c r="N20" s="190">
        <v>18510</v>
      </c>
      <c r="O20" s="190">
        <v>5971</v>
      </c>
      <c r="P20" s="190"/>
      <c r="Q20" s="190">
        <v>0</v>
      </c>
      <c r="R20" s="190">
        <v>0</v>
      </c>
      <c r="S20" s="190">
        <v>696637077</v>
      </c>
      <c r="T20" s="190" t="s">
        <v>303</v>
      </c>
      <c r="U20" s="190" t="s">
        <v>304</v>
      </c>
      <c r="V20" s="190" t="s">
        <v>304</v>
      </c>
      <c r="W20" s="190" t="s">
        <v>398</v>
      </c>
      <c r="X20" s="190" t="s">
        <v>420</v>
      </c>
      <c r="Y20" s="260">
        <v>0.39193287037037039</v>
      </c>
      <c r="Z20" s="190" t="s">
        <v>305</v>
      </c>
      <c r="AA20" s="190" t="s">
        <v>306</v>
      </c>
      <c r="AB20" s="190">
        <v>-1</v>
      </c>
      <c r="AC20" s="190">
        <v>-999999</v>
      </c>
      <c r="AD20" s="190">
        <v>18469</v>
      </c>
      <c r="AE20" s="190">
        <v>39</v>
      </c>
      <c r="AF20" s="190">
        <v>5767</v>
      </c>
      <c r="AG20" s="190">
        <v>0</v>
      </c>
      <c r="AH20" s="190">
        <v>5</v>
      </c>
      <c r="AI20" s="190">
        <v>12702</v>
      </c>
      <c r="AJ20" s="190">
        <v>18469</v>
      </c>
      <c r="AK20" s="190">
        <v>19</v>
      </c>
      <c r="AL20" s="190">
        <v>19</v>
      </c>
      <c r="AM20" s="190">
        <v>1</v>
      </c>
      <c r="AN20" s="190">
        <v>19</v>
      </c>
      <c r="AO20" s="190">
        <v>0</v>
      </c>
      <c r="AP20" s="190" t="s">
        <v>307</v>
      </c>
      <c r="AQ20" s="190">
        <v>4000</v>
      </c>
      <c r="AR20" s="190">
        <v>0</v>
      </c>
      <c r="AS20" s="190"/>
      <c r="AT20" s="190">
        <v>4000</v>
      </c>
      <c r="AU20" s="190">
        <v>-11</v>
      </c>
      <c r="AV20" s="190">
        <v>336369</v>
      </c>
      <c r="AW20" s="190">
        <v>0</v>
      </c>
      <c r="AX20" s="190">
        <v>336369</v>
      </c>
      <c r="AY20" s="190">
        <v>11</v>
      </c>
      <c r="AZ20" s="190">
        <v>332480</v>
      </c>
      <c r="BA20" s="190">
        <v>4003</v>
      </c>
      <c r="BB20" s="190">
        <v>100</v>
      </c>
      <c r="BC20" s="190"/>
      <c r="BD20" s="190">
        <v>0</v>
      </c>
      <c r="BE20" s="190">
        <v>0</v>
      </c>
      <c r="BF20" s="190">
        <v>332374</v>
      </c>
      <c r="BG20" s="190">
        <v>336369</v>
      </c>
      <c r="BH20" s="190">
        <v>332469</v>
      </c>
      <c r="BI20" s="190">
        <v>7000</v>
      </c>
      <c r="BJ20" s="190">
        <v>0</v>
      </c>
      <c r="BK20" s="190"/>
      <c r="BL20" s="190" t="s">
        <v>306</v>
      </c>
      <c r="BM20" s="190">
        <v>7000</v>
      </c>
      <c r="BN20" s="190">
        <v>-999999</v>
      </c>
      <c r="BO20" s="190">
        <v>338919</v>
      </c>
      <c r="BP20" s="190">
        <v>338919</v>
      </c>
      <c r="BQ20" s="190">
        <v>50</v>
      </c>
      <c r="BR20" s="190">
        <v>338601</v>
      </c>
      <c r="BS20" s="190">
        <v>0</v>
      </c>
      <c r="BT20" s="190">
        <v>100</v>
      </c>
      <c r="BU20" s="190">
        <v>1</v>
      </c>
      <c r="BV20" s="190">
        <v>318</v>
      </c>
      <c r="BW20" s="190">
        <v>338919</v>
      </c>
      <c r="BX20" s="190">
        <v>338555</v>
      </c>
      <c r="BY20" s="190">
        <v>345451</v>
      </c>
      <c r="BZ20" s="190">
        <v>338551</v>
      </c>
      <c r="CA20" s="190">
        <v>4000</v>
      </c>
      <c r="CB20" s="190">
        <v>0</v>
      </c>
      <c r="CC20" s="190"/>
      <c r="CD20" s="190">
        <v>4000</v>
      </c>
      <c r="CE20" s="190">
        <v>-3</v>
      </c>
      <c r="CF20" s="190">
        <v>347369</v>
      </c>
      <c r="CG20" s="190">
        <v>0</v>
      </c>
      <c r="CH20" s="190">
        <v>347369</v>
      </c>
      <c r="CI20" s="190">
        <v>3</v>
      </c>
      <c r="CJ20" s="190">
        <v>343472</v>
      </c>
      <c r="CK20" s="190">
        <v>0</v>
      </c>
      <c r="CL20" s="190">
        <v>100</v>
      </c>
      <c r="CM20" s="190"/>
      <c r="CN20" s="190">
        <v>0</v>
      </c>
      <c r="CO20" s="190">
        <v>0</v>
      </c>
      <c r="CP20" s="190">
        <v>343369</v>
      </c>
      <c r="CQ20" s="190">
        <v>347369</v>
      </c>
      <c r="CR20" s="190">
        <v>343469</v>
      </c>
      <c r="CS20" s="190">
        <v>15</v>
      </c>
      <c r="CT20" s="190">
        <v>4</v>
      </c>
      <c r="CU20" s="190">
        <v>0</v>
      </c>
      <c r="CV20" s="190">
        <v>9</v>
      </c>
      <c r="CW20" s="190">
        <v>10</v>
      </c>
      <c r="CX20" s="190">
        <v>1</v>
      </c>
      <c r="CY20" s="190">
        <v>2</v>
      </c>
      <c r="CZ20" s="190">
        <v>3</v>
      </c>
      <c r="DA20" s="190">
        <v>4</v>
      </c>
      <c r="DB20" s="190">
        <v>5</v>
      </c>
      <c r="DC20" s="190">
        <v>6</v>
      </c>
      <c r="DD20" s="190">
        <v>7</v>
      </c>
      <c r="DE20" s="190">
        <v>8</v>
      </c>
      <c r="DF20" s="190" t="s">
        <v>412</v>
      </c>
      <c r="DG20" s="190" t="s">
        <v>308</v>
      </c>
      <c r="DH20" s="190" t="s">
        <v>18</v>
      </c>
      <c r="DI20" s="190">
        <v>0</v>
      </c>
      <c r="DJ20" s="190">
        <v>0</v>
      </c>
      <c r="DK20" s="190">
        <v>336483</v>
      </c>
      <c r="DL20" s="190">
        <v>14</v>
      </c>
      <c r="DM20" s="190">
        <v>336483</v>
      </c>
      <c r="DN20" s="190">
        <v>50</v>
      </c>
      <c r="DO20" s="190">
        <v>7000</v>
      </c>
      <c r="DP20" s="190">
        <v>0</v>
      </c>
      <c r="DQ20" s="190"/>
      <c r="DR20" s="190">
        <v>7000</v>
      </c>
      <c r="DS20" s="190">
        <v>-2499</v>
      </c>
      <c r="DT20" s="190">
        <v>343369</v>
      </c>
      <c r="DU20" s="190">
        <v>0</v>
      </c>
      <c r="DV20" s="190">
        <v>343369</v>
      </c>
      <c r="DW20" s="190">
        <v>2499</v>
      </c>
      <c r="DX20" s="190">
        <v>338968</v>
      </c>
      <c r="DY20" s="190">
        <v>4504</v>
      </c>
      <c r="DZ20" s="190">
        <v>100</v>
      </c>
      <c r="EA20" s="190"/>
      <c r="EB20" s="190">
        <v>0</v>
      </c>
      <c r="EC20" s="190">
        <v>0</v>
      </c>
      <c r="ED20" s="190">
        <v>338921</v>
      </c>
      <c r="EE20" s="190">
        <v>343369</v>
      </c>
      <c r="EF20" s="190">
        <v>336469</v>
      </c>
      <c r="EG20" s="190">
        <v>19</v>
      </c>
    </row>
    <row r="21" spans="1:137" x14ac:dyDescent="0.2">
      <c r="A21" s="190" t="s">
        <v>309</v>
      </c>
      <c r="B21" s="263" t="s">
        <v>426</v>
      </c>
      <c r="C21" s="190">
        <v>1</v>
      </c>
      <c r="D21" s="190" t="s">
        <v>418</v>
      </c>
      <c r="E21" s="190" t="s">
        <v>419</v>
      </c>
      <c r="F21" s="190">
        <v>59.963000000000001</v>
      </c>
      <c r="G21" s="190" t="s">
        <v>310</v>
      </c>
      <c r="H21" s="190">
        <v>1</v>
      </c>
      <c r="I21" s="190">
        <v>6000</v>
      </c>
      <c r="J21" s="190">
        <v>-41</v>
      </c>
      <c r="K21" s="190">
        <v>0</v>
      </c>
      <c r="L21" s="190">
        <v>24369</v>
      </c>
      <c r="M21" s="190">
        <v>41</v>
      </c>
      <c r="N21" s="190">
        <v>18510</v>
      </c>
      <c r="O21" s="190">
        <v>5971</v>
      </c>
      <c r="P21" s="190"/>
      <c r="Q21" s="190">
        <v>0</v>
      </c>
      <c r="R21" s="190">
        <v>0</v>
      </c>
      <c r="S21" s="190">
        <v>696637077</v>
      </c>
      <c r="T21" s="190" t="s">
        <v>303</v>
      </c>
      <c r="U21" s="190" t="s">
        <v>304</v>
      </c>
      <c r="V21" s="190" t="s">
        <v>304</v>
      </c>
      <c r="W21" s="190" t="s">
        <v>398</v>
      </c>
      <c r="X21" s="190" t="s">
        <v>420</v>
      </c>
      <c r="Y21" s="260">
        <v>0.39193287037037039</v>
      </c>
      <c r="Z21" s="190" t="s">
        <v>305</v>
      </c>
      <c r="AA21" s="190" t="s">
        <v>306</v>
      </c>
      <c r="AB21" s="190">
        <v>-1</v>
      </c>
      <c r="AC21" s="190">
        <v>-999999</v>
      </c>
      <c r="AD21" s="190">
        <v>18469</v>
      </c>
      <c r="AE21" s="190">
        <v>39</v>
      </c>
      <c r="AF21" s="190">
        <v>5767</v>
      </c>
      <c r="AG21" s="190">
        <v>0</v>
      </c>
      <c r="AH21" s="190">
        <v>5</v>
      </c>
      <c r="AI21" s="190">
        <v>12702</v>
      </c>
      <c r="AJ21" s="190">
        <v>18469</v>
      </c>
      <c r="AK21" s="190">
        <v>20</v>
      </c>
      <c r="AL21" s="190">
        <v>20</v>
      </c>
      <c r="AM21" s="190">
        <v>1</v>
      </c>
      <c r="AN21" s="190">
        <v>20</v>
      </c>
      <c r="AO21" s="190">
        <v>4</v>
      </c>
      <c r="AP21" s="190" t="s">
        <v>307</v>
      </c>
      <c r="AQ21" s="190">
        <v>4000</v>
      </c>
      <c r="AR21" s="190">
        <v>0</v>
      </c>
      <c r="AS21" s="190"/>
      <c r="AT21" s="190">
        <v>4000</v>
      </c>
      <c r="AU21" s="190">
        <v>-6</v>
      </c>
      <c r="AV21" s="190">
        <v>351369</v>
      </c>
      <c r="AW21" s="190">
        <v>0</v>
      </c>
      <c r="AX21" s="190">
        <v>351369</v>
      </c>
      <c r="AY21" s="190">
        <v>6</v>
      </c>
      <c r="AZ21" s="190">
        <v>347475</v>
      </c>
      <c r="BA21" s="190">
        <v>4003</v>
      </c>
      <c r="BB21" s="190">
        <v>100</v>
      </c>
      <c r="BC21" s="190"/>
      <c r="BD21" s="190">
        <v>0</v>
      </c>
      <c r="BE21" s="190">
        <v>0</v>
      </c>
      <c r="BF21" s="190">
        <v>347374</v>
      </c>
      <c r="BG21" s="190">
        <v>351369</v>
      </c>
      <c r="BH21" s="190">
        <v>347469</v>
      </c>
      <c r="BI21" s="190">
        <v>7000</v>
      </c>
      <c r="BJ21" s="190">
        <v>0</v>
      </c>
      <c r="BK21" s="190"/>
      <c r="BL21" s="190" t="s">
        <v>306</v>
      </c>
      <c r="BM21" s="190">
        <v>7000</v>
      </c>
      <c r="BN21" s="190">
        <v>-999999</v>
      </c>
      <c r="BO21" s="190">
        <v>352622</v>
      </c>
      <c r="BP21" s="190">
        <v>352622</v>
      </c>
      <c r="BQ21" s="190">
        <v>40</v>
      </c>
      <c r="BR21" s="190">
        <v>352278</v>
      </c>
      <c r="BS21" s="190">
        <v>0</v>
      </c>
      <c r="BT21" s="190">
        <v>100</v>
      </c>
      <c r="BU21" s="190">
        <v>1</v>
      </c>
      <c r="BV21" s="190">
        <v>344</v>
      </c>
      <c r="BW21" s="190">
        <v>352622</v>
      </c>
      <c r="BX21" s="190">
        <v>352242</v>
      </c>
      <c r="BY21" s="190">
        <v>359138</v>
      </c>
      <c r="BZ21" s="190">
        <v>352238</v>
      </c>
      <c r="CA21" s="190">
        <v>4000</v>
      </c>
      <c r="CB21" s="190">
        <v>0</v>
      </c>
      <c r="CC21" s="190"/>
      <c r="CD21" s="190">
        <v>4000</v>
      </c>
      <c r="CE21" s="190">
        <v>-14</v>
      </c>
      <c r="CF21" s="190">
        <v>362369</v>
      </c>
      <c r="CG21" s="190">
        <v>0</v>
      </c>
      <c r="CH21" s="190">
        <v>362369</v>
      </c>
      <c r="CI21" s="190">
        <v>14</v>
      </c>
      <c r="CJ21" s="190">
        <v>358483</v>
      </c>
      <c r="CK21" s="190">
        <v>0</v>
      </c>
      <c r="CL21" s="190">
        <v>100</v>
      </c>
      <c r="CM21" s="190"/>
      <c r="CN21" s="190">
        <v>0</v>
      </c>
      <c r="CO21" s="190">
        <v>0</v>
      </c>
      <c r="CP21" s="190">
        <v>358369</v>
      </c>
      <c r="CQ21" s="190">
        <v>362369</v>
      </c>
      <c r="CR21" s="190">
        <v>358469</v>
      </c>
      <c r="CS21" s="190">
        <v>15</v>
      </c>
      <c r="CT21" s="190">
        <v>4</v>
      </c>
      <c r="CU21" s="190">
        <v>0</v>
      </c>
      <c r="CV21" s="190">
        <v>9</v>
      </c>
      <c r="CW21" s="190">
        <v>10</v>
      </c>
      <c r="CX21" s="190">
        <v>1</v>
      </c>
      <c r="CY21" s="190">
        <v>2</v>
      </c>
      <c r="CZ21" s="190">
        <v>3</v>
      </c>
      <c r="DA21" s="190">
        <v>4</v>
      </c>
      <c r="DB21" s="190">
        <v>5</v>
      </c>
      <c r="DC21" s="190">
        <v>6</v>
      </c>
      <c r="DD21" s="190">
        <v>7</v>
      </c>
      <c r="DE21" s="190">
        <v>8</v>
      </c>
      <c r="DF21" s="190" t="s">
        <v>416</v>
      </c>
      <c r="DG21" s="190" t="s">
        <v>308</v>
      </c>
      <c r="DH21" s="190" t="s">
        <v>18</v>
      </c>
      <c r="DI21" s="190">
        <v>0</v>
      </c>
      <c r="DJ21" s="190">
        <v>0</v>
      </c>
      <c r="DK21" s="190">
        <v>351478</v>
      </c>
      <c r="DL21" s="190">
        <v>9</v>
      </c>
      <c r="DM21" s="190">
        <v>351478</v>
      </c>
      <c r="DN21" s="190">
        <v>50</v>
      </c>
      <c r="DO21" s="190">
        <v>7000</v>
      </c>
      <c r="DP21" s="190">
        <v>0</v>
      </c>
      <c r="DQ21" s="190"/>
      <c r="DR21" s="190">
        <v>7000</v>
      </c>
      <c r="DS21" s="190">
        <v>-1193</v>
      </c>
      <c r="DT21" s="190">
        <v>358369</v>
      </c>
      <c r="DU21" s="190">
        <v>0</v>
      </c>
      <c r="DV21" s="190">
        <v>358369</v>
      </c>
      <c r="DW21" s="190">
        <v>1193</v>
      </c>
      <c r="DX21" s="190">
        <v>352662</v>
      </c>
      <c r="DY21" s="190">
        <v>5821</v>
      </c>
      <c r="DZ21" s="190">
        <v>100</v>
      </c>
      <c r="EA21" s="190"/>
      <c r="EB21" s="190">
        <v>0</v>
      </c>
      <c r="EC21" s="190">
        <v>0</v>
      </c>
      <c r="ED21" s="190">
        <v>352624</v>
      </c>
      <c r="EE21" s="190">
        <v>358369</v>
      </c>
      <c r="EF21" s="190">
        <v>351469</v>
      </c>
      <c r="EG21" s="190">
        <v>20</v>
      </c>
    </row>
    <row r="22" spans="1:137" x14ac:dyDescent="0.2">
      <c r="A22" s="190" t="s">
        <v>309</v>
      </c>
      <c r="B22" s="263" t="s">
        <v>426</v>
      </c>
      <c r="C22" s="190">
        <v>1</v>
      </c>
      <c r="D22" s="190" t="s">
        <v>418</v>
      </c>
      <c r="E22" s="190" t="s">
        <v>419</v>
      </c>
      <c r="F22" s="190">
        <v>59.963000000000001</v>
      </c>
      <c r="G22" s="190" t="s">
        <v>310</v>
      </c>
      <c r="H22" s="190">
        <v>1</v>
      </c>
      <c r="I22" s="190">
        <v>6000</v>
      </c>
      <c r="J22" s="190">
        <v>-41</v>
      </c>
      <c r="K22" s="190">
        <v>0</v>
      </c>
      <c r="L22" s="190">
        <v>24369</v>
      </c>
      <c r="M22" s="190">
        <v>41</v>
      </c>
      <c r="N22" s="190">
        <v>18510</v>
      </c>
      <c r="O22" s="190">
        <v>5971</v>
      </c>
      <c r="P22" s="190"/>
      <c r="Q22" s="190">
        <v>0</v>
      </c>
      <c r="R22" s="190">
        <v>0</v>
      </c>
      <c r="S22" s="190">
        <v>696637077</v>
      </c>
      <c r="T22" s="190" t="s">
        <v>303</v>
      </c>
      <c r="U22" s="190" t="s">
        <v>304</v>
      </c>
      <c r="V22" s="190" t="s">
        <v>304</v>
      </c>
      <c r="W22" s="190" t="s">
        <v>398</v>
      </c>
      <c r="X22" s="190" t="s">
        <v>420</v>
      </c>
      <c r="Y22" s="260">
        <v>0.39193287037037039</v>
      </c>
      <c r="Z22" s="190" t="s">
        <v>305</v>
      </c>
      <c r="AA22" s="190" t="s">
        <v>306</v>
      </c>
      <c r="AB22" s="190">
        <v>-1</v>
      </c>
      <c r="AC22" s="190">
        <v>-999999</v>
      </c>
      <c r="AD22" s="190">
        <v>18469</v>
      </c>
      <c r="AE22" s="190">
        <v>39</v>
      </c>
      <c r="AF22" s="190">
        <v>5767</v>
      </c>
      <c r="AG22" s="190">
        <v>0</v>
      </c>
      <c r="AH22" s="190">
        <v>5</v>
      </c>
      <c r="AI22" s="190">
        <v>12702</v>
      </c>
      <c r="AJ22" s="190">
        <v>18469</v>
      </c>
      <c r="AK22" s="190">
        <v>21</v>
      </c>
      <c r="AL22" s="190">
        <v>21</v>
      </c>
      <c r="AM22" s="190">
        <v>1</v>
      </c>
      <c r="AN22" s="190">
        <v>21</v>
      </c>
      <c r="AO22" s="190">
        <v>0</v>
      </c>
      <c r="AP22" s="190" t="s">
        <v>307</v>
      </c>
      <c r="AQ22" s="190">
        <v>4000</v>
      </c>
      <c r="AR22" s="190">
        <v>0</v>
      </c>
      <c r="AS22" s="190"/>
      <c r="AT22" s="190">
        <v>4000</v>
      </c>
      <c r="AU22" s="190">
        <v>0</v>
      </c>
      <c r="AV22" s="190">
        <v>366369</v>
      </c>
      <c r="AW22" s="190">
        <v>0</v>
      </c>
      <c r="AX22" s="190">
        <v>366369</v>
      </c>
      <c r="AY22" s="190">
        <v>0</v>
      </c>
      <c r="AZ22" s="190">
        <v>362469</v>
      </c>
      <c r="BA22" s="190">
        <v>4003</v>
      </c>
      <c r="BB22" s="190">
        <v>100</v>
      </c>
      <c r="BC22" s="190"/>
      <c r="BD22" s="190">
        <v>0</v>
      </c>
      <c r="BE22" s="190">
        <v>0</v>
      </c>
      <c r="BF22" s="190">
        <v>362374</v>
      </c>
      <c r="BG22" s="190">
        <v>366369</v>
      </c>
      <c r="BH22" s="190">
        <v>362469</v>
      </c>
      <c r="BI22" s="190">
        <v>7000</v>
      </c>
      <c r="BJ22" s="190">
        <v>0</v>
      </c>
      <c r="BK22" s="190"/>
      <c r="BL22" s="190" t="s">
        <v>306</v>
      </c>
      <c r="BM22" s="190">
        <v>7000</v>
      </c>
      <c r="BN22" s="190">
        <v>-999999</v>
      </c>
      <c r="BO22" s="190">
        <v>368581</v>
      </c>
      <c r="BP22" s="190">
        <v>368581</v>
      </c>
      <c r="BQ22" s="190">
        <v>37</v>
      </c>
      <c r="BR22" s="190">
        <v>368274</v>
      </c>
      <c r="BS22" s="190">
        <v>0</v>
      </c>
      <c r="BT22" s="190">
        <v>100</v>
      </c>
      <c r="BU22" s="190">
        <v>1</v>
      </c>
      <c r="BV22" s="190">
        <v>307</v>
      </c>
      <c r="BW22" s="190">
        <v>368581</v>
      </c>
      <c r="BX22" s="190">
        <v>368240</v>
      </c>
      <c r="BY22" s="190">
        <v>375137</v>
      </c>
      <c r="BZ22" s="190">
        <v>368237</v>
      </c>
      <c r="CA22" s="190">
        <v>2000</v>
      </c>
      <c r="CB22" s="190">
        <v>0</v>
      </c>
      <c r="CC22" s="190"/>
      <c r="CD22" s="190">
        <v>2000</v>
      </c>
      <c r="CE22" s="190">
        <v>-9</v>
      </c>
      <c r="CF22" s="190">
        <v>375369</v>
      </c>
      <c r="CG22" s="190">
        <v>0</v>
      </c>
      <c r="CH22" s="190">
        <v>375369</v>
      </c>
      <c r="CI22" s="190">
        <v>9</v>
      </c>
      <c r="CJ22" s="190">
        <v>373478</v>
      </c>
      <c r="CK22" s="190">
        <v>0</v>
      </c>
      <c r="CL22" s="190">
        <v>100</v>
      </c>
      <c r="CM22" s="190"/>
      <c r="CN22" s="190">
        <v>0</v>
      </c>
      <c r="CO22" s="190">
        <v>0</v>
      </c>
      <c r="CP22" s="190">
        <v>373369</v>
      </c>
      <c r="CQ22" s="190">
        <v>375369</v>
      </c>
      <c r="CR22" s="190">
        <v>373469</v>
      </c>
      <c r="CS22" s="190">
        <v>15</v>
      </c>
      <c r="CT22" s="190">
        <v>4</v>
      </c>
      <c r="CU22" s="190">
        <v>0</v>
      </c>
      <c r="CV22" s="190">
        <v>9</v>
      </c>
      <c r="CW22" s="190">
        <v>10</v>
      </c>
      <c r="CX22" s="190">
        <v>1</v>
      </c>
      <c r="CY22" s="190">
        <v>2</v>
      </c>
      <c r="CZ22" s="190">
        <v>3</v>
      </c>
      <c r="DA22" s="190">
        <v>4</v>
      </c>
      <c r="DB22" s="190">
        <v>5</v>
      </c>
      <c r="DC22" s="190">
        <v>6</v>
      </c>
      <c r="DD22" s="190">
        <v>7</v>
      </c>
      <c r="DE22" s="190">
        <v>8</v>
      </c>
      <c r="DF22" s="190" t="s">
        <v>409</v>
      </c>
      <c r="DG22" s="190" t="s">
        <v>308</v>
      </c>
      <c r="DH22" s="190" t="s">
        <v>18</v>
      </c>
      <c r="DI22" s="190">
        <v>0</v>
      </c>
      <c r="DJ22" s="190">
        <v>0</v>
      </c>
      <c r="DK22" s="190">
        <v>366472</v>
      </c>
      <c r="DL22" s="190">
        <v>3</v>
      </c>
      <c r="DM22" s="190">
        <v>366472</v>
      </c>
      <c r="DN22" s="190">
        <v>51</v>
      </c>
      <c r="DO22" s="190">
        <v>7000</v>
      </c>
      <c r="DP22" s="190">
        <v>0</v>
      </c>
      <c r="DQ22" s="190"/>
      <c r="DR22" s="190">
        <v>7000</v>
      </c>
      <c r="DS22" s="190">
        <v>-2155</v>
      </c>
      <c r="DT22" s="190">
        <v>373369</v>
      </c>
      <c r="DU22" s="190">
        <v>0</v>
      </c>
      <c r="DV22" s="190">
        <v>373369</v>
      </c>
      <c r="DW22" s="190">
        <v>2155</v>
      </c>
      <c r="DX22" s="190">
        <v>368624</v>
      </c>
      <c r="DY22" s="190">
        <v>4854</v>
      </c>
      <c r="DZ22" s="190">
        <v>100</v>
      </c>
      <c r="EA22" s="190"/>
      <c r="EB22" s="190">
        <v>0</v>
      </c>
      <c r="EC22" s="190">
        <v>0</v>
      </c>
      <c r="ED22" s="190">
        <v>368583</v>
      </c>
      <c r="EE22" s="190">
        <v>373369</v>
      </c>
      <c r="EF22" s="190">
        <v>366469</v>
      </c>
      <c r="EG22" s="190">
        <v>21</v>
      </c>
    </row>
    <row r="23" spans="1:137" x14ac:dyDescent="0.2">
      <c r="A23" s="190" t="s">
        <v>309</v>
      </c>
      <c r="B23" s="263" t="s">
        <v>426</v>
      </c>
      <c r="C23" s="190">
        <v>1</v>
      </c>
      <c r="D23" s="190" t="s">
        <v>418</v>
      </c>
      <c r="E23" s="190" t="s">
        <v>419</v>
      </c>
      <c r="F23" s="190">
        <v>59.963000000000001</v>
      </c>
      <c r="G23" s="190" t="s">
        <v>310</v>
      </c>
      <c r="H23" s="190">
        <v>1</v>
      </c>
      <c r="I23" s="190">
        <v>6000</v>
      </c>
      <c r="J23" s="190">
        <v>-41</v>
      </c>
      <c r="K23" s="190">
        <v>0</v>
      </c>
      <c r="L23" s="190">
        <v>24369</v>
      </c>
      <c r="M23" s="190">
        <v>41</v>
      </c>
      <c r="N23" s="190">
        <v>18510</v>
      </c>
      <c r="O23" s="190">
        <v>5971</v>
      </c>
      <c r="P23" s="190"/>
      <c r="Q23" s="190">
        <v>0</v>
      </c>
      <c r="R23" s="190">
        <v>0</v>
      </c>
      <c r="S23" s="190">
        <v>696637077</v>
      </c>
      <c r="T23" s="190" t="s">
        <v>303</v>
      </c>
      <c r="U23" s="190" t="s">
        <v>304</v>
      </c>
      <c r="V23" s="190" t="s">
        <v>304</v>
      </c>
      <c r="W23" s="190" t="s">
        <v>398</v>
      </c>
      <c r="X23" s="190" t="s">
        <v>420</v>
      </c>
      <c r="Y23" s="260">
        <v>0.39193287037037039</v>
      </c>
      <c r="Z23" s="190" t="s">
        <v>305</v>
      </c>
      <c r="AA23" s="190" t="s">
        <v>306</v>
      </c>
      <c r="AB23" s="190">
        <v>-1</v>
      </c>
      <c r="AC23" s="190">
        <v>-999999</v>
      </c>
      <c r="AD23" s="190">
        <v>18469</v>
      </c>
      <c r="AE23" s="190">
        <v>39</v>
      </c>
      <c r="AF23" s="190">
        <v>5767</v>
      </c>
      <c r="AG23" s="190">
        <v>0</v>
      </c>
      <c r="AH23" s="190">
        <v>5</v>
      </c>
      <c r="AI23" s="190">
        <v>12702</v>
      </c>
      <c r="AJ23" s="190">
        <v>18469</v>
      </c>
      <c r="AK23" s="190">
        <v>22</v>
      </c>
      <c r="AL23" s="190">
        <v>22</v>
      </c>
      <c r="AM23" s="190">
        <v>1</v>
      </c>
      <c r="AN23" s="190">
        <v>22</v>
      </c>
      <c r="AO23" s="190">
        <v>4</v>
      </c>
      <c r="AP23" s="190" t="s">
        <v>307</v>
      </c>
      <c r="AQ23" s="190">
        <v>4000</v>
      </c>
      <c r="AR23" s="190">
        <v>0</v>
      </c>
      <c r="AS23" s="190"/>
      <c r="AT23" s="190">
        <v>4000</v>
      </c>
      <c r="AU23" s="190">
        <v>-10</v>
      </c>
      <c r="AV23" s="190">
        <v>379369</v>
      </c>
      <c r="AW23" s="190">
        <v>0</v>
      </c>
      <c r="AX23" s="190">
        <v>379369</v>
      </c>
      <c r="AY23" s="190">
        <v>10</v>
      </c>
      <c r="AZ23" s="190">
        <v>375479</v>
      </c>
      <c r="BA23" s="190">
        <v>4003</v>
      </c>
      <c r="BB23" s="190">
        <v>100</v>
      </c>
      <c r="BC23" s="190"/>
      <c r="BD23" s="190">
        <v>0</v>
      </c>
      <c r="BE23" s="190">
        <v>0</v>
      </c>
      <c r="BF23" s="190">
        <v>375374</v>
      </c>
      <c r="BG23" s="190">
        <v>379369</v>
      </c>
      <c r="BH23" s="190">
        <v>375469</v>
      </c>
      <c r="BI23" s="190">
        <v>7000</v>
      </c>
      <c r="BJ23" s="190">
        <v>0</v>
      </c>
      <c r="BK23" s="190"/>
      <c r="BL23" s="190" t="s">
        <v>306</v>
      </c>
      <c r="BM23" s="190">
        <v>7000</v>
      </c>
      <c r="BN23" s="190">
        <v>-999999</v>
      </c>
      <c r="BO23" s="190">
        <v>381332</v>
      </c>
      <c r="BP23" s="190">
        <v>381332</v>
      </c>
      <c r="BQ23" s="190">
        <v>39</v>
      </c>
      <c r="BR23" s="190">
        <v>380867</v>
      </c>
      <c r="BS23" s="190">
        <v>0</v>
      </c>
      <c r="BT23" s="190">
        <v>100</v>
      </c>
      <c r="BU23" s="190">
        <v>1</v>
      </c>
      <c r="BV23" s="190">
        <v>465</v>
      </c>
      <c r="BW23" s="190">
        <v>381332</v>
      </c>
      <c r="BX23" s="190">
        <v>380831</v>
      </c>
      <c r="BY23" s="190">
        <v>387728</v>
      </c>
      <c r="BZ23" s="190">
        <v>380828</v>
      </c>
      <c r="CA23" s="190">
        <v>10000</v>
      </c>
      <c r="CB23" s="190">
        <v>0</v>
      </c>
      <c r="CC23" s="190"/>
      <c r="CD23" s="190">
        <v>10000</v>
      </c>
      <c r="CE23" s="190">
        <v>-2</v>
      </c>
      <c r="CF23" s="190">
        <v>396369</v>
      </c>
      <c r="CG23" s="190">
        <v>0</v>
      </c>
      <c r="CH23" s="190">
        <v>396369</v>
      </c>
      <c r="CI23" s="190">
        <v>2</v>
      </c>
      <c r="CJ23" s="190">
        <v>386471</v>
      </c>
      <c r="CK23" s="190">
        <v>0</v>
      </c>
      <c r="CL23" s="190">
        <v>100</v>
      </c>
      <c r="CM23" s="190"/>
      <c r="CN23" s="190">
        <v>0</v>
      </c>
      <c r="CO23" s="190">
        <v>0</v>
      </c>
      <c r="CP23" s="190">
        <v>386369</v>
      </c>
      <c r="CQ23" s="190">
        <v>396369</v>
      </c>
      <c r="CR23" s="190">
        <v>386469</v>
      </c>
      <c r="CS23" s="190">
        <v>15</v>
      </c>
      <c r="CT23" s="190">
        <v>4</v>
      </c>
      <c r="CU23" s="190">
        <v>0</v>
      </c>
      <c r="CV23" s="190">
        <v>9</v>
      </c>
      <c r="CW23" s="190">
        <v>10</v>
      </c>
      <c r="CX23" s="190">
        <v>1</v>
      </c>
      <c r="CY23" s="190">
        <v>2</v>
      </c>
      <c r="CZ23" s="190">
        <v>3</v>
      </c>
      <c r="DA23" s="190">
        <v>4</v>
      </c>
      <c r="DB23" s="190">
        <v>5</v>
      </c>
      <c r="DC23" s="190">
        <v>6</v>
      </c>
      <c r="DD23" s="190">
        <v>7</v>
      </c>
      <c r="DE23" s="190">
        <v>8</v>
      </c>
      <c r="DF23" s="190" t="s">
        <v>411</v>
      </c>
      <c r="DG23" s="190" t="s">
        <v>308</v>
      </c>
      <c r="DH23" s="190" t="s">
        <v>18</v>
      </c>
      <c r="DI23" s="190">
        <v>0</v>
      </c>
      <c r="DJ23" s="190">
        <v>0</v>
      </c>
      <c r="DK23" s="190">
        <v>379482</v>
      </c>
      <c r="DL23" s="190">
        <v>13</v>
      </c>
      <c r="DM23" s="190">
        <v>379482</v>
      </c>
      <c r="DN23" s="190">
        <v>50</v>
      </c>
      <c r="DO23" s="190">
        <v>7000</v>
      </c>
      <c r="DP23" s="190">
        <v>0</v>
      </c>
      <c r="DQ23" s="190"/>
      <c r="DR23" s="190">
        <v>7000</v>
      </c>
      <c r="DS23" s="190">
        <v>-1915</v>
      </c>
      <c r="DT23" s="190">
        <v>386369</v>
      </c>
      <c r="DU23" s="190">
        <v>0</v>
      </c>
      <c r="DV23" s="190">
        <v>386369</v>
      </c>
      <c r="DW23" s="190">
        <v>1915</v>
      </c>
      <c r="DX23" s="190">
        <v>381384</v>
      </c>
      <c r="DY23" s="190">
        <v>5087</v>
      </c>
      <c r="DZ23" s="190">
        <v>100</v>
      </c>
      <c r="EA23" s="190"/>
      <c r="EB23" s="190">
        <v>0</v>
      </c>
      <c r="EC23" s="190">
        <v>0</v>
      </c>
      <c r="ED23" s="190">
        <v>381335</v>
      </c>
      <c r="EE23" s="190">
        <v>386369</v>
      </c>
      <c r="EF23" s="190">
        <v>379469</v>
      </c>
      <c r="EG23" s="190">
        <v>22</v>
      </c>
    </row>
    <row r="24" spans="1:137" x14ac:dyDescent="0.2">
      <c r="A24" s="190" t="s">
        <v>309</v>
      </c>
      <c r="B24" s="263" t="s">
        <v>426</v>
      </c>
      <c r="C24" s="190">
        <v>1</v>
      </c>
      <c r="D24" s="190" t="s">
        <v>418</v>
      </c>
      <c r="E24" s="190" t="s">
        <v>419</v>
      </c>
      <c r="F24" s="190">
        <v>59.963000000000001</v>
      </c>
      <c r="G24" s="190" t="s">
        <v>310</v>
      </c>
      <c r="H24" s="190">
        <v>1</v>
      </c>
      <c r="I24" s="190">
        <v>6000</v>
      </c>
      <c r="J24" s="190">
        <v>-41</v>
      </c>
      <c r="K24" s="190">
        <v>0</v>
      </c>
      <c r="L24" s="190">
        <v>24369</v>
      </c>
      <c r="M24" s="190">
        <v>41</v>
      </c>
      <c r="N24" s="190">
        <v>18510</v>
      </c>
      <c r="O24" s="190">
        <v>5971</v>
      </c>
      <c r="P24" s="190"/>
      <c r="Q24" s="190">
        <v>0</v>
      </c>
      <c r="R24" s="190">
        <v>0</v>
      </c>
      <c r="S24" s="190">
        <v>696637077</v>
      </c>
      <c r="T24" s="190" t="s">
        <v>303</v>
      </c>
      <c r="U24" s="190" t="s">
        <v>304</v>
      </c>
      <c r="V24" s="190" t="s">
        <v>304</v>
      </c>
      <c r="W24" s="190" t="s">
        <v>398</v>
      </c>
      <c r="X24" s="190" t="s">
        <v>420</v>
      </c>
      <c r="Y24" s="260">
        <v>0.39193287037037039</v>
      </c>
      <c r="Z24" s="190" t="s">
        <v>305</v>
      </c>
      <c r="AA24" s="190" t="s">
        <v>306</v>
      </c>
      <c r="AB24" s="190">
        <v>-1</v>
      </c>
      <c r="AC24" s="190">
        <v>-999999</v>
      </c>
      <c r="AD24" s="190">
        <v>18469</v>
      </c>
      <c r="AE24" s="190">
        <v>39</v>
      </c>
      <c r="AF24" s="190">
        <v>5767</v>
      </c>
      <c r="AG24" s="190">
        <v>0</v>
      </c>
      <c r="AH24" s="190">
        <v>5</v>
      </c>
      <c r="AI24" s="190">
        <v>12702</v>
      </c>
      <c r="AJ24" s="190">
        <v>18469</v>
      </c>
      <c r="AK24" s="190">
        <v>23</v>
      </c>
      <c r="AL24" s="190">
        <v>23</v>
      </c>
      <c r="AM24" s="190">
        <v>1</v>
      </c>
      <c r="AN24" s="190">
        <v>23</v>
      </c>
      <c r="AO24" s="190">
        <v>9</v>
      </c>
      <c r="AP24" s="190" t="s">
        <v>307</v>
      </c>
      <c r="AQ24" s="190">
        <v>4000</v>
      </c>
      <c r="AR24" s="190">
        <v>0</v>
      </c>
      <c r="AS24" s="190"/>
      <c r="AT24" s="190">
        <v>4000</v>
      </c>
      <c r="AU24" s="190">
        <v>-9</v>
      </c>
      <c r="AV24" s="190">
        <v>400369</v>
      </c>
      <c r="AW24" s="190">
        <v>0</v>
      </c>
      <c r="AX24" s="190">
        <v>400369</v>
      </c>
      <c r="AY24" s="190">
        <v>9</v>
      </c>
      <c r="AZ24" s="190">
        <v>396478</v>
      </c>
      <c r="BA24" s="190">
        <v>4003</v>
      </c>
      <c r="BB24" s="190">
        <v>100</v>
      </c>
      <c r="BC24" s="190"/>
      <c r="BD24" s="190">
        <v>0</v>
      </c>
      <c r="BE24" s="190">
        <v>0</v>
      </c>
      <c r="BF24" s="190">
        <v>396374</v>
      </c>
      <c r="BG24" s="190">
        <v>400369</v>
      </c>
      <c r="BH24" s="190">
        <v>396469</v>
      </c>
      <c r="BI24" s="190">
        <v>7000</v>
      </c>
      <c r="BJ24" s="190">
        <v>0</v>
      </c>
      <c r="BK24" s="190"/>
      <c r="BL24" s="190" t="s">
        <v>306</v>
      </c>
      <c r="BM24" s="190">
        <v>7000</v>
      </c>
      <c r="BN24" s="190">
        <v>-999999</v>
      </c>
      <c r="BO24" s="190">
        <v>402474</v>
      </c>
      <c r="BP24" s="190">
        <v>402474</v>
      </c>
      <c r="BQ24" s="190">
        <v>43</v>
      </c>
      <c r="BR24" s="190">
        <v>401949</v>
      </c>
      <c r="BS24" s="190">
        <v>0</v>
      </c>
      <c r="BT24" s="190">
        <v>100</v>
      </c>
      <c r="BU24" s="190">
        <v>1</v>
      </c>
      <c r="BV24" s="190">
        <v>525</v>
      </c>
      <c r="BW24" s="190">
        <v>402474</v>
      </c>
      <c r="BX24" s="190">
        <v>401910</v>
      </c>
      <c r="BY24" s="190">
        <v>408806</v>
      </c>
      <c r="BZ24" s="190">
        <v>401906</v>
      </c>
      <c r="CA24" s="190">
        <v>4000</v>
      </c>
      <c r="CB24" s="190">
        <v>0</v>
      </c>
      <c r="CC24" s="190"/>
      <c r="CD24" s="190">
        <v>4000</v>
      </c>
      <c r="CE24" s="190">
        <v>-1</v>
      </c>
      <c r="CF24" s="190">
        <v>411369</v>
      </c>
      <c r="CG24" s="190">
        <v>0</v>
      </c>
      <c r="CH24" s="190">
        <v>411369</v>
      </c>
      <c r="CI24" s="190">
        <v>1</v>
      </c>
      <c r="CJ24" s="190">
        <v>407470</v>
      </c>
      <c r="CK24" s="190">
        <v>0</v>
      </c>
      <c r="CL24" s="190">
        <v>100</v>
      </c>
      <c r="CM24" s="190"/>
      <c r="CN24" s="190">
        <v>0</v>
      </c>
      <c r="CO24" s="190">
        <v>0</v>
      </c>
      <c r="CP24" s="190">
        <v>407369</v>
      </c>
      <c r="CQ24" s="190">
        <v>411369</v>
      </c>
      <c r="CR24" s="190">
        <v>407469</v>
      </c>
      <c r="CS24" s="190">
        <v>15</v>
      </c>
      <c r="CT24" s="190">
        <v>4</v>
      </c>
      <c r="CU24" s="190">
        <v>0</v>
      </c>
      <c r="CV24" s="190">
        <v>9</v>
      </c>
      <c r="CW24" s="190">
        <v>10</v>
      </c>
      <c r="CX24" s="190">
        <v>1</v>
      </c>
      <c r="CY24" s="190">
        <v>2</v>
      </c>
      <c r="CZ24" s="190">
        <v>3</v>
      </c>
      <c r="DA24" s="190">
        <v>4</v>
      </c>
      <c r="DB24" s="190">
        <v>5</v>
      </c>
      <c r="DC24" s="190">
        <v>6</v>
      </c>
      <c r="DD24" s="190">
        <v>7</v>
      </c>
      <c r="DE24" s="190">
        <v>8</v>
      </c>
      <c r="DF24" s="190" t="s">
        <v>403</v>
      </c>
      <c r="DG24" s="190" t="s">
        <v>308</v>
      </c>
      <c r="DH24" s="190" t="s">
        <v>18</v>
      </c>
      <c r="DI24" s="190">
        <v>0</v>
      </c>
      <c r="DJ24" s="190">
        <v>0</v>
      </c>
      <c r="DK24" s="190">
        <v>400481</v>
      </c>
      <c r="DL24" s="190">
        <v>12</v>
      </c>
      <c r="DM24" s="190">
        <v>400481</v>
      </c>
      <c r="DN24" s="190">
        <v>50</v>
      </c>
      <c r="DO24" s="190">
        <v>7000</v>
      </c>
      <c r="DP24" s="190">
        <v>0</v>
      </c>
      <c r="DQ24" s="190"/>
      <c r="DR24" s="190">
        <v>7000</v>
      </c>
      <c r="DS24" s="190">
        <v>-2047</v>
      </c>
      <c r="DT24" s="190">
        <v>407369</v>
      </c>
      <c r="DU24" s="190">
        <v>0</v>
      </c>
      <c r="DV24" s="190">
        <v>407369</v>
      </c>
      <c r="DW24" s="190">
        <v>2047</v>
      </c>
      <c r="DX24" s="190">
        <v>402516</v>
      </c>
      <c r="DY24" s="190">
        <v>4954</v>
      </c>
      <c r="DZ24" s="190">
        <v>100</v>
      </c>
      <c r="EA24" s="190"/>
      <c r="EB24" s="190">
        <v>0</v>
      </c>
      <c r="EC24" s="190">
        <v>0</v>
      </c>
      <c r="ED24" s="190">
        <v>402477</v>
      </c>
      <c r="EE24" s="190">
        <v>407369</v>
      </c>
      <c r="EF24" s="190">
        <v>400469</v>
      </c>
      <c r="EG24" s="190">
        <v>23</v>
      </c>
    </row>
    <row r="25" spans="1:137" x14ac:dyDescent="0.2">
      <c r="A25" s="190" t="s">
        <v>309</v>
      </c>
      <c r="B25" s="263" t="s">
        <v>426</v>
      </c>
      <c r="C25" s="190">
        <v>1</v>
      </c>
      <c r="D25" s="190" t="s">
        <v>418</v>
      </c>
      <c r="E25" s="190" t="s">
        <v>419</v>
      </c>
      <c r="F25" s="190">
        <v>59.963000000000001</v>
      </c>
      <c r="G25" s="190" t="s">
        <v>310</v>
      </c>
      <c r="H25" s="190">
        <v>1</v>
      </c>
      <c r="I25" s="190">
        <v>6000</v>
      </c>
      <c r="J25" s="190">
        <v>-41</v>
      </c>
      <c r="K25" s="190">
        <v>0</v>
      </c>
      <c r="L25" s="190">
        <v>24369</v>
      </c>
      <c r="M25" s="190">
        <v>41</v>
      </c>
      <c r="N25" s="190">
        <v>18510</v>
      </c>
      <c r="O25" s="190">
        <v>5971</v>
      </c>
      <c r="P25" s="190"/>
      <c r="Q25" s="190">
        <v>0</v>
      </c>
      <c r="R25" s="190">
        <v>0</v>
      </c>
      <c r="S25" s="190">
        <v>696637077</v>
      </c>
      <c r="T25" s="190" t="s">
        <v>303</v>
      </c>
      <c r="U25" s="190" t="s">
        <v>304</v>
      </c>
      <c r="V25" s="190" t="s">
        <v>304</v>
      </c>
      <c r="W25" s="190" t="s">
        <v>398</v>
      </c>
      <c r="X25" s="190" t="s">
        <v>420</v>
      </c>
      <c r="Y25" s="260">
        <v>0.39193287037037039</v>
      </c>
      <c r="Z25" s="190" t="s">
        <v>305</v>
      </c>
      <c r="AA25" s="190" t="s">
        <v>306</v>
      </c>
      <c r="AB25" s="190">
        <v>-1</v>
      </c>
      <c r="AC25" s="190">
        <v>-999999</v>
      </c>
      <c r="AD25" s="190">
        <v>18469</v>
      </c>
      <c r="AE25" s="190">
        <v>39</v>
      </c>
      <c r="AF25" s="190">
        <v>5767</v>
      </c>
      <c r="AG25" s="190">
        <v>0</v>
      </c>
      <c r="AH25" s="190">
        <v>5</v>
      </c>
      <c r="AI25" s="190">
        <v>12702</v>
      </c>
      <c r="AJ25" s="190">
        <v>18469</v>
      </c>
      <c r="AK25" s="190">
        <v>24</v>
      </c>
      <c r="AL25" s="190">
        <v>24</v>
      </c>
      <c r="AM25" s="190">
        <v>1</v>
      </c>
      <c r="AN25" s="190">
        <v>24</v>
      </c>
      <c r="AO25" s="190">
        <v>4</v>
      </c>
      <c r="AP25" s="190" t="s">
        <v>307</v>
      </c>
      <c r="AQ25" s="190">
        <v>4000</v>
      </c>
      <c r="AR25" s="190">
        <v>0</v>
      </c>
      <c r="AS25" s="190"/>
      <c r="AT25" s="190">
        <v>4000</v>
      </c>
      <c r="AU25" s="190">
        <v>-4</v>
      </c>
      <c r="AV25" s="190">
        <v>415369</v>
      </c>
      <c r="AW25" s="190">
        <v>0</v>
      </c>
      <c r="AX25" s="190">
        <v>415369</v>
      </c>
      <c r="AY25" s="190">
        <v>4</v>
      </c>
      <c r="AZ25" s="190">
        <v>411473</v>
      </c>
      <c r="BA25" s="190">
        <v>4003</v>
      </c>
      <c r="BB25" s="190">
        <v>100</v>
      </c>
      <c r="BC25" s="190"/>
      <c r="BD25" s="190">
        <v>0</v>
      </c>
      <c r="BE25" s="190">
        <v>0</v>
      </c>
      <c r="BF25" s="190">
        <v>411374</v>
      </c>
      <c r="BG25" s="190">
        <v>415369</v>
      </c>
      <c r="BH25" s="190">
        <v>411469</v>
      </c>
      <c r="BI25" s="190">
        <v>7000</v>
      </c>
      <c r="BJ25" s="190">
        <v>0</v>
      </c>
      <c r="BK25" s="190"/>
      <c r="BL25" s="190" t="s">
        <v>306</v>
      </c>
      <c r="BM25" s="190">
        <v>7000</v>
      </c>
      <c r="BN25" s="190">
        <v>-999999</v>
      </c>
      <c r="BO25" s="190">
        <v>416833</v>
      </c>
      <c r="BP25" s="190">
        <v>416833</v>
      </c>
      <c r="BQ25" s="190">
        <v>50</v>
      </c>
      <c r="BR25" s="190">
        <v>416443</v>
      </c>
      <c r="BS25" s="190">
        <v>0</v>
      </c>
      <c r="BT25" s="190">
        <v>100</v>
      </c>
      <c r="BU25" s="190">
        <v>1</v>
      </c>
      <c r="BV25" s="190">
        <v>390</v>
      </c>
      <c r="BW25" s="190">
        <v>416833</v>
      </c>
      <c r="BX25" s="190">
        <v>416398</v>
      </c>
      <c r="BY25" s="190">
        <v>423293</v>
      </c>
      <c r="BZ25" s="190">
        <v>416393</v>
      </c>
      <c r="CA25" s="190">
        <v>2000</v>
      </c>
      <c r="CB25" s="190">
        <v>0</v>
      </c>
      <c r="CC25" s="190"/>
      <c r="CD25" s="190">
        <v>2000</v>
      </c>
      <c r="CE25" s="190">
        <v>-12</v>
      </c>
      <c r="CF25" s="190">
        <v>424369</v>
      </c>
      <c r="CG25" s="190">
        <v>0</v>
      </c>
      <c r="CH25" s="190">
        <v>424369</v>
      </c>
      <c r="CI25" s="190">
        <v>12</v>
      </c>
      <c r="CJ25" s="190">
        <v>422481</v>
      </c>
      <c r="CK25" s="190">
        <v>0</v>
      </c>
      <c r="CL25" s="190">
        <v>100</v>
      </c>
      <c r="CM25" s="190"/>
      <c r="CN25" s="190">
        <v>0</v>
      </c>
      <c r="CO25" s="190">
        <v>0</v>
      </c>
      <c r="CP25" s="190">
        <v>422369</v>
      </c>
      <c r="CQ25" s="190">
        <v>424369</v>
      </c>
      <c r="CR25" s="190">
        <v>422469</v>
      </c>
      <c r="CS25" s="190">
        <v>15</v>
      </c>
      <c r="CT25" s="190">
        <v>4</v>
      </c>
      <c r="CU25" s="190">
        <v>0</v>
      </c>
      <c r="CV25" s="190">
        <v>9</v>
      </c>
      <c r="CW25" s="190">
        <v>10</v>
      </c>
      <c r="CX25" s="190">
        <v>1</v>
      </c>
      <c r="CY25" s="190">
        <v>2</v>
      </c>
      <c r="CZ25" s="190">
        <v>3</v>
      </c>
      <c r="DA25" s="190">
        <v>4</v>
      </c>
      <c r="DB25" s="190">
        <v>5</v>
      </c>
      <c r="DC25" s="190">
        <v>6</v>
      </c>
      <c r="DD25" s="190">
        <v>7</v>
      </c>
      <c r="DE25" s="190">
        <v>8</v>
      </c>
      <c r="DF25" s="190" t="s">
        <v>416</v>
      </c>
      <c r="DG25" s="190" t="s">
        <v>308</v>
      </c>
      <c r="DH25" s="190" t="s">
        <v>18</v>
      </c>
      <c r="DI25" s="190">
        <v>0</v>
      </c>
      <c r="DJ25" s="190">
        <v>0</v>
      </c>
      <c r="DK25" s="190">
        <v>415476</v>
      </c>
      <c r="DL25" s="190">
        <v>7</v>
      </c>
      <c r="DM25" s="190">
        <v>415476</v>
      </c>
      <c r="DN25" s="190">
        <v>50</v>
      </c>
      <c r="DO25" s="190">
        <v>7000</v>
      </c>
      <c r="DP25" s="190">
        <v>0</v>
      </c>
      <c r="DQ25" s="190"/>
      <c r="DR25" s="190">
        <v>7000</v>
      </c>
      <c r="DS25" s="190">
        <v>-1408</v>
      </c>
      <c r="DT25" s="190">
        <v>422369</v>
      </c>
      <c r="DU25" s="190">
        <v>0</v>
      </c>
      <c r="DV25" s="190">
        <v>422369</v>
      </c>
      <c r="DW25" s="190">
        <v>1408</v>
      </c>
      <c r="DX25" s="190">
        <v>416877</v>
      </c>
      <c r="DY25" s="190">
        <v>5604</v>
      </c>
      <c r="DZ25" s="190">
        <v>100</v>
      </c>
      <c r="EA25" s="190"/>
      <c r="EB25" s="190">
        <v>0</v>
      </c>
      <c r="EC25" s="190">
        <v>0</v>
      </c>
      <c r="ED25" s="190">
        <v>416835</v>
      </c>
      <c r="EE25" s="190">
        <v>422369</v>
      </c>
      <c r="EF25" s="190">
        <v>415469</v>
      </c>
      <c r="EG25" s="190">
        <v>24</v>
      </c>
    </row>
    <row r="26" spans="1:137" x14ac:dyDescent="0.2">
      <c r="A26" s="190" t="s">
        <v>309</v>
      </c>
      <c r="B26" s="263" t="s">
        <v>426</v>
      </c>
      <c r="C26" s="190">
        <v>1</v>
      </c>
      <c r="D26" s="190" t="s">
        <v>418</v>
      </c>
      <c r="E26" s="190" t="s">
        <v>419</v>
      </c>
      <c r="F26" s="190">
        <v>59.963000000000001</v>
      </c>
      <c r="G26" s="190" t="s">
        <v>310</v>
      </c>
      <c r="H26" s="190">
        <v>1</v>
      </c>
      <c r="I26" s="190">
        <v>6000</v>
      </c>
      <c r="J26" s="190">
        <v>-41</v>
      </c>
      <c r="K26" s="190">
        <v>0</v>
      </c>
      <c r="L26" s="190">
        <v>24369</v>
      </c>
      <c r="M26" s="190">
        <v>41</v>
      </c>
      <c r="N26" s="190">
        <v>18510</v>
      </c>
      <c r="O26" s="190">
        <v>5971</v>
      </c>
      <c r="P26" s="190"/>
      <c r="Q26" s="190">
        <v>0</v>
      </c>
      <c r="R26" s="190">
        <v>0</v>
      </c>
      <c r="S26" s="190">
        <v>696637077</v>
      </c>
      <c r="T26" s="190" t="s">
        <v>303</v>
      </c>
      <c r="U26" s="190" t="s">
        <v>304</v>
      </c>
      <c r="V26" s="190" t="s">
        <v>304</v>
      </c>
      <c r="W26" s="190" t="s">
        <v>398</v>
      </c>
      <c r="X26" s="190" t="s">
        <v>420</v>
      </c>
      <c r="Y26" s="260">
        <v>0.39193287037037039</v>
      </c>
      <c r="Z26" s="190" t="s">
        <v>305</v>
      </c>
      <c r="AA26" s="190" t="s">
        <v>306</v>
      </c>
      <c r="AB26" s="190">
        <v>-1</v>
      </c>
      <c r="AC26" s="190">
        <v>-999999</v>
      </c>
      <c r="AD26" s="190">
        <v>18469</v>
      </c>
      <c r="AE26" s="190">
        <v>39</v>
      </c>
      <c r="AF26" s="190">
        <v>5767</v>
      </c>
      <c r="AG26" s="190">
        <v>0</v>
      </c>
      <c r="AH26" s="190">
        <v>5</v>
      </c>
      <c r="AI26" s="190">
        <v>12702</v>
      </c>
      <c r="AJ26" s="190">
        <v>18469</v>
      </c>
      <c r="AK26" s="190">
        <v>25</v>
      </c>
      <c r="AL26" s="190">
        <v>25</v>
      </c>
      <c r="AM26" s="190">
        <v>1</v>
      </c>
      <c r="AN26" s="190">
        <v>25</v>
      </c>
      <c r="AO26" s="190">
        <v>0</v>
      </c>
      <c r="AP26" s="190" t="s">
        <v>307</v>
      </c>
      <c r="AQ26" s="190">
        <v>4000</v>
      </c>
      <c r="AR26" s="190">
        <v>0</v>
      </c>
      <c r="AS26" s="190"/>
      <c r="AT26" s="190">
        <v>4000</v>
      </c>
      <c r="AU26" s="190">
        <v>-14</v>
      </c>
      <c r="AV26" s="190">
        <v>428369</v>
      </c>
      <c r="AW26" s="190">
        <v>0</v>
      </c>
      <c r="AX26" s="190">
        <v>428369</v>
      </c>
      <c r="AY26" s="190">
        <v>14</v>
      </c>
      <c r="AZ26" s="190">
        <v>424483</v>
      </c>
      <c r="BA26" s="190">
        <v>3986</v>
      </c>
      <c r="BB26" s="190">
        <v>100</v>
      </c>
      <c r="BC26" s="190"/>
      <c r="BD26" s="190">
        <v>0</v>
      </c>
      <c r="BE26" s="190">
        <v>0</v>
      </c>
      <c r="BF26" s="190">
        <v>424374</v>
      </c>
      <c r="BG26" s="190">
        <v>428369</v>
      </c>
      <c r="BH26" s="190">
        <v>424469</v>
      </c>
      <c r="BI26" s="190">
        <v>7000</v>
      </c>
      <c r="BJ26" s="190">
        <v>0</v>
      </c>
      <c r="BK26" s="190"/>
      <c r="BL26" s="190" t="s">
        <v>306</v>
      </c>
      <c r="BM26" s="190">
        <v>7000</v>
      </c>
      <c r="BN26" s="190">
        <v>-999999</v>
      </c>
      <c r="BO26" s="190">
        <v>430552</v>
      </c>
      <c r="BP26" s="190">
        <v>430552</v>
      </c>
      <c r="BQ26" s="190">
        <v>46</v>
      </c>
      <c r="BR26" s="190">
        <v>430254</v>
      </c>
      <c r="BS26" s="190">
        <v>0</v>
      </c>
      <c r="BT26" s="190">
        <v>100</v>
      </c>
      <c r="BU26" s="190">
        <v>1</v>
      </c>
      <c r="BV26" s="190">
        <v>298</v>
      </c>
      <c r="BW26" s="190">
        <v>430552</v>
      </c>
      <c r="BX26" s="190">
        <v>430213</v>
      </c>
      <c r="BY26" s="190">
        <v>437108</v>
      </c>
      <c r="BZ26" s="190">
        <v>430208</v>
      </c>
      <c r="CA26" s="190">
        <v>4000</v>
      </c>
      <c r="CB26" s="190">
        <v>0</v>
      </c>
      <c r="CC26" s="190"/>
      <c r="CD26" s="190">
        <v>4000</v>
      </c>
      <c r="CE26" s="190">
        <v>-5</v>
      </c>
      <c r="CF26" s="190">
        <v>439369</v>
      </c>
      <c r="CG26" s="190">
        <v>0</v>
      </c>
      <c r="CH26" s="190">
        <v>439369</v>
      </c>
      <c r="CI26" s="190">
        <v>5</v>
      </c>
      <c r="CJ26" s="190">
        <v>435474</v>
      </c>
      <c r="CK26" s="190">
        <v>0</v>
      </c>
      <c r="CL26" s="190">
        <v>100</v>
      </c>
      <c r="CM26" s="190"/>
      <c r="CN26" s="190">
        <v>0</v>
      </c>
      <c r="CO26" s="190">
        <v>0</v>
      </c>
      <c r="CP26" s="190">
        <v>435369</v>
      </c>
      <c r="CQ26" s="190">
        <v>439369</v>
      </c>
      <c r="CR26" s="190">
        <v>435469</v>
      </c>
      <c r="CS26" s="190">
        <v>15</v>
      </c>
      <c r="CT26" s="190">
        <v>4</v>
      </c>
      <c r="CU26" s="190">
        <v>0</v>
      </c>
      <c r="CV26" s="190">
        <v>9</v>
      </c>
      <c r="CW26" s="190">
        <v>10</v>
      </c>
      <c r="CX26" s="190">
        <v>1</v>
      </c>
      <c r="CY26" s="190">
        <v>2</v>
      </c>
      <c r="CZ26" s="190">
        <v>3</v>
      </c>
      <c r="DA26" s="190">
        <v>4</v>
      </c>
      <c r="DB26" s="190">
        <v>5</v>
      </c>
      <c r="DC26" s="190">
        <v>6</v>
      </c>
      <c r="DD26" s="190">
        <v>7</v>
      </c>
      <c r="DE26" s="190">
        <v>8</v>
      </c>
      <c r="DF26" s="190" t="s">
        <v>408</v>
      </c>
      <c r="DG26" s="190" t="s">
        <v>308</v>
      </c>
      <c r="DH26" s="190" t="s">
        <v>18</v>
      </c>
      <c r="DI26" s="190">
        <v>0</v>
      </c>
      <c r="DJ26" s="190">
        <v>0</v>
      </c>
      <c r="DK26" s="190">
        <v>428469</v>
      </c>
      <c r="DL26" s="190">
        <v>0</v>
      </c>
      <c r="DM26" s="190">
        <v>428469</v>
      </c>
      <c r="DN26" s="190">
        <v>50</v>
      </c>
      <c r="DO26" s="190">
        <v>7000</v>
      </c>
      <c r="DP26" s="190">
        <v>0</v>
      </c>
      <c r="DQ26" s="190"/>
      <c r="DR26" s="190">
        <v>7000</v>
      </c>
      <c r="DS26" s="190">
        <v>-2135</v>
      </c>
      <c r="DT26" s="190">
        <v>435369</v>
      </c>
      <c r="DU26" s="190">
        <v>0</v>
      </c>
      <c r="DV26" s="190">
        <v>435369</v>
      </c>
      <c r="DW26" s="190">
        <v>2135</v>
      </c>
      <c r="DX26" s="190">
        <v>430604</v>
      </c>
      <c r="DY26" s="190">
        <v>4870</v>
      </c>
      <c r="DZ26" s="190">
        <v>100</v>
      </c>
      <c r="EA26" s="190"/>
      <c r="EB26" s="190">
        <v>0</v>
      </c>
      <c r="EC26" s="190">
        <v>0</v>
      </c>
      <c r="ED26" s="190">
        <v>430555</v>
      </c>
      <c r="EE26" s="190">
        <v>435369</v>
      </c>
      <c r="EF26" s="190">
        <v>428469</v>
      </c>
      <c r="EG26" s="190">
        <v>25</v>
      </c>
    </row>
    <row r="27" spans="1:137" x14ac:dyDescent="0.2">
      <c r="A27" s="190" t="s">
        <v>309</v>
      </c>
      <c r="B27" s="263" t="s">
        <v>426</v>
      </c>
      <c r="C27" s="190">
        <v>1</v>
      </c>
      <c r="D27" s="190" t="s">
        <v>418</v>
      </c>
      <c r="E27" s="190" t="s">
        <v>419</v>
      </c>
      <c r="F27" s="190">
        <v>59.963000000000001</v>
      </c>
      <c r="G27" s="190" t="s">
        <v>310</v>
      </c>
      <c r="H27" s="190">
        <v>1</v>
      </c>
      <c r="I27" s="190">
        <v>6000</v>
      </c>
      <c r="J27" s="190">
        <v>-41</v>
      </c>
      <c r="K27" s="190">
        <v>0</v>
      </c>
      <c r="L27" s="190">
        <v>24369</v>
      </c>
      <c r="M27" s="190">
        <v>41</v>
      </c>
      <c r="N27" s="190">
        <v>18510</v>
      </c>
      <c r="O27" s="190">
        <v>5971</v>
      </c>
      <c r="P27" s="190"/>
      <c r="Q27" s="190">
        <v>0</v>
      </c>
      <c r="R27" s="190">
        <v>0</v>
      </c>
      <c r="S27" s="190">
        <v>696637077</v>
      </c>
      <c r="T27" s="190" t="s">
        <v>303</v>
      </c>
      <c r="U27" s="190" t="s">
        <v>304</v>
      </c>
      <c r="V27" s="190" t="s">
        <v>304</v>
      </c>
      <c r="W27" s="190" t="s">
        <v>398</v>
      </c>
      <c r="X27" s="190" t="s">
        <v>420</v>
      </c>
      <c r="Y27" s="260">
        <v>0.39193287037037039</v>
      </c>
      <c r="Z27" s="190" t="s">
        <v>305</v>
      </c>
      <c r="AA27" s="190" t="s">
        <v>306</v>
      </c>
      <c r="AB27" s="190">
        <v>-1</v>
      </c>
      <c r="AC27" s="190">
        <v>-999999</v>
      </c>
      <c r="AD27" s="190">
        <v>18469</v>
      </c>
      <c r="AE27" s="190">
        <v>39</v>
      </c>
      <c r="AF27" s="190">
        <v>5767</v>
      </c>
      <c r="AG27" s="190">
        <v>0</v>
      </c>
      <c r="AH27" s="190">
        <v>5</v>
      </c>
      <c r="AI27" s="190">
        <v>12702</v>
      </c>
      <c r="AJ27" s="190">
        <v>18469</v>
      </c>
      <c r="AK27" s="190">
        <v>26</v>
      </c>
      <c r="AL27" s="190">
        <v>26</v>
      </c>
      <c r="AM27" s="190">
        <v>1</v>
      </c>
      <c r="AN27" s="190">
        <v>26</v>
      </c>
      <c r="AO27" s="190">
        <v>8</v>
      </c>
      <c r="AP27" s="190" t="s">
        <v>307</v>
      </c>
      <c r="AQ27" s="190">
        <v>4000</v>
      </c>
      <c r="AR27" s="190">
        <v>0</v>
      </c>
      <c r="AS27" s="190"/>
      <c r="AT27" s="190">
        <v>4000</v>
      </c>
      <c r="AU27" s="190">
        <v>-8</v>
      </c>
      <c r="AV27" s="190">
        <v>443369</v>
      </c>
      <c r="AW27" s="190">
        <v>0</v>
      </c>
      <c r="AX27" s="190">
        <v>443369</v>
      </c>
      <c r="AY27" s="190">
        <v>8</v>
      </c>
      <c r="AZ27" s="190">
        <v>439477</v>
      </c>
      <c r="BA27" s="190">
        <v>4003</v>
      </c>
      <c r="BB27" s="190">
        <v>100</v>
      </c>
      <c r="BC27" s="190"/>
      <c r="BD27" s="190">
        <v>0</v>
      </c>
      <c r="BE27" s="190">
        <v>0</v>
      </c>
      <c r="BF27" s="190">
        <v>439374</v>
      </c>
      <c r="BG27" s="190">
        <v>443369</v>
      </c>
      <c r="BH27" s="190">
        <v>439469</v>
      </c>
      <c r="BI27" s="190">
        <v>7000</v>
      </c>
      <c r="BJ27" s="190">
        <v>0</v>
      </c>
      <c r="BK27" s="190"/>
      <c r="BL27" s="190" t="s">
        <v>306</v>
      </c>
      <c r="BM27" s="190">
        <v>7000</v>
      </c>
      <c r="BN27" s="190">
        <v>-999999</v>
      </c>
      <c r="BO27" s="190">
        <v>445447</v>
      </c>
      <c r="BP27" s="190">
        <v>445447</v>
      </c>
      <c r="BQ27" s="190">
        <v>49</v>
      </c>
      <c r="BR27" s="190">
        <v>445048</v>
      </c>
      <c r="BS27" s="190">
        <v>0</v>
      </c>
      <c r="BT27" s="190">
        <v>100</v>
      </c>
      <c r="BU27" s="190">
        <v>1</v>
      </c>
      <c r="BV27" s="190">
        <v>399</v>
      </c>
      <c r="BW27" s="190">
        <v>445447</v>
      </c>
      <c r="BX27" s="190">
        <v>445002</v>
      </c>
      <c r="BY27" s="190">
        <v>451899</v>
      </c>
      <c r="BZ27" s="190">
        <v>444999</v>
      </c>
      <c r="CA27" s="190">
        <v>6000</v>
      </c>
      <c r="CB27" s="190">
        <v>0</v>
      </c>
      <c r="CC27" s="190"/>
      <c r="CD27" s="190">
        <v>6000</v>
      </c>
      <c r="CE27" s="190">
        <v>0</v>
      </c>
      <c r="CF27" s="190">
        <v>456369</v>
      </c>
      <c r="CG27" s="190">
        <v>0</v>
      </c>
      <c r="CH27" s="190">
        <v>456369</v>
      </c>
      <c r="CI27" s="190">
        <v>0</v>
      </c>
      <c r="CJ27" s="190">
        <v>450469</v>
      </c>
      <c r="CK27" s="190">
        <v>0</v>
      </c>
      <c r="CL27" s="190">
        <v>100</v>
      </c>
      <c r="CM27" s="190"/>
      <c r="CN27" s="190">
        <v>0</v>
      </c>
      <c r="CO27" s="190">
        <v>0</v>
      </c>
      <c r="CP27" s="190">
        <v>450369</v>
      </c>
      <c r="CQ27" s="190">
        <v>456369</v>
      </c>
      <c r="CR27" s="190">
        <v>450469</v>
      </c>
      <c r="CS27" s="190">
        <v>15</v>
      </c>
      <c r="CT27" s="190">
        <v>4</v>
      </c>
      <c r="CU27" s="190">
        <v>0</v>
      </c>
      <c r="CV27" s="190">
        <v>9</v>
      </c>
      <c r="CW27" s="190">
        <v>10</v>
      </c>
      <c r="CX27" s="190">
        <v>1</v>
      </c>
      <c r="CY27" s="190">
        <v>2</v>
      </c>
      <c r="CZ27" s="190">
        <v>3</v>
      </c>
      <c r="DA27" s="190">
        <v>4</v>
      </c>
      <c r="DB27" s="190">
        <v>5</v>
      </c>
      <c r="DC27" s="190">
        <v>6</v>
      </c>
      <c r="DD27" s="190">
        <v>7</v>
      </c>
      <c r="DE27" s="190">
        <v>8</v>
      </c>
      <c r="DF27" s="190" t="s">
        <v>417</v>
      </c>
      <c r="DG27" s="190" t="s">
        <v>308</v>
      </c>
      <c r="DH27" s="190" t="s">
        <v>18</v>
      </c>
      <c r="DI27" s="190">
        <v>0</v>
      </c>
      <c r="DJ27" s="190">
        <v>1</v>
      </c>
      <c r="DK27" s="190">
        <v>443481</v>
      </c>
      <c r="DL27" s="190">
        <v>11</v>
      </c>
      <c r="DM27" s="190">
        <v>443480</v>
      </c>
      <c r="DN27" s="190">
        <v>50</v>
      </c>
      <c r="DO27" s="190">
        <v>7000</v>
      </c>
      <c r="DP27" s="190">
        <v>0</v>
      </c>
      <c r="DQ27" s="190"/>
      <c r="DR27" s="190">
        <v>7000</v>
      </c>
      <c r="DS27" s="190">
        <v>-2030</v>
      </c>
      <c r="DT27" s="190">
        <v>450369</v>
      </c>
      <c r="DU27" s="190">
        <v>0</v>
      </c>
      <c r="DV27" s="190">
        <v>450369</v>
      </c>
      <c r="DW27" s="190">
        <v>2030</v>
      </c>
      <c r="DX27" s="190">
        <v>445499</v>
      </c>
      <c r="DY27" s="190">
        <v>4970</v>
      </c>
      <c r="DZ27" s="190">
        <v>100</v>
      </c>
      <c r="EA27" s="190"/>
      <c r="EB27" s="190">
        <v>0</v>
      </c>
      <c r="EC27" s="190">
        <v>0</v>
      </c>
      <c r="ED27" s="190">
        <v>445449</v>
      </c>
      <c r="EE27" s="190">
        <v>450369</v>
      </c>
      <c r="EF27" s="190">
        <v>443469</v>
      </c>
      <c r="EG27" s="190">
        <v>26</v>
      </c>
    </row>
    <row r="28" spans="1:137" x14ac:dyDescent="0.2">
      <c r="A28" s="190" t="s">
        <v>309</v>
      </c>
      <c r="B28" s="263" t="s">
        <v>426</v>
      </c>
      <c r="C28" s="190">
        <v>1</v>
      </c>
      <c r="D28" s="190" t="s">
        <v>418</v>
      </c>
      <c r="E28" s="190" t="s">
        <v>419</v>
      </c>
      <c r="F28" s="190">
        <v>59.963000000000001</v>
      </c>
      <c r="G28" s="190" t="s">
        <v>310</v>
      </c>
      <c r="H28" s="190">
        <v>1</v>
      </c>
      <c r="I28" s="190">
        <v>6000</v>
      </c>
      <c r="J28" s="190">
        <v>-41</v>
      </c>
      <c r="K28" s="190">
        <v>0</v>
      </c>
      <c r="L28" s="190">
        <v>24369</v>
      </c>
      <c r="M28" s="190">
        <v>41</v>
      </c>
      <c r="N28" s="190">
        <v>18510</v>
      </c>
      <c r="O28" s="190">
        <v>5971</v>
      </c>
      <c r="P28" s="190"/>
      <c r="Q28" s="190">
        <v>0</v>
      </c>
      <c r="R28" s="190">
        <v>0</v>
      </c>
      <c r="S28" s="190">
        <v>696637077</v>
      </c>
      <c r="T28" s="190" t="s">
        <v>303</v>
      </c>
      <c r="U28" s="190" t="s">
        <v>304</v>
      </c>
      <c r="V28" s="190" t="s">
        <v>304</v>
      </c>
      <c r="W28" s="190" t="s">
        <v>398</v>
      </c>
      <c r="X28" s="190" t="s">
        <v>420</v>
      </c>
      <c r="Y28" s="260">
        <v>0.39193287037037039</v>
      </c>
      <c r="Z28" s="190" t="s">
        <v>305</v>
      </c>
      <c r="AA28" s="190" t="s">
        <v>306</v>
      </c>
      <c r="AB28" s="190">
        <v>-1</v>
      </c>
      <c r="AC28" s="190">
        <v>-999999</v>
      </c>
      <c r="AD28" s="190">
        <v>18469</v>
      </c>
      <c r="AE28" s="190">
        <v>39</v>
      </c>
      <c r="AF28" s="190">
        <v>5767</v>
      </c>
      <c r="AG28" s="190">
        <v>0</v>
      </c>
      <c r="AH28" s="190">
        <v>5</v>
      </c>
      <c r="AI28" s="190">
        <v>12702</v>
      </c>
      <c r="AJ28" s="190">
        <v>18469</v>
      </c>
      <c r="AK28" s="190">
        <v>27</v>
      </c>
      <c r="AL28" s="190">
        <v>27</v>
      </c>
      <c r="AM28" s="190">
        <v>1</v>
      </c>
      <c r="AN28" s="190">
        <v>27</v>
      </c>
      <c r="AO28" s="190">
        <v>0</v>
      </c>
      <c r="AP28" s="190" t="s">
        <v>307</v>
      </c>
      <c r="AQ28" s="190">
        <v>4000</v>
      </c>
      <c r="AR28" s="190">
        <v>0</v>
      </c>
      <c r="AS28" s="190"/>
      <c r="AT28" s="190">
        <v>4000</v>
      </c>
      <c r="AU28" s="190">
        <v>-4</v>
      </c>
      <c r="AV28" s="190">
        <v>460369</v>
      </c>
      <c r="AW28" s="190">
        <v>0</v>
      </c>
      <c r="AX28" s="190">
        <v>460369</v>
      </c>
      <c r="AY28" s="190">
        <v>4</v>
      </c>
      <c r="AZ28" s="190">
        <v>456473</v>
      </c>
      <c r="BA28" s="190">
        <v>4003</v>
      </c>
      <c r="BB28" s="190">
        <v>100</v>
      </c>
      <c r="BC28" s="190"/>
      <c r="BD28" s="190">
        <v>0</v>
      </c>
      <c r="BE28" s="190">
        <v>0</v>
      </c>
      <c r="BF28" s="190">
        <v>456374</v>
      </c>
      <c r="BG28" s="190">
        <v>460369</v>
      </c>
      <c r="BH28" s="190">
        <v>456469</v>
      </c>
      <c r="BI28" s="190">
        <v>7000</v>
      </c>
      <c r="BJ28" s="190">
        <v>0</v>
      </c>
      <c r="BK28" s="190"/>
      <c r="BL28" s="190" t="s">
        <v>306</v>
      </c>
      <c r="BM28" s="190">
        <v>7000</v>
      </c>
      <c r="BN28" s="190">
        <v>-999999</v>
      </c>
      <c r="BO28" s="190">
        <v>462646</v>
      </c>
      <c r="BP28" s="190">
        <v>462645</v>
      </c>
      <c r="BQ28" s="190">
        <v>37</v>
      </c>
      <c r="BR28" s="190">
        <v>462194</v>
      </c>
      <c r="BS28" s="190">
        <v>0</v>
      </c>
      <c r="BT28" s="190">
        <v>100</v>
      </c>
      <c r="BU28" s="190">
        <v>1</v>
      </c>
      <c r="BV28" s="190">
        <v>451</v>
      </c>
      <c r="BW28" s="190">
        <v>462645</v>
      </c>
      <c r="BX28" s="190">
        <v>462161</v>
      </c>
      <c r="BY28" s="190">
        <v>469057</v>
      </c>
      <c r="BZ28" s="190">
        <v>462157</v>
      </c>
      <c r="CA28" s="190">
        <v>4000</v>
      </c>
      <c r="CB28" s="190">
        <v>0</v>
      </c>
      <c r="CC28" s="190"/>
      <c r="CD28" s="190">
        <v>4000</v>
      </c>
      <c r="CE28" s="190">
        <v>-13</v>
      </c>
      <c r="CF28" s="190">
        <v>471369</v>
      </c>
      <c r="CG28" s="190">
        <v>0</v>
      </c>
      <c r="CH28" s="190">
        <v>471369</v>
      </c>
      <c r="CI28" s="190">
        <v>13</v>
      </c>
      <c r="CJ28" s="190">
        <v>467482</v>
      </c>
      <c r="CK28" s="190">
        <v>0</v>
      </c>
      <c r="CL28" s="190">
        <v>100</v>
      </c>
      <c r="CM28" s="190"/>
      <c r="CN28" s="190">
        <v>0</v>
      </c>
      <c r="CO28" s="190">
        <v>0</v>
      </c>
      <c r="CP28" s="190">
        <v>467369</v>
      </c>
      <c r="CQ28" s="190">
        <v>471369</v>
      </c>
      <c r="CR28" s="190">
        <v>467469</v>
      </c>
      <c r="CS28" s="190">
        <v>15</v>
      </c>
      <c r="CT28" s="190">
        <v>4</v>
      </c>
      <c r="CU28" s="190">
        <v>0</v>
      </c>
      <c r="CV28" s="190">
        <v>9</v>
      </c>
      <c r="CW28" s="190">
        <v>10</v>
      </c>
      <c r="CX28" s="190">
        <v>1</v>
      </c>
      <c r="CY28" s="190">
        <v>2</v>
      </c>
      <c r="CZ28" s="190">
        <v>3</v>
      </c>
      <c r="DA28" s="190">
        <v>4</v>
      </c>
      <c r="DB28" s="190">
        <v>5</v>
      </c>
      <c r="DC28" s="190">
        <v>6</v>
      </c>
      <c r="DD28" s="190">
        <v>7</v>
      </c>
      <c r="DE28" s="190">
        <v>8</v>
      </c>
      <c r="DF28" s="190" t="s">
        <v>406</v>
      </c>
      <c r="DG28" s="190" t="s">
        <v>308</v>
      </c>
      <c r="DH28" s="190" t="s">
        <v>18</v>
      </c>
      <c r="DI28" s="190">
        <v>0</v>
      </c>
      <c r="DJ28" s="190">
        <v>1</v>
      </c>
      <c r="DK28" s="190">
        <v>460477</v>
      </c>
      <c r="DL28" s="190">
        <v>7</v>
      </c>
      <c r="DM28" s="190">
        <v>460476</v>
      </c>
      <c r="DN28" s="190">
        <v>51</v>
      </c>
      <c r="DO28" s="190">
        <v>7000</v>
      </c>
      <c r="DP28" s="190">
        <v>0</v>
      </c>
      <c r="DQ28" s="190"/>
      <c r="DR28" s="190">
        <v>7000</v>
      </c>
      <c r="DS28" s="190">
        <v>-2226</v>
      </c>
      <c r="DT28" s="190">
        <v>467369</v>
      </c>
      <c r="DU28" s="190">
        <v>0</v>
      </c>
      <c r="DV28" s="190">
        <v>467369</v>
      </c>
      <c r="DW28" s="190">
        <v>2226</v>
      </c>
      <c r="DX28" s="190">
        <v>462695</v>
      </c>
      <c r="DY28" s="190">
        <v>4787</v>
      </c>
      <c r="DZ28" s="190">
        <v>100</v>
      </c>
      <c r="EA28" s="190"/>
      <c r="EB28" s="190">
        <v>0</v>
      </c>
      <c r="EC28" s="190">
        <v>0</v>
      </c>
      <c r="ED28" s="190">
        <v>462648</v>
      </c>
      <c r="EE28" s="190">
        <v>467369</v>
      </c>
      <c r="EF28" s="190">
        <v>460469</v>
      </c>
      <c r="EG28" s="190">
        <v>27</v>
      </c>
    </row>
    <row r="29" spans="1:137" x14ac:dyDescent="0.2">
      <c r="A29" s="190" t="s">
        <v>309</v>
      </c>
      <c r="B29" s="263" t="s">
        <v>426</v>
      </c>
      <c r="C29" s="190">
        <v>1</v>
      </c>
      <c r="D29" s="190" t="s">
        <v>418</v>
      </c>
      <c r="E29" s="190" t="s">
        <v>419</v>
      </c>
      <c r="F29" s="190">
        <v>59.963000000000001</v>
      </c>
      <c r="G29" s="190" t="s">
        <v>310</v>
      </c>
      <c r="H29" s="190">
        <v>1</v>
      </c>
      <c r="I29" s="190">
        <v>6000</v>
      </c>
      <c r="J29" s="190">
        <v>-41</v>
      </c>
      <c r="K29" s="190">
        <v>0</v>
      </c>
      <c r="L29" s="190">
        <v>24369</v>
      </c>
      <c r="M29" s="190">
        <v>41</v>
      </c>
      <c r="N29" s="190">
        <v>18510</v>
      </c>
      <c r="O29" s="190">
        <v>5971</v>
      </c>
      <c r="P29" s="190"/>
      <c r="Q29" s="190">
        <v>0</v>
      </c>
      <c r="R29" s="190">
        <v>0</v>
      </c>
      <c r="S29" s="190">
        <v>696637077</v>
      </c>
      <c r="T29" s="190" t="s">
        <v>303</v>
      </c>
      <c r="U29" s="190" t="s">
        <v>304</v>
      </c>
      <c r="V29" s="190" t="s">
        <v>304</v>
      </c>
      <c r="W29" s="190" t="s">
        <v>398</v>
      </c>
      <c r="X29" s="190" t="s">
        <v>420</v>
      </c>
      <c r="Y29" s="260">
        <v>0.39193287037037039</v>
      </c>
      <c r="Z29" s="190" t="s">
        <v>305</v>
      </c>
      <c r="AA29" s="190" t="s">
        <v>306</v>
      </c>
      <c r="AB29" s="190">
        <v>-1</v>
      </c>
      <c r="AC29" s="190">
        <v>-999999</v>
      </c>
      <c r="AD29" s="190">
        <v>18469</v>
      </c>
      <c r="AE29" s="190">
        <v>39</v>
      </c>
      <c r="AF29" s="190">
        <v>5767</v>
      </c>
      <c r="AG29" s="190">
        <v>0</v>
      </c>
      <c r="AH29" s="190">
        <v>5</v>
      </c>
      <c r="AI29" s="190">
        <v>12702</v>
      </c>
      <c r="AJ29" s="190">
        <v>18469</v>
      </c>
      <c r="AK29" s="190">
        <v>28</v>
      </c>
      <c r="AL29" s="190">
        <v>28</v>
      </c>
      <c r="AM29" s="190">
        <v>1</v>
      </c>
      <c r="AN29" s="190">
        <v>28</v>
      </c>
      <c r="AO29" s="190">
        <v>8</v>
      </c>
      <c r="AP29" s="190" t="s">
        <v>307</v>
      </c>
      <c r="AQ29" s="190">
        <v>4000</v>
      </c>
      <c r="AR29" s="190">
        <v>0</v>
      </c>
      <c r="AS29" s="190"/>
      <c r="AT29" s="190">
        <v>4000</v>
      </c>
      <c r="AU29" s="190">
        <v>-16</v>
      </c>
      <c r="AV29" s="190">
        <v>475369</v>
      </c>
      <c r="AW29" s="190">
        <v>0</v>
      </c>
      <c r="AX29" s="190">
        <v>475369</v>
      </c>
      <c r="AY29" s="190">
        <v>16</v>
      </c>
      <c r="AZ29" s="190">
        <v>471485</v>
      </c>
      <c r="BA29" s="190">
        <v>3986</v>
      </c>
      <c r="BB29" s="190">
        <v>100</v>
      </c>
      <c r="BC29" s="190"/>
      <c r="BD29" s="190">
        <v>0</v>
      </c>
      <c r="BE29" s="190">
        <v>0</v>
      </c>
      <c r="BF29" s="190">
        <v>471374</v>
      </c>
      <c r="BG29" s="190">
        <v>475369</v>
      </c>
      <c r="BH29" s="190">
        <v>471469</v>
      </c>
      <c r="BI29" s="190">
        <v>7000</v>
      </c>
      <c r="BJ29" s="190">
        <v>0</v>
      </c>
      <c r="BK29" s="190"/>
      <c r="BL29" s="190" t="s">
        <v>306</v>
      </c>
      <c r="BM29" s="190">
        <v>7000</v>
      </c>
      <c r="BN29" s="190">
        <v>-999999</v>
      </c>
      <c r="BO29" s="190">
        <v>477068</v>
      </c>
      <c r="BP29" s="190">
        <v>477068</v>
      </c>
      <c r="BQ29" s="190">
        <v>51</v>
      </c>
      <c r="BR29" s="190">
        <v>476839</v>
      </c>
      <c r="BS29" s="190">
        <v>0</v>
      </c>
      <c r="BT29" s="190">
        <v>100</v>
      </c>
      <c r="BU29" s="190">
        <v>1</v>
      </c>
      <c r="BV29" s="190">
        <v>229</v>
      </c>
      <c r="BW29" s="190">
        <v>477068</v>
      </c>
      <c r="BX29" s="190">
        <v>476793</v>
      </c>
      <c r="BY29" s="190">
        <v>483688</v>
      </c>
      <c r="BZ29" s="190">
        <v>476788</v>
      </c>
      <c r="CA29" s="190">
        <v>12000</v>
      </c>
      <c r="CB29" s="190">
        <v>0</v>
      </c>
      <c r="CC29" s="190"/>
      <c r="CD29" s="190">
        <v>12000</v>
      </c>
      <c r="CE29" s="190">
        <v>-7</v>
      </c>
      <c r="CF29" s="190">
        <v>494369</v>
      </c>
      <c r="CG29" s="190">
        <v>0</v>
      </c>
      <c r="CH29" s="190">
        <v>494369</v>
      </c>
      <c r="CI29" s="190">
        <v>7</v>
      </c>
      <c r="CJ29" s="190">
        <v>482476</v>
      </c>
      <c r="CK29" s="190">
        <v>0</v>
      </c>
      <c r="CL29" s="190">
        <v>100</v>
      </c>
      <c r="CM29" s="190"/>
      <c r="CN29" s="190">
        <v>0</v>
      </c>
      <c r="CO29" s="190">
        <v>0</v>
      </c>
      <c r="CP29" s="190">
        <v>482369</v>
      </c>
      <c r="CQ29" s="190">
        <v>494369</v>
      </c>
      <c r="CR29" s="190">
        <v>482469</v>
      </c>
      <c r="CS29" s="190">
        <v>15</v>
      </c>
      <c r="CT29" s="190">
        <v>4</v>
      </c>
      <c r="CU29" s="190">
        <v>0</v>
      </c>
      <c r="CV29" s="190">
        <v>9</v>
      </c>
      <c r="CW29" s="190">
        <v>10</v>
      </c>
      <c r="CX29" s="190">
        <v>1</v>
      </c>
      <c r="CY29" s="190">
        <v>2</v>
      </c>
      <c r="CZ29" s="190">
        <v>3</v>
      </c>
      <c r="DA29" s="190">
        <v>4</v>
      </c>
      <c r="DB29" s="190">
        <v>5</v>
      </c>
      <c r="DC29" s="190">
        <v>6</v>
      </c>
      <c r="DD29" s="190">
        <v>7</v>
      </c>
      <c r="DE29" s="190">
        <v>8</v>
      </c>
      <c r="DF29" s="190" t="s">
        <v>405</v>
      </c>
      <c r="DG29" s="190" t="s">
        <v>308</v>
      </c>
      <c r="DH29" s="190" t="s">
        <v>18</v>
      </c>
      <c r="DI29" s="190">
        <v>0</v>
      </c>
      <c r="DJ29" s="190">
        <v>0</v>
      </c>
      <c r="DK29" s="190">
        <v>475471</v>
      </c>
      <c r="DL29" s="190">
        <v>2</v>
      </c>
      <c r="DM29" s="190">
        <v>475471</v>
      </c>
      <c r="DN29" s="190">
        <v>50</v>
      </c>
      <c r="DO29" s="190">
        <v>7000</v>
      </c>
      <c r="DP29" s="190">
        <v>0</v>
      </c>
      <c r="DQ29" s="190"/>
      <c r="DR29" s="190">
        <v>7000</v>
      </c>
      <c r="DS29" s="190">
        <v>-1637</v>
      </c>
      <c r="DT29" s="190">
        <v>482369</v>
      </c>
      <c r="DU29" s="190">
        <v>0</v>
      </c>
      <c r="DV29" s="190">
        <v>482369</v>
      </c>
      <c r="DW29" s="190">
        <v>1637</v>
      </c>
      <c r="DX29" s="190">
        <v>477106</v>
      </c>
      <c r="DY29" s="190">
        <v>5370</v>
      </c>
      <c r="DZ29" s="190">
        <v>100</v>
      </c>
      <c r="EA29" s="190"/>
      <c r="EB29" s="190">
        <v>0</v>
      </c>
      <c r="EC29" s="190">
        <v>0</v>
      </c>
      <c r="ED29" s="190">
        <v>477070</v>
      </c>
      <c r="EE29" s="190">
        <v>482369</v>
      </c>
      <c r="EF29" s="190">
        <v>475469</v>
      </c>
      <c r="EG29" s="190">
        <v>28</v>
      </c>
    </row>
    <row r="30" spans="1:137" x14ac:dyDescent="0.2">
      <c r="A30" s="190" t="s">
        <v>309</v>
      </c>
      <c r="B30" s="263" t="s">
        <v>426</v>
      </c>
      <c r="C30" s="190">
        <v>1</v>
      </c>
      <c r="D30" s="190" t="s">
        <v>418</v>
      </c>
      <c r="E30" s="190" t="s">
        <v>419</v>
      </c>
      <c r="F30" s="190">
        <v>59.963000000000001</v>
      </c>
      <c r="G30" s="190" t="s">
        <v>310</v>
      </c>
      <c r="H30" s="190">
        <v>1</v>
      </c>
      <c r="I30" s="190">
        <v>6000</v>
      </c>
      <c r="J30" s="190">
        <v>-41</v>
      </c>
      <c r="K30" s="190">
        <v>0</v>
      </c>
      <c r="L30" s="190">
        <v>24369</v>
      </c>
      <c r="M30" s="190">
        <v>41</v>
      </c>
      <c r="N30" s="190">
        <v>18510</v>
      </c>
      <c r="O30" s="190">
        <v>5971</v>
      </c>
      <c r="P30" s="190"/>
      <c r="Q30" s="190">
        <v>0</v>
      </c>
      <c r="R30" s="190">
        <v>0</v>
      </c>
      <c r="S30" s="190">
        <v>696637077</v>
      </c>
      <c r="T30" s="190" t="s">
        <v>303</v>
      </c>
      <c r="U30" s="190" t="s">
        <v>304</v>
      </c>
      <c r="V30" s="190" t="s">
        <v>304</v>
      </c>
      <c r="W30" s="190" t="s">
        <v>398</v>
      </c>
      <c r="X30" s="190" t="s">
        <v>420</v>
      </c>
      <c r="Y30" s="260">
        <v>0.39193287037037039</v>
      </c>
      <c r="Z30" s="190" t="s">
        <v>305</v>
      </c>
      <c r="AA30" s="190" t="s">
        <v>306</v>
      </c>
      <c r="AB30" s="190">
        <v>-1</v>
      </c>
      <c r="AC30" s="190">
        <v>-999999</v>
      </c>
      <c r="AD30" s="190">
        <v>18469</v>
      </c>
      <c r="AE30" s="190">
        <v>39</v>
      </c>
      <c r="AF30" s="190">
        <v>5767</v>
      </c>
      <c r="AG30" s="190">
        <v>0</v>
      </c>
      <c r="AH30" s="190">
        <v>5</v>
      </c>
      <c r="AI30" s="190">
        <v>12702</v>
      </c>
      <c r="AJ30" s="190">
        <v>18469</v>
      </c>
      <c r="AK30" s="190">
        <v>29</v>
      </c>
      <c r="AL30" s="190">
        <v>29</v>
      </c>
      <c r="AM30" s="190">
        <v>1</v>
      </c>
      <c r="AN30" s="190">
        <v>29</v>
      </c>
      <c r="AO30" s="190">
        <v>0</v>
      </c>
      <c r="AP30" s="190" t="s">
        <v>307</v>
      </c>
      <c r="AQ30" s="190">
        <v>4000</v>
      </c>
      <c r="AR30" s="190">
        <v>0</v>
      </c>
      <c r="AS30" s="190"/>
      <c r="AT30" s="190">
        <v>4000</v>
      </c>
      <c r="AU30" s="190">
        <v>0</v>
      </c>
      <c r="AV30" s="190">
        <v>498369</v>
      </c>
      <c r="AW30" s="190">
        <v>0</v>
      </c>
      <c r="AX30" s="190">
        <v>498369</v>
      </c>
      <c r="AY30" s="190">
        <v>0</v>
      </c>
      <c r="AZ30" s="190">
        <v>494469</v>
      </c>
      <c r="BA30" s="190">
        <v>4003</v>
      </c>
      <c r="BB30" s="190">
        <v>100</v>
      </c>
      <c r="BC30" s="190"/>
      <c r="BD30" s="190">
        <v>0</v>
      </c>
      <c r="BE30" s="190">
        <v>0</v>
      </c>
      <c r="BF30" s="190">
        <v>494374</v>
      </c>
      <c r="BG30" s="190">
        <v>498369</v>
      </c>
      <c r="BH30" s="190">
        <v>494469</v>
      </c>
      <c r="BI30" s="190">
        <v>7000</v>
      </c>
      <c r="BJ30" s="190">
        <v>0</v>
      </c>
      <c r="BK30" s="190"/>
      <c r="BL30" s="190" t="s">
        <v>306</v>
      </c>
      <c r="BM30" s="190">
        <v>7000</v>
      </c>
      <c r="BN30" s="190">
        <v>-999999</v>
      </c>
      <c r="BO30" s="190">
        <v>500395</v>
      </c>
      <c r="BP30" s="190">
        <v>500394</v>
      </c>
      <c r="BQ30" s="190">
        <v>40</v>
      </c>
      <c r="BR30" s="190">
        <v>500123</v>
      </c>
      <c r="BS30" s="190">
        <v>0</v>
      </c>
      <c r="BT30" s="190">
        <v>100</v>
      </c>
      <c r="BU30" s="190">
        <v>1</v>
      </c>
      <c r="BV30" s="190">
        <v>271</v>
      </c>
      <c r="BW30" s="190">
        <v>500394</v>
      </c>
      <c r="BX30" s="190">
        <v>500086</v>
      </c>
      <c r="BY30" s="190">
        <v>506983</v>
      </c>
      <c r="BZ30" s="190">
        <v>500083</v>
      </c>
      <c r="CA30" s="190">
        <v>2000</v>
      </c>
      <c r="CB30" s="190">
        <v>0</v>
      </c>
      <c r="CC30" s="190"/>
      <c r="CD30" s="190">
        <v>2000</v>
      </c>
      <c r="CE30" s="190">
        <v>-8</v>
      </c>
      <c r="CF30" s="190">
        <v>507369</v>
      </c>
      <c r="CG30" s="190">
        <v>0</v>
      </c>
      <c r="CH30" s="190">
        <v>507369</v>
      </c>
      <c r="CI30" s="190">
        <v>8</v>
      </c>
      <c r="CJ30" s="190">
        <v>505477</v>
      </c>
      <c r="CK30" s="190">
        <v>0</v>
      </c>
      <c r="CL30" s="190">
        <v>100</v>
      </c>
      <c r="CM30" s="190"/>
      <c r="CN30" s="190">
        <v>0</v>
      </c>
      <c r="CO30" s="190">
        <v>0</v>
      </c>
      <c r="CP30" s="190">
        <v>505369</v>
      </c>
      <c r="CQ30" s="190">
        <v>507369</v>
      </c>
      <c r="CR30" s="190">
        <v>505469</v>
      </c>
      <c r="CS30" s="190">
        <v>15</v>
      </c>
      <c r="CT30" s="190">
        <v>4</v>
      </c>
      <c r="CU30" s="190">
        <v>0</v>
      </c>
      <c r="CV30" s="190">
        <v>9</v>
      </c>
      <c r="CW30" s="190">
        <v>10</v>
      </c>
      <c r="CX30" s="190">
        <v>1</v>
      </c>
      <c r="CY30" s="190">
        <v>2</v>
      </c>
      <c r="CZ30" s="190">
        <v>3</v>
      </c>
      <c r="DA30" s="190">
        <v>4</v>
      </c>
      <c r="DB30" s="190">
        <v>5</v>
      </c>
      <c r="DC30" s="190">
        <v>6</v>
      </c>
      <c r="DD30" s="190">
        <v>7</v>
      </c>
      <c r="DE30" s="190">
        <v>8</v>
      </c>
      <c r="DF30" s="190" t="s">
        <v>414</v>
      </c>
      <c r="DG30" s="190" t="s">
        <v>308</v>
      </c>
      <c r="DH30" s="190" t="s">
        <v>18</v>
      </c>
      <c r="DI30" s="190">
        <v>0</v>
      </c>
      <c r="DJ30" s="190">
        <v>0</v>
      </c>
      <c r="DK30" s="190">
        <v>498472</v>
      </c>
      <c r="DL30" s="190">
        <v>3</v>
      </c>
      <c r="DM30" s="190">
        <v>498472</v>
      </c>
      <c r="DN30" s="190">
        <v>50</v>
      </c>
      <c r="DO30" s="190">
        <v>7000</v>
      </c>
      <c r="DP30" s="190">
        <v>0</v>
      </c>
      <c r="DQ30" s="190"/>
      <c r="DR30" s="190">
        <v>7000</v>
      </c>
      <c r="DS30" s="190">
        <v>-1971</v>
      </c>
      <c r="DT30" s="190">
        <v>505369</v>
      </c>
      <c r="DU30" s="190">
        <v>0</v>
      </c>
      <c r="DV30" s="190">
        <v>505369</v>
      </c>
      <c r="DW30" s="190">
        <v>1971</v>
      </c>
      <c r="DX30" s="190">
        <v>500440</v>
      </c>
      <c r="DY30" s="190">
        <v>5037</v>
      </c>
      <c r="DZ30" s="190">
        <v>100</v>
      </c>
      <c r="EA30" s="190"/>
      <c r="EB30" s="190">
        <v>0</v>
      </c>
      <c r="EC30" s="190">
        <v>0</v>
      </c>
      <c r="ED30" s="190">
        <v>500397</v>
      </c>
      <c r="EE30" s="190">
        <v>505369</v>
      </c>
      <c r="EF30" s="190">
        <v>498469</v>
      </c>
      <c r="EG30" s="190">
        <v>29</v>
      </c>
    </row>
    <row r="31" spans="1:137" x14ac:dyDescent="0.2">
      <c r="A31" s="190" t="s">
        <v>309</v>
      </c>
      <c r="B31" s="263" t="s">
        <v>426</v>
      </c>
      <c r="C31" s="190">
        <v>1</v>
      </c>
      <c r="D31" s="190" t="s">
        <v>418</v>
      </c>
      <c r="E31" s="190" t="s">
        <v>419</v>
      </c>
      <c r="F31" s="190">
        <v>59.963000000000001</v>
      </c>
      <c r="G31" s="190" t="s">
        <v>310</v>
      </c>
      <c r="H31" s="190">
        <v>1</v>
      </c>
      <c r="I31" s="190">
        <v>6000</v>
      </c>
      <c r="J31" s="190">
        <v>-41</v>
      </c>
      <c r="K31" s="190">
        <v>0</v>
      </c>
      <c r="L31" s="190">
        <v>24369</v>
      </c>
      <c r="M31" s="190">
        <v>41</v>
      </c>
      <c r="N31" s="190">
        <v>18510</v>
      </c>
      <c r="O31" s="190">
        <v>5971</v>
      </c>
      <c r="P31" s="190"/>
      <c r="Q31" s="190">
        <v>0</v>
      </c>
      <c r="R31" s="190">
        <v>0</v>
      </c>
      <c r="S31" s="190">
        <v>696637077</v>
      </c>
      <c r="T31" s="190" t="s">
        <v>303</v>
      </c>
      <c r="U31" s="190" t="s">
        <v>304</v>
      </c>
      <c r="V31" s="190" t="s">
        <v>304</v>
      </c>
      <c r="W31" s="190" t="s">
        <v>398</v>
      </c>
      <c r="X31" s="190" t="s">
        <v>420</v>
      </c>
      <c r="Y31" s="260">
        <v>0.39193287037037039</v>
      </c>
      <c r="Z31" s="190" t="s">
        <v>305</v>
      </c>
      <c r="AA31" s="190" t="s">
        <v>306</v>
      </c>
      <c r="AB31" s="190">
        <v>-1</v>
      </c>
      <c r="AC31" s="190">
        <v>-999999</v>
      </c>
      <c r="AD31" s="190">
        <v>18469</v>
      </c>
      <c r="AE31" s="190">
        <v>39</v>
      </c>
      <c r="AF31" s="190">
        <v>5767</v>
      </c>
      <c r="AG31" s="190">
        <v>0</v>
      </c>
      <c r="AH31" s="190">
        <v>5</v>
      </c>
      <c r="AI31" s="190">
        <v>12702</v>
      </c>
      <c r="AJ31" s="190">
        <v>18469</v>
      </c>
      <c r="AK31" s="190">
        <v>30</v>
      </c>
      <c r="AL31" s="190">
        <v>30</v>
      </c>
      <c r="AM31" s="190">
        <v>1</v>
      </c>
      <c r="AN31" s="190">
        <v>30</v>
      </c>
      <c r="AO31" s="190">
        <v>7</v>
      </c>
      <c r="AP31" s="190" t="s">
        <v>307</v>
      </c>
      <c r="AQ31" s="190">
        <v>4000</v>
      </c>
      <c r="AR31" s="190">
        <v>0</v>
      </c>
      <c r="AS31" s="190"/>
      <c r="AT31" s="190">
        <v>4000</v>
      </c>
      <c r="AU31" s="190">
        <v>-10</v>
      </c>
      <c r="AV31" s="190">
        <v>511369</v>
      </c>
      <c r="AW31" s="190">
        <v>0</v>
      </c>
      <c r="AX31" s="190">
        <v>511369</v>
      </c>
      <c r="AY31" s="190">
        <v>10</v>
      </c>
      <c r="AZ31" s="190">
        <v>507479</v>
      </c>
      <c r="BA31" s="190">
        <v>4003</v>
      </c>
      <c r="BB31" s="190">
        <v>100</v>
      </c>
      <c r="BC31" s="190"/>
      <c r="BD31" s="190">
        <v>0</v>
      </c>
      <c r="BE31" s="190">
        <v>0</v>
      </c>
      <c r="BF31" s="190">
        <v>507374</v>
      </c>
      <c r="BG31" s="190">
        <v>511369</v>
      </c>
      <c r="BH31" s="190">
        <v>507469</v>
      </c>
      <c r="BI31" s="190">
        <v>7000</v>
      </c>
      <c r="BJ31" s="190">
        <v>0</v>
      </c>
      <c r="BK31" s="190"/>
      <c r="BL31" s="190" t="s">
        <v>306</v>
      </c>
      <c r="BM31" s="190">
        <v>7000</v>
      </c>
      <c r="BN31" s="190">
        <v>-999999</v>
      </c>
      <c r="BO31" s="190">
        <v>514234</v>
      </c>
      <c r="BP31" s="190">
        <v>514233</v>
      </c>
      <c r="BQ31" s="190">
        <v>50</v>
      </c>
      <c r="BR31" s="190">
        <v>513867</v>
      </c>
      <c r="BS31" s="190">
        <v>0</v>
      </c>
      <c r="BT31" s="190">
        <v>100</v>
      </c>
      <c r="BU31" s="190">
        <v>1</v>
      </c>
      <c r="BV31" s="190">
        <v>366</v>
      </c>
      <c r="BW31" s="190">
        <v>514233</v>
      </c>
      <c r="BX31" s="190">
        <v>513821</v>
      </c>
      <c r="BY31" s="190">
        <v>520717</v>
      </c>
      <c r="BZ31" s="190">
        <v>513817</v>
      </c>
      <c r="CA31" s="190">
        <v>4000</v>
      </c>
      <c r="CB31" s="190">
        <v>0</v>
      </c>
      <c r="CC31" s="190"/>
      <c r="CD31" s="190">
        <v>4000</v>
      </c>
      <c r="CE31" s="190">
        <v>-1</v>
      </c>
      <c r="CF31" s="190">
        <v>522369</v>
      </c>
      <c r="CG31" s="190">
        <v>0</v>
      </c>
      <c r="CH31" s="190">
        <v>522369</v>
      </c>
      <c r="CI31" s="190">
        <v>1</v>
      </c>
      <c r="CJ31" s="190">
        <v>518470</v>
      </c>
      <c r="CK31" s="190">
        <v>0</v>
      </c>
      <c r="CL31" s="190">
        <v>100</v>
      </c>
      <c r="CM31" s="190"/>
      <c r="CN31" s="190">
        <v>0</v>
      </c>
      <c r="CO31" s="190">
        <v>0</v>
      </c>
      <c r="CP31" s="190">
        <v>518369</v>
      </c>
      <c r="CQ31" s="190">
        <v>522369</v>
      </c>
      <c r="CR31" s="190">
        <v>518469</v>
      </c>
      <c r="CS31" s="190">
        <v>15</v>
      </c>
      <c r="CT31" s="190">
        <v>4</v>
      </c>
      <c r="CU31" s="190">
        <v>0</v>
      </c>
      <c r="CV31" s="190">
        <v>9</v>
      </c>
      <c r="CW31" s="190">
        <v>10</v>
      </c>
      <c r="CX31" s="190">
        <v>1</v>
      </c>
      <c r="CY31" s="190">
        <v>2</v>
      </c>
      <c r="CZ31" s="190">
        <v>3</v>
      </c>
      <c r="DA31" s="190">
        <v>4</v>
      </c>
      <c r="DB31" s="190">
        <v>5</v>
      </c>
      <c r="DC31" s="190">
        <v>6</v>
      </c>
      <c r="DD31" s="190">
        <v>7</v>
      </c>
      <c r="DE31" s="190">
        <v>8</v>
      </c>
      <c r="DF31" s="190" t="s">
        <v>401</v>
      </c>
      <c r="DG31" s="190" t="s">
        <v>308</v>
      </c>
      <c r="DH31" s="190" t="s">
        <v>18</v>
      </c>
      <c r="DI31" s="190">
        <v>0</v>
      </c>
      <c r="DJ31" s="190">
        <v>0</v>
      </c>
      <c r="DK31" s="190">
        <v>511482</v>
      </c>
      <c r="DL31" s="190">
        <v>13</v>
      </c>
      <c r="DM31" s="190">
        <v>511482</v>
      </c>
      <c r="DN31" s="190">
        <v>50</v>
      </c>
      <c r="DO31" s="190">
        <v>7000</v>
      </c>
      <c r="DP31" s="190">
        <v>0</v>
      </c>
      <c r="DQ31" s="190"/>
      <c r="DR31" s="190">
        <v>7000</v>
      </c>
      <c r="DS31" s="190">
        <v>-2815</v>
      </c>
      <c r="DT31" s="190">
        <v>518369</v>
      </c>
      <c r="DU31" s="190">
        <v>0</v>
      </c>
      <c r="DV31" s="190">
        <v>518369</v>
      </c>
      <c r="DW31" s="190">
        <v>2815</v>
      </c>
      <c r="DX31" s="190">
        <v>514284</v>
      </c>
      <c r="DY31" s="190">
        <v>4186</v>
      </c>
      <c r="DZ31" s="190">
        <v>100</v>
      </c>
      <c r="EA31" s="190"/>
      <c r="EB31" s="190">
        <v>0</v>
      </c>
      <c r="EC31" s="190">
        <v>0</v>
      </c>
      <c r="ED31" s="190">
        <v>514236</v>
      </c>
      <c r="EE31" s="190">
        <v>518369</v>
      </c>
      <c r="EF31" s="190">
        <v>511469</v>
      </c>
      <c r="EG31" s="19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G31"/>
  <sheetViews>
    <sheetView workbookViewId="0">
      <selection activeCell="H39" sqref="H39"/>
    </sheetView>
  </sheetViews>
  <sheetFormatPr baseColWidth="10" defaultColWidth="9.1640625" defaultRowHeight="15" x14ac:dyDescent="0.2"/>
  <cols>
    <col min="1" max="1" width="47.33203125" customWidth="1"/>
    <col min="2" max="2" width="7.5" bestFit="1" customWidth="1"/>
  </cols>
  <sheetData>
    <row r="1" spans="1:137" x14ac:dyDescent="0.2">
      <c r="A1" s="190" t="s">
        <v>169</v>
      </c>
      <c r="B1" s="190" t="s">
        <v>170</v>
      </c>
      <c r="C1" s="190" t="s">
        <v>171</v>
      </c>
      <c r="D1" s="190" t="s">
        <v>172</v>
      </c>
      <c r="E1" s="190" t="s">
        <v>173</v>
      </c>
      <c r="F1" s="190" t="s">
        <v>174</v>
      </c>
      <c r="G1" s="190" t="s">
        <v>175</v>
      </c>
      <c r="H1" s="190" t="s">
        <v>0</v>
      </c>
      <c r="I1" s="190" t="s">
        <v>176</v>
      </c>
      <c r="J1" s="190" t="s">
        <v>177</v>
      </c>
      <c r="K1" s="190" t="s">
        <v>178</v>
      </c>
      <c r="L1" s="190" t="s">
        <v>179</v>
      </c>
      <c r="M1" s="190" t="s">
        <v>180</v>
      </c>
      <c r="N1" s="190" t="s">
        <v>181</v>
      </c>
      <c r="O1" s="190" t="s">
        <v>182</v>
      </c>
      <c r="P1" s="190" t="s">
        <v>183</v>
      </c>
      <c r="Q1" s="190" t="s">
        <v>184</v>
      </c>
      <c r="R1" s="190" t="s">
        <v>185</v>
      </c>
      <c r="S1" s="190" t="s">
        <v>186</v>
      </c>
      <c r="T1" s="190" t="s">
        <v>187</v>
      </c>
      <c r="U1" s="190" t="s">
        <v>188</v>
      </c>
      <c r="V1" s="190" t="s">
        <v>189</v>
      </c>
      <c r="W1" s="190" t="s">
        <v>190</v>
      </c>
      <c r="X1" s="190" t="s">
        <v>191</v>
      </c>
      <c r="Y1" s="190" t="s">
        <v>192</v>
      </c>
      <c r="Z1" s="190" t="s">
        <v>193</v>
      </c>
      <c r="AA1" s="190" t="s">
        <v>194</v>
      </c>
      <c r="AB1" s="190" t="s">
        <v>195</v>
      </c>
      <c r="AC1" s="190" t="s">
        <v>196</v>
      </c>
      <c r="AD1" s="190" t="s">
        <v>197</v>
      </c>
      <c r="AE1" s="190" t="s">
        <v>198</v>
      </c>
      <c r="AF1" s="190" t="s">
        <v>199</v>
      </c>
      <c r="AG1" s="190" t="s">
        <v>200</v>
      </c>
      <c r="AH1" s="190" t="s">
        <v>201</v>
      </c>
      <c r="AI1" s="190" t="s">
        <v>202</v>
      </c>
      <c r="AJ1" s="190" t="s">
        <v>203</v>
      </c>
      <c r="AK1" s="190" t="s">
        <v>204</v>
      </c>
      <c r="AL1" s="190" t="s">
        <v>18</v>
      </c>
      <c r="AM1" s="190" t="s">
        <v>205</v>
      </c>
      <c r="AN1" s="190" t="s">
        <v>206</v>
      </c>
      <c r="AO1" s="190" t="s">
        <v>1</v>
      </c>
      <c r="AP1" s="190" t="s">
        <v>207</v>
      </c>
      <c r="AQ1" s="190" t="s">
        <v>208</v>
      </c>
      <c r="AR1" s="190" t="s">
        <v>209</v>
      </c>
      <c r="AS1" s="190" t="s">
        <v>210</v>
      </c>
      <c r="AT1" s="190" t="s">
        <v>211</v>
      </c>
      <c r="AU1" s="190" t="s">
        <v>212</v>
      </c>
      <c r="AV1" s="190" t="s">
        <v>213</v>
      </c>
      <c r="AW1" s="190" t="s">
        <v>214</v>
      </c>
      <c r="AX1" s="190" t="s">
        <v>215</v>
      </c>
      <c r="AY1" s="190" t="s">
        <v>216</v>
      </c>
      <c r="AZ1" s="190" t="s">
        <v>217</v>
      </c>
      <c r="BA1" s="190" t="s">
        <v>218</v>
      </c>
      <c r="BB1" s="190" t="s">
        <v>219</v>
      </c>
      <c r="BC1" s="190" t="s">
        <v>220</v>
      </c>
      <c r="BD1" s="190" t="s">
        <v>221</v>
      </c>
      <c r="BE1" s="190" t="s">
        <v>222</v>
      </c>
      <c r="BF1" s="190" t="s">
        <v>223</v>
      </c>
      <c r="BG1" s="190" t="s">
        <v>224</v>
      </c>
      <c r="BH1" s="190" t="s">
        <v>225</v>
      </c>
      <c r="BI1" s="190" t="s">
        <v>226</v>
      </c>
      <c r="BJ1" s="190" t="s">
        <v>227</v>
      </c>
      <c r="BK1" s="190" t="s">
        <v>228</v>
      </c>
      <c r="BL1" s="190" t="s">
        <v>229</v>
      </c>
      <c r="BM1" s="190" t="s">
        <v>230</v>
      </c>
      <c r="BN1" s="190" t="s">
        <v>231</v>
      </c>
      <c r="BO1" s="190" t="s">
        <v>232</v>
      </c>
      <c r="BP1" s="190" t="s">
        <v>233</v>
      </c>
      <c r="BQ1" s="190" t="s">
        <v>234</v>
      </c>
      <c r="BR1" s="190" t="s">
        <v>235</v>
      </c>
      <c r="BS1" s="190" t="s">
        <v>236</v>
      </c>
      <c r="BT1" s="190" t="s">
        <v>237</v>
      </c>
      <c r="BU1" s="190" t="s">
        <v>238</v>
      </c>
      <c r="BV1" s="190" t="s">
        <v>239</v>
      </c>
      <c r="BW1" s="190" t="s">
        <v>240</v>
      </c>
      <c r="BX1" s="190" t="s">
        <v>241</v>
      </c>
      <c r="BY1" s="190" t="s">
        <v>242</v>
      </c>
      <c r="BZ1" s="190" t="s">
        <v>243</v>
      </c>
      <c r="CA1" s="190" t="s">
        <v>2</v>
      </c>
      <c r="CB1" s="190" t="s">
        <v>244</v>
      </c>
      <c r="CC1" s="190" t="s">
        <v>245</v>
      </c>
      <c r="CD1" s="190" t="s">
        <v>246</v>
      </c>
      <c r="CE1" s="190" t="s">
        <v>247</v>
      </c>
      <c r="CF1" s="190" t="s">
        <v>248</v>
      </c>
      <c r="CG1" s="190" t="s">
        <v>249</v>
      </c>
      <c r="CH1" s="190" t="s">
        <v>250</v>
      </c>
      <c r="CI1" s="190" t="s">
        <v>251</v>
      </c>
      <c r="CJ1" s="190" t="s">
        <v>252</v>
      </c>
      <c r="CK1" s="190" t="s">
        <v>253</v>
      </c>
      <c r="CL1" s="190" t="s">
        <v>254</v>
      </c>
      <c r="CM1" s="190" t="s">
        <v>255</v>
      </c>
      <c r="CN1" s="190" t="s">
        <v>256</v>
      </c>
      <c r="CO1" s="190" t="s">
        <v>257</v>
      </c>
      <c r="CP1" s="190" t="s">
        <v>258</v>
      </c>
      <c r="CQ1" s="190" t="s">
        <v>259</v>
      </c>
      <c r="CR1" s="190" t="s">
        <v>260</v>
      </c>
      <c r="CS1" s="190" t="s">
        <v>261</v>
      </c>
      <c r="CT1" s="190" t="s">
        <v>262</v>
      </c>
      <c r="CU1" s="190" t="s">
        <v>263</v>
      </c>
      <c r="CV1" s="190" t="s">
        <v>264</v>
      </c>
      <c r="CW1" s="190" t="s">
        <v>265</v>
      </c>
      <c r="CX1" s="190" t="s">
        <v>266</v>
      </c>
      <c r="CY1" s="190" t="s">
        <v>267</v>
      </c>
      <c r="CZ1" s="190" t="s">
        <v>268</v>
      </c>
      <c r="DA1" s="190" t="s">
        <v>269</v>
      </c>
      <c r="DB1" s="190" t="s">
        <v>270</v>
      </c>
      <c r="DC1" s="190" t="s">
        <v>271</v>
      </c>
      <c r="DD1" s="190" t="s">
        <v>272</v>
      </c>
      <c r="DE1" s="190" t="s">
        <v>273</v>
      </c>
      <c r="DF1" s="190" t="s">
        <v>3</v>
      </c>
      <c r="DG1" s="190" t="s">
        <v>274</v>
      </c>
      <c r="DH1" s="190" t="s">
        <v>275</v>
      </c>
      <c r="DI1" s="190" t="s">
        <v>276</v>
      </c>
      <c r="DJ1" s="190" t="s">
        <v>277</v>
      </c>
      <c r="DK1" s="190" t="s">
        <v>278</v>
      </c>
      <c r="DL1" s="190" t="s">
        <v>279</v>
      </c>
      <c r="DM1" s="190" t="s">
        <v>280</v>
      </c>
      <c r="DN1" s="190" t="s">
        <v>281</v>
      </c>
      <c r="DO1" s="190" t="s">
        <v>282</v>
      </c>
      <c r="DP1" s="190" t="s">
        <v>283</v>
      </c>
      <c r="DQ1" s="190" t="s">
        <v>284</v>
      </c>
      <c r="DR1" s="190" t="s">
        <v>285</v>
      </c>
      <c r="DS1" s="190" t="s">
        <v>286</v>
      </c>
      <c r="DT1" s="190" t="s">
        <v>287</v>
      </c>
      <c r="DU1" s="190" t="s">
        <v>288</v>
      </c>
      <c r="DV1" s="190" t="s">
        <v>289</v>
      </c>
      <c r="DW1" s="190" t="s">
        <v>290</v>
      </c>
      <c r="DX1" s="190" t="s">
        <v>291</v>
      </c>
      <c r="DY1" s="190" t="s">
        <v>292</v>
      </c>
      <c r="DZ1" s="190" t="s">
        <v>293</v>
      </c>
      <c r="EA1" s="190" t="s">
        <v>294</v>
      </c>
      <c r="EB1" s="190" t="s">
        <v>295</v>
      </c>
      <c r="EC1" s="190" t="s">
        <v>296</v>
      </c>
      <c r="ED1" s="190" t="s">
        <v>297</v>
      </c>
      <c r="EE1" s="190" t="s">
        <v>298</v>
      </c>
      <c r="EF1" s="190" t="s">
        <v>299</v>
      </c>
      <c r="EG1" s="190" t="s">
        <v>300</v>
      </c>
    </row>
    <row r="2" spans="1:137" x14ac:dyDescent="0.2">
      <c r="A2" s="190" t="s">
        <v>311</v>
      </c>
      <c r="B2" s="263" t="s">
        <v>426</v>
      </c>
      <c r="C2" s="190">
        <v>1</v>
      </c>
      <c r="D2" s="190" t="s">
        <v>421</v>
      </c>
      <c r="E2" s="190" t="s">
        <v>422</v>
      </c>
      <c r="F2" s="190">
        <v>59.954999999999998</v>
      </c>
      <c r="G2" s="190" t="s">
        <v>312</v>
      </c>
      <c r="H2" s="190">
        <v>1</v>
      </c>
      <c r="I2" s="190">
        <v>6000</v>
      </c>
      <c r="J2" s="190">
        <v>-32</v>
      </c>
      <c r="K2" s="190">
        <v>0</v>
      </c>
      <c r="L2" s="190">
        <v>26312</v>
      </c>
      <c r="M2" s="190">
        <v>32</v>
      </c>
      <c r="N2" s="190">
        <v>20444</v>
      </c>
      <c r="O2" s="190">
        <v>5971</v>
      </c>
      <c r="P2" s="190"/>
      <c r="Q2" s="190">
        <v>0</v>
      </c>
      <c r="R2" s="190">
        <v>0</v>
      </c>
      <c r="S2" s="190">
        <v>2080927215</v>
      </c>
      <c r="T2" s="190" t="s">
        <v>303</v>
      </c>
      <c r="U2" s="190" t="s">
        <v>304</v>
      </c>
      <c r="V2" s="190" t="s">
        <v>304</v>
      </c>
      <c r="W2" s="190" t="s">
        <v>398</v>
      </c>
      <c r="X2" s="190" t="s">
        <v>423</v>
      </c>
      <c r="Y2" s="260">
        <v>0.39826388888888886</v>
      </c>
      <c r="Z2" s="190" t="s">
        <v>305</v>
      </c>
      <c r="AA2" s="190" t="s">
        <v>306</v>
      </c>
      <c r="AB2" s="190">
        <v>-1</v>
      </c>
      <c r="AC2" s="190">
        <v>-999999</v>
      </c>
      <c r="AD2" s="190">
        <v>20412</v>
      </c>
      <c r="AE2" s="190">
        <v>24</v>
      </c>
      <c r="AF2" s="190">
        <v>7735</v>
      </c>
      <c r="AG2" s="190">
        <v>0</v>
      </c>
      <c r="AH2" s="190">
        <v>5</v>
      </c>
      <c r="AI2" s="190">
        <v>12677</v>
      </c>
      <c r="AJ2" s="190">
        <v>20412</v>
      </c>
      <c r="AK2" s="190">
        <v>1</v>
      </c>
      <c r="AL2" s="190">
        <v>1</v>
      </c>
      <c r="AM2" s="190">
        <v>1</v>
      </c>
      <c r="AN2" s="190">
        <v>1</v>
      </c>
      <c r="AO2" s="190">
        <v>9</v>
      </c>
      <c r="AP2" s="190" t="s">
        <v>307</v>
      </c>
      <c r="AQ2" s="190">
        <v>4000</v>
      </c>
      <c r="AR2" s="190">
        <v>0</v>
      </c>
      <c r="AS2" s="190"/>
      <c r="AT2" s="190">
        <v>4000</v>
      </c>
      <c r="AU2" s="190">
        <v>-3</v>
      </c>
      <c r="AV2" s="190">
        <v>30312</v>
      </c>
      <c r="AW2" s="190">
        <v>0</v>
      </c>
      <c r="AX2" s="190">
        <v>30312</v>
      </c>
      <c r="AY2" s="190">
        <v>3</v>
      </c>
      <c r="AZ2" s="190">
        <v>26415</v>
      </c>
      <c r="BA2" s="190">
        <v>4004</v>
      </c>
      <c r="BB2" s="190">
        <v>100</v>
      </c>
      <c r="BC2" s="190"/>
      <c r="BD2" s="190">
        <v>0</v>
      </c>
      <c r="BE2" s="190">
        <v>0</v>
      </c>
      <c r="BF2" s="190">
        <v>26314</v>
      </c>
      <c r="BG2" s="190">
        <v>30312</v>
      </c>
      <c r="BH2" s="190">
        <v>26412</v>
      </c>
      <c r="BI2" s="190">
        <v>7000</v>
      </c>
      <c r="BJ2" s="190">
        <v>0</v>
      </c>
      <c r="BK2" s="190"/>
      <c r="BL2" s="190" t="s">
        <v>306</v>
      </c>
      <c r="BM2" s="190">
        <v>7000</v>
      </c>
      <c r="BN2" s="190">
        <v>-999999</v>
      </c>
      <c r="BO2" s="190">
        <v>33089</v>
      </c>
      <c r="BP2" s="190">
        <v>33089</v>
      </c>
      <c r="BQ2" s="190">
        <v>47</v>
      </c>
      <c r="BR2" s="190">
        <v>32720</v>
      </c>
      <c r="BS2" s="190">
        <v>0</v>
      </c>
      <c r="BT2" s="190">
        <v>100</v>
      </c>
      <c r="BU2" s="190">
        <v>1</v>
      </c>
      <c r="BV2" s="190">
        <v>369</v>
      </c>
      <c r="BW2" s="190">
        <v>33089</v>
      </c>
      <c r="BX2" s="190">
        <v>32677</v>
      </c>
      <c r="BY2" s="190">
        <v>39573</v>
      </c>
      <c r="BZ2" s="190">
        <v>32673</v>
      </c>
      <c r="CA2" s="190">
        <v>6000</v>
      </c>
      <c r="CB2" s="190">
        <v>0</v>
      </c>
      <c r="CC2" s="190"/>
      <c r="CD2" s="190">
        <v>6000</v>
      </c>
      <c r="CE2" s="190">
        <v>-12</v>
      </c>
      <c r="CF2" s="190">
        <v>43312</v>
      </c>
      <c r="CG2" s="190">
        <v>0</v>
      </c>
      <c r="CH2" s="190">
        <v>43312</v>
      </c>
      <c r="CI2" s="190">
        <v>12</v>
      </c>
      <c r="CJ2" s="190">
        <v>37424</v>
      </c>
      <c r="CK2" s="190">
        <v>0</v>
      </c>
      <c r="CL2" s="190">
        <v>100</v>
      </c>
      <c r="CM2" s="190"/>
      <c r="CN2" s="190">
        <v>0</v>
      </c>
      <c r="CO2" s="190">
        <v>0</v>
      </c>
      <c r="CP2" s="190">
        <v>37312</v>
      </c>
      <c r="CQ2" s="190">
        <v>43312</v>
      </c>
      <c r="CR2" s="190">
        <v>37412</v>
      </c>
      <c r="CS2" s="190">
        <v>15</v>
      </c>
      <c r="CT2" s="190">
        <v>4</v>
      </c>
      <c r="CU2" s="190">
        <v>0</v>
      </c>
      <c r="CV2" s="190">
        <v>9</v>
      </c>
      <c r="CW2" s="190">
        <v>10</v>
      </c>
      <c r="CX2" s="190">
        <v>1</v>
      </c>
      <c r="CY2" s="190">
        <v>2</v>
      </c>
      <c r="CZ2" s="190">
        <v>3</v>
      </c>
      <c r="DA2" s="190">
        <v>4</v>
      </c>
      <c r="DB2" s="190">
        <v>5</v>
      </c>
      <c r="DC2" s="190">
        <v>6</v>
      </c>
      <c r="DD2" s="190">
        <v>7</v>
      </c>
      <c r="DE2" s="190">
        <v>8</v>
      </c>
      <c r="DF2" s="190" t="s">
        <v>403</v>
      </c>
      <c r="DG2" s="190" t="s">
        <v>308</v>
      </c>
      <c r="DH2" s="190" t="s">
        <v>18</v>
      </c>
      <c r="DI2" s="190">
        <v>0</v>
      </c>
      <c r="DJ2" s="190">
        <v>0</v>
      </c>
      <c r="DK2" s="190">
        <v>30419</v>
      </c>
      <c r="DL2" s="190">
        <v>7</v>
      </c>
      <c r="DM2" s="190">
        <v>30419</v>
      </c>
      <c r="DN2" s="190">
        <v>50</v>
      </c>
      <c r="DO2" s="190">
        <v>7000</v>
      </c>
      <c r="DP2" s="190">
        <v>0</v>
      </c>
      <c r="DQ2" s="190"/>
      <c r="DR2" s="190">
        <v>7000</v>
      </c>
      <c r="DS2" s="190">
        <v>-2725</v>
      </c>
      <c r="DT2" s="190">
        <v>37312</v>
      </c>
      <c r="DU2" s="190">
        <v>0</v>
      </c>
      <c r="DV2" s="190">
        <v>37312</v>
      </c>
      <c r="DW2" s="190">
        <v>2725</v>
      </c>
      <c r="DX2" s="190">
        <v>33137</v>
      </c>
      <c r="DY2" s="190">
        <v>4287</v>
      </c>
      <c r="DZ2" s="190">
        <v>100</v>
      </c>
      <c r="EA2" s="190"/>
      <c r="EB2" s="190">
        <v>0</v>
      </c>
      <c r="EC2" s="190">
        <v>0</v>
      </c>
      <c r="ED2" s="190">
        <v>33092</v>
      </c>
      <c r="EE2" s="190">
        <v>37312</v>
      </c>
      <c r="EF2" s="190">
        <v>30412</v>
      </c>
      <c r="EG2" s="190">
        <v>1</v>
      </c>
    </row>
    <row r="3" spans="1:137" x14ac:dyDescent="0.2">
      <c r="A3" s="190" t="s">
        <v>311</v>
      </c>
      <c r="B3" s="263" t="s">
        <v>426</v>
      </c>
      <c r="C3" s="190">
        <v>1</v>
      </c>
      <c r="D3" s="190" t="s">
        <v>421</v>
      </c>
      <c r="E3" s="190" t="s">
        <v>422</v>
      </c>
      <c r="F3" s="190">
        <v>59.954999999999998</v>
      </c>
      <c r="G3" s="190" t="s">
        <v>312</v>
      </c>
      <c r="H3" s="190">
        <v>1</v>
      </c>
      <c r="I3" s="190">
        <v>6000</v>
      </c>
      <c r="J3" s="190">
        <v>-32</v>
      </c>
      <c r="K3" s="190">
        <v>0</v>
      </c>
      <c r="L3" s="190">
        <v>26312</v>
      </c>
      <c r="M3" s="190">
        <v>32</v>
      </c>
      <c r="N3" s="190">
        <v>20444</v>
      </c>
      <c r="O3" s="190">
        <v>5971</v>
      </c>
      <c r="P3" s="190"/>
      <c r="Q3" s="190">
        <v>0</v>
      </c>
      <c r="R3" s="190">
        <v>0</v>
      </c>
      <c r="S3" s="190">
        <v>2080927215</v>
      </c>
      <c r="T3" s="190" t="s">
        <v>303</v>
      </c>
      <c r="U3" s="190" t="s">
        <v>304</v>
      </c>
      <c r="V3" s="190" t="s">
        <v>304</v>
      </c>
      <c r="W3" s="190" t="s">
        <v>398</v>
      </c>
      <c r="X3" s="190" t="s">
        <v>423</v>
      </c>
      <c r="Y3" s="260">
        <v>0.39826388888888886</v>
      </c>
      <c r="Z3" s="190" t="s">
        <v>305</v>
      </c>
      <c r="AA3" s="190" t="s">
        <v>306</v>
      </c>
      <c r="AB3" s="190">
        <v>-1</v>
      </c>
      <c r="AC3" s="190">
        <v>-999999</v>
      </c>
      <c r="AD3" s="190">
        <v>20412</v>
      </c>
      <c r="AE3" s="190">
        <v>24</v>
      </c>
      <c r="AF3" s="190">
        <v>7735</v>
      </c>
      <c r="AG3" s="190">
        <v>0</v>
      </c>
      <c r="AH3" s="190">
        <v>5</v>
      </c>
      <c r="AI3" s="190">
        <v>12677</v>
      </c>
      <c r="AJ3" s="190">
        <v>20412</v>
      </c>
      <c r="AK3" s="190">
        <v>2</v>
      </c>
      <c r="AL3" s="190">
        <v>2</v>
      </c>
      <c r="AM3" s="190">
        <v>1</v>
      </c>
      <c r="AN3" s="190">
        <v>2</v>
      </c>
      <c r="AO3" s="190">
        <v>5</v>
      </c>
      <c r="AP3" s="190" t="s">
        <v>307</v>
      </c>
      <c r="AQ3" s="190">
        <v>4000</v>
      </c>
      <c r="AR3" s="190">
        <v>0</v>
      </c>
      <c r="AS3" s="190"/>
      <c r="AT3" s="190">
        <v>4000</v>
      </c>
      <c r="AU3" s="190">
        <v>0</v>
      </c>
      <c r="AV3" s="190">
        <v>47312</v>
      </c>
      <c r="AW3" s="190">
        <v>0</v>
      </c>
      <c r="AX3" s="190">
        <v>47312</v>
      </c>
      <c r="AY3" s="190">
        <v>0</v>
      </c>
      <c r="AZ3" s="190">
        <v>43412</v>
      </c>
      <c r="BA3" s="190">
        <v>4003</v>
      </c>
      <c r="BB3" s="190">
        <v>100</v>
      </c>
      <c r="BC3" s="190"/>
      <c r="BD3" s="190">
        <v>0</v>
      </c>
      <c r="BE3" s="190">
        <v>0</v>
      </c>
      <c r="BF3" s="190">
        <v>43317</v>
      </c>
      <c r="BG3" s="190">
        <v>47312</v>
      </c>
      <c r="BH3" s="190">
        <v>43412</v>
      </c>
      <c r="BI3" s="190">
        <v>7000</v>
      </c>
      <c r="BJ3" s="190">
        <v>0</v>
      </c>
      <c r="BK3" s="190"/>
      <c r="BL3" s="190" t="s">
        <v>306</v>
      </c>
      <c r="BM3" s="190">
        <v>7000</v>
      </c>
      <c r="BN3" s="190">
        <v>-999999</v>
      </c>
      <c r="BO3" s="190">
        <v>48520</v>
      </c>
      <c r="BP3" s="190">
        <v>48520</v>
      </c>
      <c r="BQ3" s="190">
        <v>55</v>
      </c>
      <c r="BR3" s="190">
        <v>48015</v>
      </c>
      <c r="BS3" s="190">
        <v>0</v>
      </c>
      <c r="BT3" s="190">
        <v>100</v>
      </c>
      <c r="BU3" s="190">
        <v>1</v>
      </c>
      <c r="BV3" s="190">
        <v>505</v>
      </c>
      <c r="BW3" s="190">
        <v>48520</v>
      </c>
      <c r="BX3" s="190">
        <v>47965</v>
      </c>
      <c r="BY3" s="190">
        <v>54860</v>
      </c>
      <c r="BZ3" s="190">
        <v>47960</v>
      </c>
      <c r="CA3" s="190">
        <v>12000</v>
      </c>
      <c r="CB3" s="190">
        <v>0</v>
      </c>
      <c r="CC3" s="190"/>
      <c r="CD3" s="190">
        <v>12000</v>
      </c>
      <c r="CE3" s="190">
        <v>-8</v>
      </c>
      <c r="CF3" s="190">
        <v>66312</v>
      </c>
      <c r="CG3" s="190">
        <v>0</v>
      </c>
      <c r="CH3" s="190">
        <v>66312</v>
      </c>
      <c r="CI3" s="190">
        <v>8</v>
      </c>
      <c r="CJ3" s="190">
        <v>54420</v>
      </c>
      <c r="CK3" s="190">
        <v>0</v>
      </c>
      <c r="CL3" s="190">
        <v>100</v>
      </c>
      <c r="CM3" s="190"/>
      <c r="CN3" s="190">
        <v>0</v>
      </c>
      <c r="CO3" s="190">
        <v>0</v>
      </c>
      <c r="CP3" s="190">
        <v>54312</v>
      </c>
      <c r="CQ3" s="190">
        <v>66312</v>
      </c>
      <c r="CR3" s="190">
        <v>54412</v>
      </c>
      <c r="CS3" s="190">
        <v>15</v>
      </c>
      <c r="CT3" s="190">
        <v>4</v>
      </c>
      <c r="CU3" s="190">
        <v>0</v>
      </c>
      <c r="CV3" s="190">
        <v>9</v>
      </c>
      <c r="CW3" s="190">
        <v>10</v>
      </c>
      <c r="CX3" s="190">
        <v>1</v>
      </c>
      <c r="CY3" s="190">
        <v>2</v>
      </c>
      <c r="CZ3" s="190">
        <v>3</v>
      </c>
      <c r="DA3" s="190">
        <v>4</v>
      </c>
      <c r="DB3" s="190">
        <v>5</v>
      </c>
      <c r="DC3" s="190">
        <v>6</v>
      </c>
      <c r="DD3" s="190">
        <v>7</v>
      </c>
      <c r="DE3" s="190">
        <v>8</v>
      </c>
      <c r="DF3" s="190" t="s">
        <v>415</v>
      </c>
      <c r="DG3" s="190" t="s">
        <v>308</v>
      </c>
      <c r="DH3" s="190" t="s">
        <v>18</v>
      </c>
      <c r="DI3" s="190">
        <v>0</v>
      </c>
      <c r="DJ3" s="190">
        <v>0</v>
      </c>
      <c r="DK3" s="190">
        <v>47415</v>
      </c>
      <c r="DL3" s="190">
        <v>3</v>
      </c>
      <c r="DM3" s="190">
        <v>47415</v>
      </c>
      <c r="DN3" s="190">
        <v>50</v>
      </c>
      <c r="DO3" s="190">
        <v>7000</v>
      </c>
      <c r="DP3" s="190">
        <v>0</v>
      </c>
      <c r="DQ3" s="190"/>
      <c r="DR3" s="190">
        <v>7000</v>
      </c>
      <c r="DS3" s="190">
        <v>-1154</v>
      </c>
      <c r="DT3" s="190">
        <v>54312</v>
      </c>
      <c r="DU3" s="190">
        <v>0</v>
      </c>
      <c r="DV3" s="190">
        <v>54312</v>
      </c>
      <c r="DW3" s="190">
        <v>1154</v>
      </c>
      <c r="DX3" s="190">
        <v>48566</v>
      </c>
      <c r="DY3" s="190">
        <v>5854</v>
      </c>
      <c r="DZ3" s="190">
        <v>100</v>
      </c>
      <c r="EA3" s="190"/>
      <c r="EB3" s="190">
        <v>0</v>
      </c>
      <c r="EC3" s="190">
        <v>0</v>
      </c>
      <c r="ED3" s="190">
        <v>48522</v>
      </c>
      <c r="EE3" s="190">
        <v>54312</v>
      </c>
      <c r="EF3" s="190">
        <v>47412</v>
      </c>
      <c r="EG3" s="190">
        <v>2</v>
      </c>
    </row>
    <row r="4" spans="1:137" x14ac:dyDescent="0.2">
      <c r="A4" s="190" t="s">
        <v>311</v>
      </c>
      <c r="B4" s="263" t="s">
        <v>426</v>
      </c>
      <c r="C4" s="190">
        <v>1</v>
      </c>
      <c r="D4" s="190" t="s">
        <v>421</v>
      </c>
      <c r="E4" s="190" t="s">
        <v>422</v>
      </c>
      <c r="F4" s="190">
        <v>59.954999999999998</v>
      </c>
      <c r="G4" s="190" t="s">
        <v>312</v>
      </c>
      <c r="H4" s="190">
        <v>1</v>
      </c>
      <c r="I4" s="190">
        <v>6000</v>
      </c>
      <c r="J4" s="190">
        <v>-32</v>
      </c>
      <c r="K4" s="190">
        <v>0</v>
      </c>
      <c r="L4" s="190">
        <v>26312</v>
      </c>
      <c r="M4" s="190">
        <v>32</v>
      </c>
      <c r="N4" s="190">
        <v>20444</v>
      </c>
      <c r="O4" s="190">
        <v>5971</v>
      </c>
      <c r="P4" s="190"/>
      <c r="Q4" s="190">
        <v>0</v>
      </c>
      <c r="R4" s="190">
        <v>0</v>
      </c>
      <c r="S4" s="190">
        <v>2080927215</v>
      </c>
      <c r="T4" s="190" t="s">
        <v>303</v>
      </c>
      <c r="U4" s="190" t="s">
        <v>304</v>
      </c>
      <c r="V4" s="190" t="s">
        <v>304</v>
      </c>
      <c r="W4" s="190" t="s">
        <v>398</v>
      </c>
      <c r="X4" s="190" t="s">
        <v>423</v>
      </c>
      <c r="Y4" s="260">
        <v>0.39826388888888886</v>
      </c>
      <c r="Z4" s="190" t="s">
        <v>305</v>
      </c>
      <c r="AA4" s="190" t="s">
        <v>306</v>
      </c>
      <c r="AB4" s="190">
        <v>-1</v>
      </c>
      <c r="AC4" s="190">
        <v>-999999</v>
      </c>
      <c r="AD4" s="190">
        <v>20412</v>
      </c>
      <c r="AE4" s="190">
        <v>24</v>
      </c>
      <c r="AF4" s="190">
        <v>7735</v>
      </c>
      <c r="AG4" s="190">
        <v>0</v>
      </c>
      <c r="AH4" s="190">
        <v>5</v>
      </c>
      <c r="AI4" s="190">
        <v>12677</v>
      </c>
      <c r="AJ4" s="190">
        <v>20412</v>
      </c>
      <c r="AK4" s="190">
        <v>3</v>
      </c>
      <c r="AL4" s="190">
        <v>3</v>
      </c>
      <c r="AM4" s="190">
        <v>1</v>
      </c>
      <c r="AN4" s="190">
        <v>3</v>
      </c>
      <c r="AO4" s="190">
        <v>0</v>
      </c>
      <c r="AP4" s="190" t="s">
        <v>307</v>
      </c>
      <c r="AQ4" s="190">
        <v>4000</v>
      </c>
      <c r="AR4" s="190">
        <v>0</v>
      </c>
      <c r="AS4" s="190"/>
      <c r="AT4" s="190">
        <v>4000</v>
      </c>
      <c r="AU4" s="190">
        <v>0</v>
      </c>
      <c r="AV4" s="190">
        <v>70312</v>
      </c>
      <c r="AW4" s="190">
        <v>0</v>
      </c>
      <c r="AX4" s="190">
        <v>70312</v>
      </c>
      <c r="AY4" s="190">
        <v>0</v>
      </c>
      <c r="AZ4" s="190">
        <v>66412</v>
      </c>
      <c r="BA4" s="190">
        <v>4003</v>
      </c>
      <c r="BB4" s="190">
        <v>100</v>
      </c>
      <c r="BC4" s="190"/>
      <c r="BD4" s="190">
        <v>0</v>
      </c>
      <c r="BE4" s="190">
        <v>0</v>
      </c>
      <c r="BF4" s="190">
        <v>66317</v>
      </c>
      <c r="BG4" s="190">
        <v>70312</v>
      </c>
      <c r="BH4" s="190">
        <v>66412</v>
      </c>
      <c r="BI4" s="190">
        <v>7000</v>
      </c>
      <c r="BJ4" s="190">
        <v>0</v>
      </c>
      <c r="BK4" s="190"/>
      <c r="BL4" s="190" t="s">
        <v>306</v>
      </c>
      <c r="BM4" s="190">
        <v>7000</v>
      </c>
      <c r="BN4" s="190">
        <v>-999999</v>
      </c>
      <c r="BO4" s="190">
        <v>72638</v>
      </c>
      <c r="BP4" s="190">
        <v>72638</v>
      </c>
      <c r="BQ4" s="190">
        <v>55</v>
      </c>
      <c r="BR4" s="190">
        <v>72317</v>
      </c>
      <c r="BS4" s="190">
        <v>0</v>
      </c>
      <c r="BT4" s="190">
        <v>100</v>
      </c>
      <c r="BU4" s="190">
        <v>1</v>
      </c>
      <c r="BV4" s="190">
        <v>321</v>
      </c>
      <c r="BW4" s="190">
        <v>72638</v>
      </c>
      <c r="BX4" s="190">
        <v>72267</v>
      </c>
      <c r="BY4" s="190">
        <v>79162</v>
      </c>
      <c r="BZ4" s="190">
        <v>72262</v>
      </c>
      <c r="CA4" s="190">
        <v>8000</v>
      </c>
      <c r="CB4" s="190">
        <v>0</v>
      </c>
      <c r="CC4" s="190"/>
      <c r="CD4" s="190">
        <v>8000</v>
      </c>
      <c r="CE4" s="190">
        <v>-9</v>
      </c>
      <c r="CF4" s="190">
        <v>85312</v>
      </c>
      <c r="CG4" s="190">
        <v>0</v>
      </c>
      <c r="CH4" s="190">
        <v>85312</v>
      </c>
      <c r="CI4" s="190">
        <v>9</v>
      </c>
      <c r="CJ4" s="190">
        <v>77421</v>
      </c>
      <c r="CK4" s="190">
        <v>0</v>
      </c>
      <c r="CL4" s="190">
        <v>100</v>
      </c>
      <c r="CM4" s="190"/>
      <c r="CN4" s="190">
        <v>0</v>
      </c>
      <c r="CO4" s="190">
        <v>0</v>
      </c>
      <c r="CP4" s="190">
        <v>77312</v>
      </c>
      <c r="CQ4" s="190">
        <v>85312</v>
      </c>
      <c r="CR4" s="190">
        <v>77412</v>
      </c>
      <c r="CS4" s="190">
        <v>15</v>
      </c>
      <c r="CT4" s="190">
        <v>4</v>
      </c>
      <c r="CU4" s="190">
        <v>0</v>
      </c>
      <c r="CV4" s="190">
        <v>9</v>
      </c>
      <c r="CW4" s="190">
        <v>10</v>
      </c>
      <c r="CX4" s="190">
        <v>1</v>
      </c>
      <c r="CY4" s="190">
        <v>2</v>
      </c>
      <c r="CZ4" s="190">
        <v>3</v>
      </c>
      <c r="DA4" s="190">
        <v>4</v>
      </c>
      <c r="DB4" s="190">
        <v>5</v>
      </c>
      <c r="DC4" s="190">
        <v>6</v>
      </c>
      <c r="DD4" s="190">
        <v>7</v>
      </c>
      <c r="DE4" s="190">
        <v>8</v>
      </c>
      <c r="DF4" s="190" t="s">
        <v>414</v>
      </c>
      <c r="DG4" s="190" t="s">
        <v>308</v>
      </c>
      <c r="DH4" s="190" t="s">
        <v>18</v>
      </c>
      <c r="DI4" s="190">
        <v>0</v>
      </c>
      <c r="DJ4" s="190">
        <v>1</v>
      </c>
      <c r="DK4" s="190">
        <v>70416</v>
      </c>
      <c r="DL4" s="190">
        <v>3</v>
      </c>
      <c r="DM4" s="190">
        <v>70415</v>
      </c>
      <c r="DN4" s="190">
        <v>50</v>
      </c>
      <c r="DO4" s="190">
        <v>7000</v>
      </c>
      <c r="DP4" s="190">
        <v>0</v>
      </c>
      <c r="DQ4" s="190"/>
      <c r="DR4" s="190">
        <v>7000</v>
      </c>
      <c r="DS4" s="190">
        <v>-2272</v>
      </c>
      <c r="DT4" s="190">
        <v>77312</v>
      </c>
      <c r="DU4" s="190">
        <v>0</v>
      </c>
      <c r="DV4" s="190">
        <v>77312</v>
      </c>
      <c r="DW4" s="190">
        <v>2272</v>
      </c>
      <c r="DX4" s="190">
        <v>72684</v>
      </c>
      <c r="DY4" s="190">
        <v>4737</v>
      </c>
      <c r="DZ4" s="190">
        <v>100</v>
      </c>
      <c r="EA4" s="190"/>
      <c r="EB4" s="190">
        <v>0</v>
      </c>
      <c r="EC4" s="190">
        <v>0</v>
      </c>
      <c r="ED4" s="190">
        <v>72641</v>
      </c>
      <c r="EE4" s="190">
        <v>77312</v>
      </c>
      <c r="EF4" s="190">
        <v>70412</v>
      </c>
      <c r="EG4" s="190">
        <v>3</v>
      </c>
    </row>
    <row r="5" spans="1:137" x14ac:dyDescent="0.2">
      <c r="A5" s="190" t="s">
        <v>311</v>
      </c>
      <c r="B5" s="263" t="s">
        <v>426</v>
      </c>
      <c r="C5" s="190">
        <v>1</v>
      </c>
      <c r="D5" s="190" t="s">
        <v>421</v>
      </c>
      <c r="E5" s="190" t="s">
        <v>422</v>
      </c>
      <c r="F5" s="190">
        <v>59.954999999999998</v>
      </c>
      <c r="G5" s="190" t="s">
        <v>312</v>
      </c>
      <c r="H5" s="190">
        <v>1</v>
      </c>
      <c r="I5" s="190">
        <v>6000</v>
      </c>
      <c r="J5" s="190">
        <v>-32</v>
      </c>
      <c r="K5" s="190">
        <v>0</v>
      </c>
      <c r="L5" s="190">
        <v>26312</v>
      </c>
      <c r="M5" s="190">
        <v>32</v>
      </c>
      <c r="N5" s="190">
        <v>20444</v>
      </c>
      <c r="O5" s="190">
        <v>5971</v>
      </c>
      <c r="P5" s="190"/>
      <c r="Q5" s="190">
        <v>0</v>
      </c>
      <c r="R5" s="190">
        <v>0</v>
      </c>
      <c r="S5" s="190">
        <v>2080927215</v>
      </c>
      <c r="T5" s="190" t="s">
        <v>303</v>
      </c>
      <c r="U5" s="190" t="s">
        <v>304</v>
      </c>
      <c r="V5" s="190" t="s">
        <v>304</v>
      </c>
      <c r="W5" s="190" t="s">
        <v>398</v>
      </c>
      <c r="X5" s="190" t="s">
        <v>423</v>
      </c>
      <c r="Y5" s="260">
        <v>0.39826388888888886</v>
      </c>
      <c r="Z5" s="190" t="s">
        <v>305</v>
      </c>
      <c r="AA5" s="190" t="s">
        <v>306</v>
      </c>
      <c r="AB5" s="190">
        <v>-1</v>
      </c>
      <c r="AC5" s="190">
        <v>-999999</v>
      </c>
      <c r="AD5" s="190">
        <v>20412</v>
      </c>
      <c r="AE5" s="190">
        <v>24</v>
      </c>
      <c r="AF5" s="190">
        <v>7735</v>
      </c>
      <c r="AG5" s="190">
        <v>0</v>
      </c>
      <c r="AH5" s="190">
        <v>5</v>
      </c>
      <c r="AI5" s="190">
        <v>12677</v>
      </c>
      <c r="AJ5" s="190">
        <v>20412</v>
      </c>
      <c r="AK5" s="190">
        <v>4</v>
      </c>
      <c r="AL5" s="190">
        <v>4</v>
      </c>
      <c r="AM5" s="190">
        <v>1</v>
      </c>
      <c r="AN5" s="190">
        <v>4</v>
      </c>
      <c r="AO5" s="190">
        <v>8</v>
      </c>
      <c r="AP5" s="190" t="s">
        <v>307</v>
      </c>
      <c r="AQ5" s="190">
        <v>4000</v>
      </c>
      <c r="AR5" s="190">
        <v>0</v>
      </c>
      <c r="AS5" s="190"/>
      <c r="AT5" s="190">
        <v>4000</v>
      </c>
      <c r="AU5" s="190">
        <v>-15</v>
      </c>
      <c r="AV5" s="190">
        <v>89312</v>
      </c>
      <c r="AW5" s="190">
        <v>0</v>
      </c>
      <c r="AX5" s="190">
        <v>89312</v>
      </c>
      <c r="AY5" s="190">
        <v>15</v>
      </c>
      <c r="AZ5" s="190">
        <v>85427</v>
      </c>
      <c r="BA5" s="190">
        <v>3986</v>
      </c>
      <c r="BB5" s="190">
        <v>100</v>
      </c>
      <c r="BC5" s="190"/>
      <c r="BD5" s="190">
        <v>0</v>
      </c>
      <c r="BE5" s="190">
        <v>0</v>
      </c>
      <c r="BF5" s="190">
        <v>85317</v>
      </c>
      <c r="BG5" s="190">
        <v>89312</v>
      </c>
      <c r="BH5" s="190">
        <v>85412</v>
      </c>
      <c r="BI5" s="190">
        <v>7000</v>
      </c>
      <c r="BJ5" s="190">
        <v>0</v>
      </c>
      <c r="BK5" s="190"/>
      <c r="BL5" s="190" t="s">
        <v>306</v>
      </c>
      <c r="BM5" s="190">
        <v>7000</v>
      </c>
      <c r="BN5" s="190">
        <v>-999999</v>
      </c>
      <c r="BO5" s="190">
        <v>91325</v>
      </c>
      <c r="BP5" s="190">
        <v>91325</v>
      </c>
      <c r="BQ5" s="190">
        <v>53</v>
      </c>
      <c r="BR5" s="190">
        <v>90898</v>
      </c>
      <c r="BS5" s="190">
        <v>0</v>
      </c>
      <c r="BT5" s="190">
        <v>100</v>
      </c>
      <c r="BU5" s="190">
        <v>1</v>
      </c>
      <c r="BV5" s="190">
        <v>426</v>
      </c>
      <c r="BW5" s="190">
        <v>91324</v>
      </c>
      <c r="BX5" s="190">
        <v>90849</v>
      </c>
      <c r="BY5" s="190">
        <v>97745</v>
      </c>
      <c r="BZ5" s="190">
        <v>90845</v>
      </c>
      <c r="CA5" s="190">
        <v>4000</v>
      </c>
      <c r="CB5" s="190">
        <v>0</v>
      </c>
      <c r="CC5" s="190"/>
      <c r="CD5" s="190">
        <v>4000</v>
      </c>
      <c r="CE5" s="190">
        <v>-6</v>
      </c>
      <c r="CF5" s="190">
        <v>100312</v>
      </c>
      <c r="CG5" s="190">
        <v>0</v>
      </c>
      <c r="CH5" s="190">
        <v>100312</v>
      </c>
      <c r="CI5" s="190">
        <v>6</v>
      </c>
      <c r="CJ5" s="190">
        <v>96418</v>
      </c>
      <c r="CK5" s="190">
        <v>0</v>
      </c>
      <c r="CL5" s="190">
        <v>100</v>
      </c>
      <c r="CM5" s="190"/>
      <c r="CN5" s="190">
        <v>0</v>
      </c>
      <c r="CO5" s="190">
        <v>0</v>
      </c>
      <c r="CP5" s="190">
        <v>96312</v>
      </c>
      <c r="CQ5" s="190">
        <v>100312</v>
      </c>
      <c r="CR5" s="190">
        <v>96412</v>
      </c>
      <c r="CS5" s="190">
        <v>15</v>
      </c>
      <c r="CT5" s="190">
        <v>4</v>
      </c>
      <c r="CU5" s="190">
        <v>0</v>
      </c>
      <c r="CV5" s="190">
        <v>9</v>
      </c>
      <c r="CW5" s="190">
        <v>10</v>
      </c>
      <c r="CX5" s="190">
        <v>1</v>
      </c>
      <c r="CY5" s="190">
        <v>2</v>
      </c>
      <c r="CZ5" s="190">
        <v>3</v>
      </c>
      <c r="DA5" s="190">
        <v>4</v>
      </c>
      <c r="DB5" s="190">
        <v>5</v>
      </c>
      <c r="DC5" s="190">
        <v>6</v>
      </c>
      <c r="DD5" s="190">
        <v>7</v>
      </c>
      <c r="DE5" s="190">
        <v>8</v>
      </c>
      <c r="DF5" s="190" t="s">
        <v>410</v>
      </c>
      <c r="DG5" s="190" t="s">
        <v>308</v>
      </c>
      <c r="DH5" s="190" t="s">
        <v>18</v>
      </c>
      <c r="DI5" s="190">
        <v>0</v>
      </c>
      <c r="DJ5" s="190">
        <v>0</v>
      </c>
      <c r="DK5" s="190">
        <v>89413</v>
      </c>
      <c r="DL5" s="190">
        <v>1</v>
      </c>
      <c r="DM5" s="190">
        <v>89413</v>
      </c>
      <c r="DN5" s="190">
        <v>50</v>
      </c>
      <c r="DO5" s="190">
        <v>7000</v>
      </c>
      <c r="DP5" s="190">
        <v>0</v>
      </c>
      <c r="DQ5" s="190"/>
      <c r="DR5" s="190">
        <v>7000</v>
      </c>
      <c r="DS5" s="190">
        <v>-1969</v>
      </c>
      <c r="DT5" s="190">
        <v>96312</v>
      </c>
      <c r="DU5" s="190">
        <v>0</v>
      </c>
      <c r="DV5" s="190">
        <v>96312</v>
      </c>
      <c r="DW5" s="190">
        <v>1969</v>
      </c>
      <c r="DX5" s="190">
        <v>91381</v>
      </c>
      <c r="DY5" s="190">
        <v>5037</v>
      </c>
      <c r="DZ5" s="190">
        <v>100</v>
      </c>
      <c r="EA5" s="190"/>
      <c r="EB5" s="190">
        <v>0</v>
      </c>
      <c r="EC5" s="190">
        <v>0</v>
      </c>
      <c r="ED5" s="190">
        <v>91327</v>
      </c>
      <c r="EE5" s="190">
        <v>96312</v>
      </c>
      <c r="EF5" s="190">
        <v>89412</v>
      </c>
      <c r="EG5" s="190">
        <v>4</v>
      </c>
    </row>
    <row r="6" spans="1:137" x14ac:dyDescent="0.2">
      <c r="A6" s="190" t="s">
        <v>311</v>
      </c>
      <c r="B6" s="263" t="s">
        <v>426</v>
      </c>
      <c r="C6" s="190">
        <v>1</v>
      </c>
      <c r="D6" s="190" t="s">
        <v>421</v>
      </c>
      <c r="E6" s="190" t="s">
        <v>422</v>
      </c>
      <c r="F6" s="190">
        <v>59.954999999999998</v>
      </c>
      <c r="G6" s="190" t="s">
        <v>312</v>
      </c>
      <c r="H6" s="190">
        <v>1</v>
      </c>
      <c r="I6" s="190">
        <v>6000</v>
      </c>
      <c r="J6" s="190">
        <v>-32</v>
      </c>
      <c r="K6" s="190">
        <v>0</v>
      </c>
      <c r="L6" s="190">
        <v>26312</v>
      </c>
      <c r="M6" s="190">
        <v>32</v>
      </c>
      <c r="N6" s="190">
        <v>20444</v>
      </c>
      <c r="O6" s="190">
        <v>5971</v>
      </c>
      <c r="P6" s="190"/>
      <c r="Q6" s="190">
        <v>0</v>
      </c>
      <c r="R6" s="190">
        <v>0</v>
      </c>
      <c r="S6" s="190">
        <v>2080927215</v>
      </c>
      <c r="T6" s="190" t="s">
        <v>303</v>
      </c>
      <c r="U6" s="190" t="s">
        <v>304</v>
      </c>
      <c r="V6" s="190" t="s">
        <v>304</v>
      </c>
      <c r="W6" s="190" t="s">
        <v>398</v>
      </c>
      <c r="X6" s="190" t="s">
        <v>423</v>
      </c>
      <c r="Y6" s="260">
        <v>0.39826388888888886</v>
      </c>
      <c r="Z6" s="190" t="s">
        <v>305</v>
      </c>
      <c r="AA6" s="190" t="s">
        <v>306</v>
      </c>
      <c r="AB6" s="190">
        <v>-1</v>
      </c>
      <c r="AC6" s="190">
        <v>-999999</v>
      </c>
      <c r="AD6" s="190">
        <v>20412</v>
      </c>
      <c r="AE6" s="190">
        <v>24</v>
      </c>
      <c r="AF6" s="190">
        <v>7735</v>
      </c>
      <c r="AG6" s="190">
        <v>0</v>
      </c>
      <c r="AH6" s="190">
        <v>5</v>
      </c>
      <c r="AI6" s="190">
        <v>12677</v>
      </c>
      <c r="AJ6" s="190">
        <v>20412</v>
      </c>
      <c r="AK6" s="190">
        <v>5</v>
      </c>
      <c r="AL6" s="190">
        <v>5</v>
      </c>
      <c r="AM6" s="190">
        <v>1</v>
      </c>
      <c r="AN6" s="190">
        <v>5</v>
      </c>
      <c r="AO6" s="190">
        <v>3</v>
      </c>
      <c r="AP6" s="190" t="s">
        <v>307</v>
      </c>
      <c r="AQ6" s="190">
        <v>4000</v>
      </c>
      <c r="AR6" s="190">
        <v>0</v>
      </c>
      <c r="AS6" s="190"/>
      <c r="AT6" s="190">
        <v>4000</v>
      </c>
      <c r="AU6" s="190">
        <v>-9</v>
      </c>
      <c r="AV6" s="190">
        <v>104312</v>
      </c>
      <c r="AW6" s="190">
        <v>0</v>
      </c>
      <c r="AX6" s="190">
        <v>104312</v>
      </c>
      <c r="AY6" s="190">
        <v>9</v>
      </c>
      <c r="AZ6" s="190">
        <v>100421</v>
      </c>
      <c r="BA6" s="190">
        <v>4003</v>
      </c>
      <c r="BB6" s="190">
        <v>100</v>
      </c>
      <c r="BC6" s="190"/>
      <c r="BD6" s="190">
        <v>0</v>
      </c>
      <c r="BE6" s="190">
        <v>0</v>
      </c>
      <c r="BF6" s="190">
        <v>100317</v>
      </c>
      <c r="BG6" s="190">
        <v>104312</v>
      </c>
      <c r="BH6" s="190">
        <v>100412</v>
      </c>
      <c r="BI6" s="190">
        <v>7000</v>
      </c>
      <c r="BJ6" s="190">
        <v>0</v>
      </c>
      <c r="BK6" s="190"/>
      <c r="BL6" s="190" t="s">
        <v>306</v>
      </c>
      <c r="BM6" s="190">
        <v>7000</v>
      </c>
      <c r="BN6" s="190">
        <v>-999999</v>
      </c>
      <c r="BO6" s="190">
        <v>106884</v>
      </c>
      <c r="BP6" s="190">
        <v>106883</v>
      </c>
      <c r="BQ6" s="190">
        <v>60</v>
      </c>
      <c r="BR6" s="190">
        <v>106559</v>
      </c>
      <c r="BS6" s="190">
        <v>0</v>
      </c>
      <c r="BT6" s="190">
        <v>100</v>
      </c>
      <c r="BU6" s="190">
        <v>1</v>
      </c>
      <c r="BV6" s="190">
        <v>324</v>
      </c>
      <c r="BW6" s="190">
        <v>106883</v>
      </c>
      <c r="BX6" s="190">
        <v>106503</v>
      </c>
      <c r="BY6" s="190">
        <v>113399</v>
      </c>
      <c r="BZ6" s="190">
        <v>106499</v>
      </c>
      <c r="CA6" s="190">
        <v>4000</v>
      </c>
      <c r="CB6" s="190">
        <v>0</v>
      </c>
      <c r="CC6" s="190"/>
      <c r="CD6" s="190">
        <v>4000</v>
      </c>
      <c r="CE6" s="190">
        <v>-1</v>
      </c>
      <c r="CF6" s="190">
        <v>115312</v>
      </c>
      <c r="CG6" s="190">
        <v>0</v>
      </c>
      <c r="CH6" s="190">
        <v>115312</v>
      </c>
      <c r="CI6" s="190">
        <v>1</v>
      </c>
      <c r="CJ6" s="190">
        <v>111413</v>
      </c>
      <c r="CK6" s="190">
        <v>0</v>
      </c>
      <c r="CL6" s="190">
        <v>100</v>
      </c>
      <c r="CM6" s="190"/>
      <c r="CN6" s="190">
        <v>0</v>
      </c>
      <c r="CO6" s="190">
        <v>0</v>
      </c>
      <c r="CP6" s="190">
        <v>111312</v>
      </c>
      <c r="CQ6" s="190">
        <v>115312</v>
      </c>
      <c r="CR6" s="190">
        <v>111412</v>
      </c>
      <c r="CS6" s="190">
        <v>15</v>
      </c>
      <c r="CT6" s="190">
        <v>4</v>
      </c>
      <c r="CU6" s="190">
        <v>0</v>
      </c>
      <c r="CV6" s="190">
        <v>9</v>
      </c>
      <c r="CW6" s="190">
        <v>10</v>
      </c>
      <c r="CX6" s="190">
        <v>1</v>
      </c>
      <c r="CY6" s="190">
        <v>2</v>
      </c>
      <c r="CZ6" s="190">
        <v>3</v>
      </c>
      <c r="DA6" s="190">
        <v>4</v>
      </c>
      <c r="DB6" s="190">
        <v>5</v>
      </c>
      <c r="DC6" s="190">
        <v>6</v>
      </c>
      <c r="DD6" s="190">
        <v>7</v>
      </c>
      <c r="DE6" s="190">
        <v>8</v>
      </c>
      <c r="DF6" s="190" t="s">
        <v>404</v>
      </c>
      <c r="DG6" s="190" t="s">
        <v>308</v>
      </c>
      <c r="DH6" s="190" t="s">
        <v>18</v>
      </c>
      <c r="DI6" s="190">
        <v>0</v>
      </c>
      <c r="DJ6" s="190">
        <v>0</v>
      </c>
      <c r="DK6" s="190">
        <v>104424</v>
      </c>
      <c r="DL6" s="190">
        <v>12</v>
      </c>
      <c r="DM6" s="190">
        <v>104424</v>
      </c>
      <c r="DN6" s="190">
        <v>50</v>
      </c>
      <c r="DO6" s="190">
        <v>7000</v>
      </c>
      <c r="DP6" s="190">
        <v>0</v>
      </c>
      <c r="DQ6" s="190"/>
      <c r="DR6" s="190">
        <v>7000</v>
      </c>
      <c r="DS6" s="190">
        <v>-2531</v>
      </c>
      <c r="DT6" s="190">
        <v>111312</v>
      </c>
      <c r="DU6" s="190">
        <v>0</v>
      </c>
      <c r="DV6" s="190">
        <v>111312</v>
      </c>
      <c r="DW6" s="190">
        <v>2531</v>
      </c>
      <c r="DX6" s="190">
        <v>106943</v>
      </c>
      <c r="DY6" s="190">
        <v>4470</v>
      </c>
      <c r="DZ6" s="190">
        <v>100</v>
      </c>
      <c r="EA6" s="190"/>
      <c r="EB6" s="190">
        <v>0</v>
      </c>
      <c r="EC6" s="190">
        <v>0</v>
      </c>
      <c r="ED6" s="190">
        <v>106886</v>
      </c>
      <c r="EE6" s="190">
        <v>111312</v>
      </c>
      <c r="EF6" s="190">
        <v>104412</v>
      </c>
      <c r="EG6" s="190">
        <v>5</v>
      </c>
    </row>
    <row r="7" spans="1:137" x14ac:dyDescent="0.2">
      <c r="A7" s="190" t="s">
        <v>311</v>
      </c>
      <c r="B7" s="263" t="s">
        <v>426</v>
      </c>
      <c r="C7" s="190">
        <v>1</v>
      </c>
      <c r="D7" s="190" t="s">
        <v>421</v>
      </c>
      <c r="E7" s="190" t="s">
        <v>422</v>
      </c>
      <c r="F7" s="190">
        <v>59.954999999999998</v>
      </c>
      <c r="G7" s="190" t="s">
        <v>312</v>
      </c>
      <c r="H7" s="190">
        <v>1</v>
      </c>
      <c r="I7" s="190">
        <v>6000</v>
      </c>
      <c r="J7" s="190">
        <v>-32</v>
      </c>
      <c r="K7" s="190">
        <v>0</v>
      </c>
      <c r="L7" s="190">
        <v>26312</v>
      </c>
      <c r="M7" s="190">
        <v>32</v>
      </c>
      <c r="N7" s="190">
        <v>20444</v>
      </c>
      <c r="O7" s="190">
        <v>5971</v>
      </c>
      <c r="P7" s="190"/>
      <c r="Q7" s="190">
        <v>0</v>
      </c>
      <c r="R7" s="190">
        <v>0</v>
      </c>
      <c r="S7" s="190">
        <v>2080927215</v>
      </c>
      <c r="T7" s="190" t="s">
        <v>303</v>
      </c>
      <c r="U7" s="190" t="s">
        <v>304</v>
      </c>
      <c r="V7" s="190" t="s">
        <v>304</v>
      </c>
      <c r="W7" s="190" t="s">
        <v>398</v>
      </c>
      <c r="X7" s="190" t="s">
        <v>423</v>
      </c>
      <c r="Y7" s="260">
        <v>0.39826388888888886</v>
      </c>
      <c r="Z7" s="190" t="s">
        <v>305</v>
      </c>
      <c r="AA7" s="190" t="s">
        <v>306</v>
      </c>
      <c r="AB7" s="190">
        <v>-1</v>
      </c>
      <c r="AC7" s="190">
        <v>-999999</v>
      </c>
      <c r="AD7" s="190">
        <v>20412</v>
      </c>
      <c r="AE7" s="190">
        <v>24</v>
      </c>
      <c r="AF7" s="190">
        <v>7735</v>
      </c>
      <c r="AG7" s="190">
        <v>0</v>
      </c>
      <c r="AH7" s="190">
        <v>5</v>
      </c>
      <c r="AI7" s="190">
        <v>12677</v>
      </c>
      <c r="AJ7" s="190">
        <v>20412</v>
      </c>
      <c r="AK7" s="190">
        <v>6</v>
      </c>
      <c r="AL7" s="190">
        <v>6</v>
      </c>
      <c r="AM7" s="190">
        <v>1</v>
      </c>
      <c r="AN7" s="190">
        <v>6</v>
      </c>
      <c r="AO7" s="190">
        <v>8</v>
      </c>
      <c r="AP7" s="190" t="s">
        <v>307</v>
      </c>
      <c r="AQ7" s="190">
        <v>4000</v>
      </c>
      <c r="AR7" s="190">
        <v>0</v>
      </c>
      <c r="AS7" s="190"/>
      <c r="AT7" s="190">
        <v>4000</v>
      </c>
      <c r="AU7" s="190">
        <v>-4</v>
      </c>
      <c r="AV7" s="190">
        <v>119312</v>
      </c>
      <c r="AW7" s="190">
        <v>0</v>
      </c>
      <c r="AX7" s="190">
        <v>119312</v>
      </c>
      <c r="AY7" s="190">
        <v>4</v>
      </c>
      <c r="AZ7" s="190">
        <v>115416</v>
      </c>
      <c r="BA7" s="190">
        <v>4003</v>
      </c>
      <c r="BB7" s="190">
        <v>100</v>
      </c>
      <c r="BC7" s="190"/>
      <c r="BD7" s="190">
        <v>0</v>
      </c>
      <c r="BE7" s="190">
        <v>0</v>
      </c>
      <c r="BF7" s="190">
        <v>115317</v>
      </c>
      <c r="BG7" s="190">
        <v>119312</v>
      </c>
      <c r="BH7" s="190">
        <v>115412</v>
      </c>
      <c r="BI7" s="190">
        <v>7000</v>
      </c>
      <c r="BJ7" s="190">
        <v>0</v>
      </c>
      <c r="BK7" s="190"/>
      <c r="BL7" s="190" t="s">
        <v>306</v>
      </c>
      <c r="BM7" s="190">
        <v>7000</v>
      </c>
      <c r="BN7" s="190">
        <v>-999999</v>
      </c>
      <c r="BO7" s="190">
        <v>121147</v>
      </c>
      <c r="BP7" s="190">
        <v>121146</v>
      </c>
      <c r="BQ7" s="190">
        <v>59</v>
      </c>
      <c r="BR7" s="190">
        <v>120853</v>
      </c>
      <c r="BS7" s="190">
        <v>0</v>
      </c>
      <c r="BT7" s="190">
        <v>100</v>
      </c>
      <c r="BU7" s="190">
        <v>1</v>
      </c>
      <c r="BV7" s="190">
        <v>293</v>
      </c>
      <c r="BW7" s="190">
        <v>121146</v>
      </c>
      <c r="BX7" s="190">
        <v>120798</v>
      </c>
      <c r="BY7" s="190">
        <v>127694</v>
      </c>
      <c r="BZ7" s="190">
        <v>120794</v>
      </c>
      <c r="CA7" s="190">
        <v>2000</v>
      </c>
      <c r="CB7" s="190">
        <v>0</v>
      </c>
      <c r="CC7" s="190"/>
      <c r="CD7" s="190">
        <v>2000</v>
      </c>
      <c r="CE7" s="190">
        <v>-12</v>
      </c>
      <c r="CF7" s="190">
        <v>128312</v>
      </c>
      <c r="CG7" s="190">
        <v>0</v>
      </c>
      <c r="CH7" s="190">
        <v>128312</v>
      </c>
      <c r="CI7" s="190">
        <v>12</v>
      </c>
      <c r="CJ7" s="190">
        <v>126424</v>
      </c>
      <c r="CK7" s="190">
        <v>0</v>
      </c>
      <c r="CL7" s="190">
        <v>100</v>
      </c>
      <c r="CM7" s="190"/>
      <c r="CN7" s="190">
        <v>0</v>
      </c>
      <c r="CO7" s="190">
        <v>0</v>
      </c>
      <c r="CP7" s="190">
        <v>126312</v>
      </c>
      <c r="CQ7" s="190">
        <v>128312</v>
      </c>
      <c r="CR7" s="190">
        <v>126412</v>
      </c>
      <c r="CS7" s="190">
        <v>15</v>
      </c>
      <c r="CT7" s="190">
        <v>4</v>
      </c>
      <c r="CU7" s="190">
        <v>0</v>
      </c>
      <c r="CV7" s="190">
        <v>9</v>
      </c>
      <c r="CW7" s="190">
        <v>10</v>
      </c>
      <c r="CX7" s="190">
        <v>1</v>
      </c>
      <c r="CY7" s="190">
        <v>2</v>
      </c>
      <c r="CZ7" s="190">
        <v>3</v>
      </c>
      <c r="DA7" s="190">
        <v>4</v>
      </c>
      <c r="DB7" s="190">
        <v>5</v>
      </c>
      <c r="DC7" s="190">
        <v>6</v>
      </c>
      <c r="DD7" s="190">
        <v>7</v>
      </c>
      <c r="DE7" s="190">
        <v>8</v>
      </c>
      <c r="DF7" s="190" t="s">
        <v>417</v>
      </c>
      <c r="DG7" s="190" t="s">
        <v>308</v>
      </c>
      <c r="DH7" s="190" t="s">
        <v>18</v>
      </c>
      <c r="DI7" s="190">
        <v>0</v>
      </c>
      <c r="DJ7" s="190">
        <v>0</v>
      </c>
      <c r="DK7" s="190">
        <v>119419</v>
      </c>
      <c r="DL7" s="190">
        <v>7</v>
      </c>
      <c r="DM7" s="190">
        <v>119419</v>
      </c>
      <c r="DN7" s="190">
        <v>50</v>
      </c>
      <c r="DO7" s="190">
        <v>7000</v>
      </c>
      <c r="DP7" s="190">
        <v>0</v>
      </c>
      <c r="DQ7" s="190"/>
      <c r="DR7" s="190">
        <v>7000</v>
      </c>
      <c r="DS7" s="190">
        <v>-1792</v>
      </c>
      <c r="DT7" s="190">
        <v>126312</v>
      </c>
      <c r="DU7" s="190">
        <v>0</v>
      </c>
      <c r="DV7" s="190">
        <v>126312</v>
      </c>
      <c r="DW7" s="190">
        <v>1792</v>
      </c>
      <c r="DX7" s="190">
        <v>121204</v>
      </c>
      <c r="DY7" s="190">
        <v>5220</v>
      </c>
      <c r="DZ7" s="190">
        <v>100</v>
      </c>
      <c r="EA7" s="190"/>
      <c r="EB7" s="190">
        <v>0</v>
      </c>
      <c r="EC7" s="190">
        <v>0</v>
      </c>
      <c r="ED7" s="190">
        <v>121148</v>
      </c>
      <c r="EE7" s="190">
        <v>126312</v>
      </c>
      <c r="EF7" s="190">
        <v>119412</v>
      </c>
      <c r="EG7" s="190">
        <v>6</v>
      </c>
    </row>
    <row r="8" spans="1:137" x14ac:dyDescent="0.2">
      <c r="A8" s="190" t="s">
        <v>311</v>
      </c>
      <c r="B8" s="263" t="s">
        <v>426</v>
      </c>
      <c r="C8" s="190">
        <v>1</v>
      </c>
      <c r="D8" s="190" t="s">
        <v>421</v>
      </c>
      <c r="E8" s="190" t="s">
        <v>422</v>
      </c>
      <c r="F8" s="190">
        <v>59.954999999999998</v>
      </c>
      <c r="G8" s="190" t="s">
        <v>312</v>
      </c>
      <c r="H8" s="190">
        <v>1</v>
      </c>
      <c r="I8" s="190">
        <v>6000</v>
      </c>
      <c r="J8" s="190">
        <v>-32</v>
      </c>
      <c r="K8" s="190">
        <v>0</v>
      </c>
      <c r="L8" s="190">
        <v>26312</v>
      </c>
      <c r="M8" s="190">
        <v>32</v>
      </c>
      <c r="N8" s="190">
        <v>20444</v>
      </c>
      <c r="O8" s="190">
        <v>5971</v>
      </c>
      <c r="P8" s="190"/>
      <c r="Q8" s="190">
        <v>0</v>
      </c>
      <c r="R8" s="190">
        <v>0</v>
      </c>
      <c r="S8" s="190">
        <v>2080927215</v>
      </c>
      <c r="T8" s="190" t="s">
        <v>303</v>
      </c>
      <c r="U8" s="190" t="s">
        <v>304</v>
      </c>
      <c r="V8" s="190" t="s">
        <v>304</v>
      </c>
      <c r="W8" s="190" t="s">
        <v>398</v>
      </c>
      <c r="X8" s="190" t="s">
        <v>423</v>
      </c>
      <c r="Y8" s="260">
        <v>0.39826388888888886</v>
      </c>
      <c r="Z8" s="190" t="s">
        <v>305</v>
      </c>
      <c r="AA8" s="190" t="s">
        <v>306</v>
      </c>
      <c r="AB8" s="190">
        <v>-1</v>
      </c>
      <c r="AC8" s="190">
        <v>-999999</v>
      </c>
      <c r="AD8" s="190">
        <v>20412</v>
      </c>
      <c r="AE8" s="190">
        <v>24</v>
      </c>
      <c r="AF8" s="190">
        <v>7735</v>
      </c>
      <c r="AG8" s="190">
        <v>0</v>
      </c>
      <c r="AH8" s="190">
        <v>5</v>
      </c>
      <c r="AI8" s="190">
        <v>12677</v>
      </c>
      <c r="AJ8" s="190">
        <v>20412</v>
      </c>
      <c r="AK8" s="190">
        <v>7</v>
      </c>
      <c r="AL8" s="190">
        <v>7</v>
      </c>
      <c r="AM8" s="190">
        <v>1</v>
      </c>
      <c r="AN8" s="190">
        <v>7</v>
      </c>
      <c r="AO8" s="190">
        <v>9</v>
      </c>
      <c r="AP8" s="190" t="s">
        <v>307</v>
      </c>
      <c r="AQ8" s="190">
        <v>4000</v>
      </c>
      <c r="AR8" s="190">
        <v>0</v>
      </c>
      <c r="AS8" s="190"/>
      <c r="AT8" s="190">
        <v>4000</v>
      </c>
      <c r="AU8" s="190">
        <v>-14</v>
      </c>
      <c r="AV8" s="190">
        <v>132312</v>
      </c>
      <c r="AW8" s="190">
        <v>0</v>
      </c>
      <c r="AX8" s="190">
        <v>132312</v>
      </c>
      <c r="AY8" s="190">
        <v>14</v>
      </c>
      <c r="AZ8" s="190">
        <v>128426</v>
      </c>
      <c r="BA8" s="190">
        <v>3986</v>
      </c>
      <c r="BB8" s="190">
        <v>100</v>
      </c>
      <c r="BC8" s="190"/>
      <c r="BD8" s="190">
        <v>0</v>
      </c>
      <c r="BE8" s="190">
        <v>0</v>
      </c>
      <c r="BF8" s="190">
        <v>128317</v>
      </c>
      <c r="BG8" s="190">
        <v>132312</v>
      </c>
      <c r="BH8" s="190">
        <v>128412</v>
      </c>
      <c r="BI8" s="190">
        <v>7000</v>
      </c>
      <c r="BJ8" s="190">
        <v>0</v>
      </c>
      <c r="BK8" s="190"/>
      <c r="BL8" s="190" t="s">
        <v>306</v>
      </c>
      <c r="BM8" s="190">
        <v>7000</v>
      </c>
      <c r="BN8" s="190">
        <v>-999999</v>
      </c>
      <c r="BO8" s="190">
        <v>135193</v>
      </c>
      <c r="BP8" s="190">
        <v>135193</v>
      </c>
      <c r="BQ8" s="190">
        <v>49</v>
      </c>
      <c r="BR8" s="190">
        <v>134714</v>
      </c>
      <c r="BS8" s="190">
        <v>0</v>
      </c>
      <c r="BT8" s="190">
        <v>100</v>
      </c>
      <c r="BU8" s="190">
        <v>1</v>
      </c>
      <c r="BV8" s="190">
        <v>479</v>
      </c>
      <c r="BW8" s="190">
        <v>135193</v>
      </c>
      <c r="BX8" s="190">
        <v>134669</v>
      </c>
      <c r="BY8" s="190">
        <v>141565</v>
      </c>
      <c r="BZ8" s="190">
        <v>134665</v>
      </c>
      <c r="CA8" s="190">
        <v>8000</v>
      </c>
      <c r="CB8" s="190">
        <v>0</v>
      </c>
      <c r="CC8" s="190"/>
      <c r="CD8" s="190">
        <v>8000</v>
      </c>
      <c r="CE8" s="190">
        <v>-5</v>
      </c>
      <c r="CF8" s="190">
        <v>147312</v>
      </c>
      <c r="CG8" s="190">
        <v>0</v>
      </c>
      <c r="CH8" s="190">
        <v>147312</v>
      </c>
      <c r="CI8" s="190">
        <v>5</v>
      </c>
      <c r="CJ8" s="190">
        <v>139417</v>
      </c>
      <c r="CK8" s="190">
        <v>0</v>
      </c>
      <c r="CL8" s="190">
        <v>100</v>
      </c>
      <c r="CM8" s="190"/>
      <c r="CN8" s="190">
        <v>0</v>
      </c>
      <c r="CO8" s="190">
        <v>0</v>
      </c>
      <c r="CP8" s="190">
        <v>139312</v>
      </c>
      <c r="CQ8" s="190">
        <v>147312</v>
      </c>
      <c r="CR8" s="190">
        <v>139412</v>
      </c>
      <c r="CS8" s="190">
        <v>15</v>
      </c>
      <c r="CT8" s="190">
        <v>4</v>
      </c>
      <c r="CU8" s="190">
        <v>0</v>
      </c>
      <c r="CV8" s="190">
        <v>9</v>
      </c>
      <c r="CW8" s="190">
        <v>10</v>
      </c>
      <c r="CX8" s="190">
        <v>1</v>
      </c>
      <c r="CY8" s="190">
        <v>2</v>
      </c>
      <c r="CZ8" s="190">
        <v>3</v>
      </c>
      <c r="DA8" s="190">
        <v>4</v>
      </c>
      <c r="DB8" s="190">
        <v>5</v>
      </c>
      <c r="DC8" s="190">
        <v>6</v>
      </c>
      <c r="DD8" s="190">
        <v>7</v>
      </c>
      <c r="DE8" s="190">
        <v>8</v>
      </c>
      <c r="DF8" s="190" t="s">
        <v>403</v>
      </c>
      <c r="DG8" s="190" t="s">
        <v>308</v>
      </c>
      <c r="DH8" s="190" t="s">
        <v>18</v>
      </c>
      <c r="DI8" s="190">
        <v>0</v>
      </c>
      <c r="DJ8" s="190">
        <v>0</v>
      </c>
      <c r="DK8" s="190">
        <v>132412</v>
      </c>
      <c r="DL8" s="190">
        <v>0</v>
      </c>
      <c r="DM8" s="190">
        <v>132412</v>
      </c>
      <c r="DN8" s="190">
        <v>50</v>
      </c>
      <c r="DO8" s="190">
        <v>7000</v>
      </c>
      <c r="DP8" s="190">
        <v>0</v>
      </c>
      <c r="DQ8" s="190"/>
      <c r="DR8" s="190">
        <v>7000</v>
      </c>
      <c r="DS8" s="190">
        <v>-2836</v>
      </c>
      <c r="DT8" s="190">
        <v>139312</v>
      </c>
      <c r="DU8" s="190">
        <v>0</v>
      </c>
      <c r="DV8" s="190">
        <v>139312</v>
      </c>
      <c r="DW8" s="190">
        <v>2836</v>
      </c>
      <c r="DX8" s="190">
        <v>135248</v>
      </c>
      <c r="DY8" s="190">
        <v>4169</v>
      </c>
      <c r="DZ8" s="190">
        <v>100</v>
      </c>
      <c r="EA8" s="190"/>
      <c r="EB8" s="190">
        <v>0</v>
      </c>
      <c r="EC8" s="190">
        <v>0</v>
      </c>
      <c r="ED8" s="190">
        <v>135196</v>
      </c>
      <c r="EE8" s="190">
        <v>139312</v>
      </c>
      <c r="EF8" s="190">
        <v>132412</v>
      </c>
      <c r="EG8" s="190">
        <v>7</v>
      </c>
    </row>
    <row r="9" spans="1:137" x14ac:dyDescent="0.2">
      <c r="A9" s="190" t="s">
        <v>311</v>
      </c>
      <c r="B9" s="263" t="s">
        <v>426</v>
      </c>
      <c r="C9" s="190">
        <v>1</v>
      </c>
      <c r="D9" s="190" t="s">
        <v>421</v>
      </c>
      <c r="E9" s="190" t="s">
        <v>422</v>
      </c>
      <c r="F9" s="190">
        <v>59.954999999999998</v>
      </c>
      <c r="G9" s="190" t="s">
        <v>312</v>
      </c>
      <c r="H9" s="190">
        <v>1</v>
      </c>
      <c r="I9" s="190">
        <v>6000</v>
      </c>
      <c r="J9" s="190">
        <v>-32</v>
      </c>
      <c r="K9" s="190">
        <v>0</v>
      </c>
      <c r="L9" s="190">
        <v>26312</v>
      </c>
      <c r="M9" s="190">
        <v>32</v>
      </c>
      <c r="N9" s="190">
        <v>20444</v>
      </c>
      <c r="O9" s="190">
        <v>5971</v>
      </c>
      <c r="P9" s="190"/>
      <c r="Q9" s="190">
        <v>0</v>
      </c>
      <c r="R9" s="190">
        <v>0</v>
      </c>
      <c r="S9" s="190">
        <v>2080927215</v>
      </c>
      <c r="T9" s="190" t="s">
        <v>303</v>
      </c>
      <c r="U9" s="190" t="s">
        <v>304</v>
      </c>
      <c r="V9" s="190" t="s">
        <v>304</v>
      </c>
      <c r="W9" s="190" t="s">
        <v>398</v>
      </c>
      <c r="X9" s="190" t="s">
        <v>423</v>
      </c>
      <c r="Y9" s="260">
        <v>0.39826388888888886</v>
      </c>
      <c r="Z9" s="190" t="s">
        <v>305</v>
      </c>
      <c r="AA9" s="190" t="s">
        <v>306</v>
      </c>
      <c r="AB9" s="190">
        <v>-1</v>
      </c>
      <c r="AC9" s="190">
        <v>-999999</v>
      </c>
      <c r="AD9" s="190">
        <v>20412</v>
      </c>
      <c r="AE9" s="190">
        <v>24</v>
      </c>
      <c r="AF9" s="190">
        <v>7735</v>
      </c>
      <c r="AG9" s="190">
        <v>0</v>
      </c>
      <c r="AH9" s="190">
        <v>5</v>
      </c>
      <c r="AI9" s="190">
        <v>12677</v>
      </c>
      <c r="AJ9" s="190">
        <v>20412</v>
      </c>
      <c r="AK9" s="190">
        <v>8</v>
      </c>
      <c r="AL9" s="190">
        <v>8</v>
      </c>
      <c r="AM9" s="190">
        <v>1</v>
      </c>
      <c r="AN9" s="190">
        <v>8</v>
      </c>
      <c r="AO9" s="190">
        <v>4</v>
      </c>
      <c r="AP9" s="190" t="s">
        <v>307</v>
      </c>
      <c r="AQ9" s="190">
        <v>4000</v>
      </c>
      <c r="AR9" s="190">
        <v>0</v>
      </c>
      <c r="AS9" s="190"/>
      <c r="AT9" s="190">
        <v>4000</v>
      </c>
      <c r="AU9" s="190">
        <v>-11</v>
      </c>
      <c r="AV9" s="190">
        <v>151312</v>
      </c>
      <c r="AW9" s="190">
        <v>0</v>
      </c>
      <c r="AX9" s="190">
        <v>151312</v>
      </c>
      <c r="AY9" s="190">
        <v>11</v>
      </c>
      <c r="AZ9" s="190">
        <v>147423</v>
      </c>
      <c r="BA9" s="190">
        <v>4003</v>
      </c>
      <c r="BB9" s="190">
        <v>100</v>
      </c>
      <c r="BC9" s="190"/>
      <c r="BD9" s="190">
        <v>0</v>
      </c>
      <c r="BE9" s="190">
        <v>0</v>
      </c>
      <c r="BF9" s="190">
        <v>147317</v>
      </c>
      <c r="BG9" s="190">
        <v>151312</v>
      </c>
      <c r="BH9" s="190">
        <v>147412</v>
      </c>
      <c r="BI9" s="190">
        <v>7000</v>
      </c>
      <c r="BJ9" s="190">
        <v>0</v>
      </c>
      <c r="BK9" s="190"/>
      <c r="BL9" s="190" t="s">
        <v>306</v>
      </c>
      <c r="BM9" s="190">
        <v>7000</v>
      </c>
      <c r="BN9" s="190">
        <v>-999999</v>
      </c>
      <c r="BO9" s="190">
        <v>154264</v>
      </c>
      <c r="BP9" s="190">
        <v>154264</v>
      </c>
      <c r="BQ9" s="190">
        <v>48</v>
      </c>
      <c r="BR9" s="190">
        <v>153912</v>
      </c>
      <c r="BS9" s="190">
        <v>0</v>
      </c>
      <c r="BT9" s="190">
        <v>100</v>
      </c>
      <c r="BU9" s="190">
        <v>1</v>
      </c>
      <c r="BV9" s="190">
        <v>352</v>
      </c>
      <c r="BW9" s="190">
        <v>154264</v>
      </c>
      <c r="BX9" s="190">
        <v>153868</v>
      </c>
      <c r="BY9" s="190">
        <v>160764</v>
      </c>
      <c r="BZ9" s="190">
        <v>153864</v>
      </c>
      <c r="CA9" s="190">
        <v>8000</v>
      </c>
      <c r="CB9" s="190">
        <v>0</v>
      </c>
      <c r="CC9" s="190"/>
      <c r="CD9" s="190">
        <v>8000</v>
      </c>
      <c r="CE9" s="190">
        <v>-3</v>
      </c>
      <c r="CF9" s="190">
        <v>166312</v>
      </c>
      <c r="CG9" s="190">
        <v>0</v>
      </c>
      <c r="CH9" s="190">
        <v>166312</v>
      </c>
      <c r="CI9" s="190">
        <v>3</v>
      </c>
      <c r="CJ9" s="190">
        <v>158415</v>
      </c>
      <c r="CK9" s="190">
        <v>0</v>
      </c>
      <c r="CL9" s="190">
        <v>100</v>
      </c>
      <c r="CM9" s="190"/>
      <c r="CN9" s="190">
        <v>0</v>
      </c>
      <c r="CO9" s="190">
        <v>0</v>
      </c>
      <c r="CP9" s="190">
        <v>158312</v>
      </c>
      <c r="CQ9" s="190">
        <v>166312</v>
      </c>
      <c r="CR9" s="190">
        <v>158412</v>
      </c>
      <c r="CS9" s="190">
        <v>15</v>
      </c>
      <c r="CT9" s="190">
        <v>4</v>
      </c>
      <c r="CU9" s="190">
        <v>0</v>
      </c>
      <c r="CV9" s="190">
        <v>9</v>
      </c>
      <c r="CW9" s="190">
        <v>10</v>
      </c>
      <c r="CX9" s="190">
        <v>1</v>
      </c>
      <c r="CY9" s="190">
        <v>2</v>
      </c>
      <c r="CZ9" s="190">
        <v>3</v>
      </c>
      <c r="DA9" s="190">
        <v>4</v>
      </c>
      <c r="DB9" s="190">
        <v>5</v>
      </c>
      <c r="DC9" s="190">
        <v>6</v>
      </c>
      <c r="DD9" s="190">
        <v>7</v>
      </c>
      <c r="DE9" s="190">
        <v>8</v>
      </c>
      <c r="DF9" s="190" t="s">
        <v>416</v>
      </c>
      <c r="DG9" s="190" t="s">
        <v>308</v>
      </c>
      <c r="DH9" s="190" t="s">
        <v>18</v>
      </c>
      <c r="DI9" s="190">
        <v>0</v>
      </c>
      <c r="DJ9" s="190">
        <v>0</v>
      </c>
      <c r="DK9" s="190">
        <v>151426</v>
      </c>
      <c r="DL9" s="190">
        <v>14</v>
      </c>
      <c r="DM9" s="190">
        <v>151426</v>
      </c>
      <c r="DN9" s="190">
        <v>51</v>
      </c>
      <c r="DO9" s="190">
        <v>7000</v>
      </c>
      <c r="DP9" s="190">
        <v>0</v>
      </c>
      <c r="DQ9" s="190"/>
      <c r="DR9" s="190">
        <v>7000</v>
      </c>
      <c r="DS9" s="190">
        <v>-2900</v>
      </c>
      <c r="DT9" s="190">
        <v>158312</v>
      </c>
      <c r="DU9" s="190">
        <v>0</v>
      </c>
      <c r="DV9" s="190">
        <v>158312</v>
      </c>
      <c r="DW9" s="190">
        <v>2900</v>
      </c>
      <c r="DX9" s="190">
        <v>154312</v>
      </c>
      <c r="DY9" s="190">
        <v>4103</v>
      </c>
      <c r="DZ9" s="190">
        <v>100</v>
      </c>
      <c r="EA9" s="190"/>
      <c r="EB9" s="190">
        <v>0</v>
      </c>
      <c r="EC9" s="190">
        <v>0</v>
      </c>
      <c r="ED9" s="190">
        <v>154266</v>
      </c>
      <c r="EE9" s="190">
        <v>158312</v>
      </c>
      <c r="EF9" s="190">
        <v>151412</v>
      </c>
      <c r="EG9" s="190">
        <v>8</v>
      </c>
    </row>
    <row r="10" spans="1:137" x14ac:dyDescent="0.2">
      <c r="A10" s="190" t="s">
        <v>311</v>
      </c>
      <c r="B10" s="263" t="s">
        <v>426</v>
      </c>
      <c r="C10" s="190">
        <v>1</v>
      </c>
      <c r="D10" s="190" t="s">
        <v>421</v>
      </c>
      <c r="E10" s="190" t="s">
        <v>422</v>
      </c>
      <c r="F10" s="190">
        <v>59.954999999999998</v>
      </c>
      <c r="G10" s="190" t="s">
        <v>312</v>
      </c>
      <c r="H10" s="190">
        <v>1</v>
      </c>
      <c r="I10" s="190">
        <v>6000</v>
      </c>
      <c r="J10" s="190">
        <v>-32</v>
      </c>
      <c r="K10" s="190">
        <v>0</v>
      </c>
      <c r="L10" s="190">
        <v>26312</v>
      </c>
      <c r="M10" s="190">
        <v>32</v>
      </c>
      <c r="N10" s="190">
        <v>20444</v>
      </c>
      <c r="O10" s="190">
        <v>5971</v>
      </c>
      <c r="P10" s="190"/>
      <c r="Q10" s="190">
        <v>0</v>
      </c>
      <c r="R10" s="190">
        <v>0</v>
      </c>
      <c r="S10" s="190">
        <v>2080927215</v>
      </c>
      <c r="T10" s="190" t="s">
        <v>303</v>
      </c>
      <c r="U10" s="190" t="s">
        <v>304</v>
      </c>
      <c r="V10" s="190" t="s">
        <v>304</v>
      </c>
      <c r="W10" s="190" t="s">
        <v>398</v>
      </c>
      <c r="X10" s="190" t="s">
        <v>423</v>
      </c>
      <c r="Y10" s="260">
        <v>0.39826388888888886</v>
      </c>
      <c r="Z10" s="190" t="s">
        <v>305</v>
      </c>
      <c r="AA10" s="190" t="s">
        <v>306</v>
      </c>
      <c r="AB10" s="190">
        <v>-1</v>
      </c>
      <c r="AC10" s="190">
        <v>-999999</v>
      </c>
      <c r="AD10" s="190">
        <v>20412</v>
      </c>
      <c r="AE10" s="190">
        <v>24</v>
      </c>
      <c r="AF10" s="190">
        <v>7735</v>
      </c>
      <c r="AG10" s="190">
        <v>0</v>
      </c>
      <c r="AH10" s="190">
        <v>5</v>
      </c>
      <c r="AI10" s="190">
        <v>12677</v>
      </c>
      <c r="AJ10" s="190">
        <v>20412</v>
      </c>
      <c r="AK10" s="190">
        <v>9</v>
      </c>
      <c r="AL10" s="190">
        <v>9</v>
      </c>
      <c r="AM10" s="190">
        <v>1</v>
      </c>
      <c r="AN10" s="190">
        <v>9</v>
      </c>
      <c r="AO10" s="190">
        <v>0</v>
      </c>
      <c r="AP10" s="190" t="s">
        <v>307</v>
      </c>
      <c r="AQ10" s="190">
        <v>4000</v>
      </c>
      <c r="AR10" s="190">
        <v>0</v>
      </c>
      <c r="AS10" s="190"/>
      <c r="AT10" s="190">
        <v>4000</v>
      </c>
      <c r="AU10" s="190">
        <v>-9</v>
      </c>
      <c r="AV10" s="190">
        <v>170312</v>
      </c>
      <c r="AW10" s="190">
        <v>0</v>
      </c>
      <c r="AX10" s="190">
        <v>170312</v>
      </c>
      <c r="AY10" s="190">
        <v>9</v>
      </c>
      <c r="AZ10" s="190">
        <v>166421</v>
      </c>
      <c r="BA10" s="190">
        <v>4003</v>
      </c>
      <c r="BB10" s="190">
        <v>100</v>
      </c>
      <c r="BC10" s="190"/>
      <c r="BD10" s="190">
        <v>0</v>
      </c>
      <c r="BE10" s="190">
        <v>0</v>
      </c>
      <c r="BF10" s="190">
        <v>166317</v>
      </c>
      <c r="BG10" s="190">
        <v>170312</v>
      </c>
      <c r="BH10" s="190">
        <v>166412</v>
      </c>
      <c r="BI10" s="190">
        <v>7000</v>
      </c>
      <c r="BJ10" s="190">
        <v>0</v>
      </c>
      <c r="BK10" s="190"/>
      <c r="BL10" s="190" t="s">
        <v>306</v>
      </c>
      <c r="BM10" s="190">
        <v>7000</v>
      </c>
      <c r="BN10" s="190">
        <v>-999999</v>
      </c>
      <c r="BO10" s="190">
        <v>172710</v>
      </c>
      <c r="BP10" s="190">
        <v>172710</v>
      </c>
      <c r="BQ10" s="190">
        <v>48</v>
      </c>
      <c r="BR10" s="190">
        <v>172342</v>
      </c>
      <c r="BS10" s="190">
        <v>0</v>
      </c>
      <c r="BT10" s="190">
        <v>100</v>
      </c>
      <c r="BU10" s="190">
        <v>1</v>
      </c>
      <c r="BV10" s="190">
        <v>368</v>
      </c>
      <c r="BW10" s="190">
        <v>172710</v>
      </c>
      <c r="BX10" s="190">
        <v>172299</v>
      </c>
      <c r="BY10" s="190">
        <v>179194</v>
      </c>
      <c r="BZ10" s="190">
        <v>172294</v>
      </c>
      <c r="CA10" s="190">
        <v>10000</v>
      </c>
      <c r="CB10" s="190">
        <v>0</v>
      </c>
      <c r="CC10" s="190"/>
      <c r="CD10" s="190">
        <v>10000</v>
      </c>
      <c r="CE10" s="190">
        <v>-1</v>
      </c>
      <c r="CF10" s="190">
        <v>187312</v>
      </c>
      <c r="CG10" s="190">
        <v>0</v>
      </c>
      <c r="CH10" s="190">
        <v>187312</v>
      </c>
      <c r="CI10" s="190">
        <v>1</v>
      </c>
      <c r="CJ10" s="190">
        <v>177413</v>
      </c>
      <c r="CK10" s="190">
        <v>0</v>
      </c>
      <c r="CL10" s="190">
        <v>100</v>
      </c>
      <c r="CM10" s="190"/>
      <c r="CN10" s="190">
        <v>0</v>
      </c>
      <c r="CO10" s="190">
        <v>0</v>
      </c>
      <c r="CP10" s="190">
        <v>177312</v>
      </c>
      <c r="CQ10" s="190">
        <v>187312</v>
      </c>
      <c r="CR10" s="190">
        <v>177412</v>
      </c>
      <c r="CS10" s="190">
        <v>15</v>
      </c>
      <c r="CT10" s="190">
        <v>4</v>
      </c>
      <c r="CU10" s="190">
        <v>0</v>
      </c>
      <c r="CV10" s="190">
        <v>9</v>
      </c>
      <c r="CW10" s="190">
        <v>10</v>
      </c>
      <c r="CX10" s="190">
        <v>1</v>
      </c>
      <c r="CY10" s="190">
        <v>2</v>
      </c>
      <c r="CZ10" s="190">
        <v>3</v>
      </c>
      <c r="DA10" s="190">
        <v>4</v>
      </c>
      <c r="DB10" s="190">
        <v>5</v>
      </c>
      <c r="DC10" s="190">
        <v>6</v>
      </c>
      <c r="DD10" s="190">
        <v>7</v>
      </c>
      <c r="DE10" s="190">
        <v>8</v>
      </c>
      <c r="DF10" s="190" t="s">
        <v>412</v>
      </c>
      <c r="DG10" s="190" t="s">
        <v>308</v>
      </c>
      <c r="DH10" s="190" t="s">
        <v>18</v>
      </c>
      <c r="DI10" s="190">
        <v>0</v>
      </c>
      <c r="DJ10" s="190">
        <v>0</v>
      </c>
      <c r="DK10" s="190">
        <v>170424</v>
      </c>
      <c r="DL10" s="190">
        <v>12</v>
      </c>
      <c r="DM10" s="190">
        <v>170424</v>
      </c>
      <c r="DN10" s="190">
        <v>50</v>
      </c>
      <c r="DO10" s="190">
        <v>7000</v>
      </c>
      <c r="DP10" s="190">
        <v>0</v>
      </c>
      <c r="DQ10" s="190"/>
      <c r="DR10" s="190">
        <v>7000</v>
      </c>
      <c r="DS10" s="190">
        <v>-2347</v>
      </c>
      <c r="DT10" s="190">
        <v>177312</v>
      </c>
      <c r="DU10" s="190">
        <v>0</v>
      </c>
      <c r="DV10" s="190">
        <v>177312</v>
      </c>
      <c r="DW10" s="190">
        <v>2347</v>
      </c>
      <c r="DX10" s="190">
        <v>172759</v>
      </c>
      <c r="DY10" s="190">
        <v>4654</v>
      </c>
      <c r="DZ10" s="190">
        <v>100</v>
      </c>
      <c r="EA10" s="190"/>
      <c r="EB10" s="190">
        <v>0</v>
      </c>
      <c r="EC10" s="190">
        <v>0</v>
      </c>
      <c r="ED10" s="190">
        <v>172713</v>
      </c>
      <c r="EE10" s="190">
        <v>177312</v>
      </c>
      <c r="EF10" s="190">
        <v>170412</v>
      </c>
      <c r="EG10" s="190">
        <v>9</v>
      </c>
    </row>
    <row r="11" spans="1:137" x14ac:dyDescent="0.2">
      <c r="A11" s="190" t="s">
        <v>311</v>
      </c>
      <c r="B11" s="263" t="s">
        <v>426</v>
      </c>
      <c r="C11" s="190">
        <v>1</v>
      </c>
      <c r="D11" s="190" t="s">
        <v>421</v>
      </c>
      <c r="E11" s="190" t="s">
        <v>422</v>
      </c>
      <c r="F11" s="190">
        <v>59.954999999999998</v>
      </c>
      <c r="G11" s="190" t="s">
        <v>312</v>
      </c>
      <c r="H11" s="190">
        <v>1</v>
      </c>
      <c r="I11" s="190">
        <v>6000</v>
      </c>
      <c r="J11" s="190">
        <v>-32</v>
      </c>
      <c r="K11" s="190">
        <v>0</v>
      </c>
      <c r="L11" s="190">
        <v>26312</v>
      </c>
      <c r="M11" s="190">
        <v>32</v>
      </c>
      <c r="N11" s="190">
        <v>20444</v>
      </c>
      <c r="O11" s="190">
        <v>5971</v>
      </c>
      <c r="P11" s="190"/>
      <c r="Q11" s="190">
        <v>0</v>
      </c>
      <c r="R11" s="190">
        <v>0</v>
      </c>
      <c r="S11" s="190">
        <v>2080927215</v>
      </c>
      <c r="T11" s="190" t="s">
        <v>303</v>
      </c>
      <c r="U11" s="190" t="s">
        <v>304</v>
      </c>
      <c r="V11" s="190" t="s">
        <v>304</v>
      </c>
      <c r="W11" s="190" t="s">
        <v>398</v>
      </c>
      <c r="X11" s="190" t="s">
        <v>423</v>
      </c>
      <c r="Y11" s="260">
        <v>0.39826388888888886</v>
      </c>
      <c r="Z11" s="190" t="s">
        <v>305</v>
      </c>
      <c r="AA11" s="190" t="s">
        <v>306</v>
      </c>
      <c r="AB11" s="190">
        <v>-1</v>
      </c>
      <c r="AC11" s="190">
        <v>-999999</v>
      </c>
      <c r="AD11" s="190">
        <v>20412</v>
      </c>
      <c r="AE11" s="190">
        <v>24</v>
      </c>
      <c r="AF11" s="190">
        <v>7735</v>
      </c>
      <c r="AG11" s="190">
        <v>0</v>
      </c>
      <c r="AH11" s="190">
        <v>5</v>
      </c>
      <c r="AI11" s="190">
        <v>12677</v>
      </c>
      <c r="AJ11" s="190">
        <v>20412</v>
      </c>
      <c r="AK11" s="190">
        <v>10</v>
      </c>
      <c r="AL11" s="190">
        <v>10</v>
      </c>
      <c r="AM11" s="190">
        <v>1</v>
      </c>
      <c r="AN11" s="190">
        <v>10</v>
      </c>
      <c r="AO11" s="190">
        <v>8</v>
      </c>
      <c r="AP11" s="190" t="s">
        <v>307</v>
      </c>
      <c r="AQ11" s="190">
        <v>4000</v>
      </c>
      <c r="AR11" s="190">
        <v>0</v>
      </c>
      <c r="AS11" s="190"/>
      <c r="AT11" s="190">
        <v>4000</v>
      </c>
      <c r="AU11" s="190">
        <v>-8</v>
      </c>
      <c r="AV11" s="190">
        <v>191312</v>
      </c>
      <c r="AW11" s="190">
        <v>0</v>
      </c>
      <c r="AX11" s="190">
        <v>191312</v>
      </c>
      <c r="AY11" s="190">
        <v>8</v>
      </c>
      <c r="AZ11" s="190">
        <v>187420</v>
      </c>
      <c r="BA11" s="190">
        <v>4003</v>
      </c>
      <c r="BB11" s="190">
        <v>100</v>
      </c>
      <c r="BC11" s="190"/>
      <c r="BD11" s="190">
        <v>0</v>
      </c>
      <c r="BE11" s="190">
        <v>0</v>
      </c>
      <c r="BF11" s="190">
        <v>187317</v>
      </c>
      <c r="BG11" s="190">
        <v>191312</v>
      </c>
      <c r="BH11" s="190">
        <v>187412</v>
      </c>
      <c r="BI11" s="190">
        <v>7000</v>
      </c>
      <c r="BJ11" s="190">
        <v>0</v>
      </c>
      <c r="BK11" s="190"/>
      <c r="BL11" s="190" t="s">
        <v>306</v>
      </c>
      <c r="BM11" s="190">
        <v>7000</v>
      </c>
      <c r="BN11" s="190">
        <v>-999999</v>
      </c>
      <c r="BO11" s="190">
        <v>193981</v>
      </c>
      <c r="BP11" s="190">
        <v>193981</v>
      </c>
      <c r="BQ11" s="190">
        <v>45</v>
      </c>
      <c r="BR11" s="190">
        <v>193058</v>
      </c>
      <c r="BS11" s="190">
        <v>0</v>
      </c>
      <c r="BT11" s="190">
        <v>100</v>
      </c>
      <c r="BU11" s="190">
        <v>1</v>
      </c>
      <c r="BV11" s="190">
        <v>923</v>
      </c>
      <c r="BW11" s="190">
        <v>193981</v>
      </c>
      <c r="BX11" s="190">
        <v>193017</v>
      </c>
      <c r="BY11" s="190">
        <v>199913</v>
      </c>
      <c r="BZ11" s="190">
        <v>193013</v>
      </c>
      <c r="CA11" s="190">
        <v>4000</v>
      </c>
      <c r="CB11" s="190">
        <v>0</v>
      </c>
      <c r="CC11" s="190"/>
      <c r="CD11" s="190">
        <v>4000</v>
      </c>
      <c r="CE11" s="190">
        <v>0</v>
      </c>
      <c r="CF11" s="190">
        <v>202312</v>
      </c>
      <c r="CG11" s="190">
        <v>0</v>
      </c>
      <c r="CH11" s="190">
        <v>202312</v>
      </c>
      <c r="CI11" s="190">
        <v>0</v>
      </c>
      <c r="CJ11" s="190">
        <v>198412</v>
      </c>
      <c r="CK11" s="190">
        <v>0</v>
      </c>
      <c r="CL11" s="190">
        <v>100</v>
      </c>
      <c r="CM11" s="190"/>
      <c r="CN11" s="190">
        <v>0</v>
      </c>
      <c r="CO11" s="190">
        <v>0</v>
      </c>
      <c r="CP11" s="190">
        <v>198312</v>
      </c>
      <c r="CQ11" s="190">
        <v>202312</v>
      </c>
      <c r="CR11" s="190">
        <v>198412</v>
      </c>
      <c r="CS11" s="190">
        <v>15</v>
      </c>
      <c r="CT11" s="190">
        <v>4</v>
      </c>
      <c r="CU11" s="190">
        <v>0</v>
      </c>
      <c r="CV11" s="190">
        <v>9</v>
      </c>
      <c r="CW11" s="190">
        <v>10</v>
      </c>
      <c r="CX11" s="190">
        <v>1</v>
      </c>
      <c r="CY11" s="190">
        <v>2</v>
      </c>
      <c r="CZ11" s="190">
        <v>3</v>
      </c>
      <c r="DA11" s="190">
        <v>4</v>
      </c>
      <c r="DB11" s="190">
        <v>5</v>
      </c>
      <c r="DC11" s="190">
        <v>6</v>
      </c>
      <c r="DD11" s="190">
        <v>7</v>
      </c>
      <c r="DE11" s="190">
        <v>8</v>
      </c>
      <c r="DF11" s="190" t="s">
        <v>413</v>
      </c>
      <c r="DG11" s="190" t="s">
        <v>308</v>
      </c>
      <c r="DH11" s="190" t="s">
        <v>18</v>
      </c>
      <c r="DI11" s="190">
        <v>0</v>
      </c>
      <c r="DJ11" s="190">
        <v>0</v>
      </c>
      <c r="DK11" s="190">
        <v>191423</v>
      </c>
      <c r="DL11" s="190">
        <v>11</v>
      </c>
      <c r="DM11" s="190">
        <v>191423</v>
      </c>
      <c r="DN11" s="190">
        <v>50</v>
      </c>
      <c r="DO11" s="190">
        <v>7000</v>
      </c>
      <c r="DP11" s="190">
        <v>0</v>
      </c>
      <c r="DQ11" s="190"/>
      <c r="DR11" s="190">
        <v>7000</v>
      </c>
      <c r="DS11" s="190">
        <v>-2613</v>
      </c>
      <c r="DT11" s="190">
        <v>198312</v>
      </c>
      <c r="DU11" s="190">
        <v>0</v>
      </c>
      <c r="DV11" s="190">
        <v>198312</v>
      </c>
      <c r="DW11" s="190">
        <v>2613</v>
      </c>
      <c r="DX11" s="190">
        <v>194025</v>
      </c>
      <c r="DY11" s="190">
        <v>4387</v>
      </c>
      <c r="DZ11" s="190">
        <v>100</v>
      </c>
      <c r="EA11" s="190"/>
      <c r="EB11" s="190">
        <v>0</v>
      </c>
      <c r="EC11" s="190">
        <v>0</v>
      </c>
      <c r="ED11" s="190">
        <v>193983</v>
      </c>
      <c r="EE11" s="190">
        <v>198312</v>
      </c>
      <c r="EF11" s="190">
        <v>191412</v>
      </c>
      <c r="EG11" s="190">
        <v>10</v>
      </c>
    </row>
    <row r="12" spans="1:137" x14ac:dyDescent="0.2">
      <c r="A12" s="190" t="s">
        <v>311</v>
      </c>
      <c r="B12" s="263" t="s">
        <v>426</v>
      </c>
      <c r="C12" s="190">
        <v>1</v>
      </c>
      <c r="D12" s="190" t="s">
        <v>421</v>
      </c>
      <c r="E12" s="190" t="s">
        <v>422</v>
      </c>
      <c r="F12" s="190">
        <v>59.954999999999998</v>
      </c>
      <c r="G12" s="190" t="s">
        <v>312</v>
      </c>
      <c r="H12" s="190">
        <v>1</v>
      </c>
      <c r="I12" s="190">
        <v>6000</v>
      </c>
      <c r="J12" s="190">
        <v>-32</v>
      </c>
      <c r="K12" s="190">
        <v>0</v>
      </c>
      <c r="L12" s="190">
        <v>26312</v>
      </c>
      <c r="M12" s="190">
        <v>32</v>
      </c>
      <c r="N12" s="190">
        <v>20444</v>
      </c>
      <c r="O12" s="190">
        <v>5971</v>
      </c>
      <c r="P12" s="190"/>
      <c r="Q12" s="190">
        <v>0</v>
      </c>
      <c r="R12" s="190">
        <v>0</v>
      </c>
      <c r="S12" s="190">
        <v>2080927215</v>
      </c>
      <c r="T12" s="190" t="s">
        <v>303</v>
      </c>
      <c r="U12" s="190" t="s">
        <v>304</v>
      </c>
      <c r="V12" s="190" t="s">
        <v>304</v>
      </c>
      <c r="W12" s="190" t="s">
        <v>398</v>
      </c>
      <c r="X12" s="190" t="s">
        <v>423</v>
      </c>
      <c r="Y12" s="260">
        <v>0.39826388888888886</v>
      </c>
      <c r="Z12" s="190" t="s">
        <v>305</v>
      </c>
      <c r="AA12" s="190" t="s">
        <v>306</v>
      </c>
      <c r="AB12" s="190">
        <v>-1</v>
      </c>
      <c r="AC12" s="190">
        <v>-999999</v>
      </c>
      <c r="AD12" s="190">
        <v>20412</v>
      </c>
      <c r="AE12" s="190">
        <v>24</v>
      </c>
      <c r="AF12" s="190">
        <v>7735</v>
      </c>
      <c r="AG12" s="190">
        <v>0</v>
      </c>
      <c r="AH12" s="190">
        <v>5</v>
      </c>
      <c r="AI12" s="190">
        <v>12677</v>
      </c>
      <c r="AJ12" s="190">
        <v>20412</v>
      </c>
      <c r="AK12" s="190">
        <v>11</v>
      </c>
      <c r="AL12" s="190">
        <v>11</v>
      </c>
      <c r="AM12" s="190">
        <v>1</v>
      </c>
      <c r="AN12" s="190">
        <v>11</v>
      </c>
      <c r="AO12" s="190">
        <v>0</v>
      </c>
      <c r="AP12" s="190" t="s">
        <v>307</v>
      </c>
      <c r="AQ12" s="190">
        <v>4000</v>
      </c>
      <c r="AR12" s="190">
        <v>0</v>
      </c>
      <c r="AS12" s="190"/>
      <c r="AT12" s="190">
        <v>4000</v>
      </c>
      <c r="AU12" s="190">
        <v>-3</v>
      </c>
      <c r="AV12" s="190">
        <v>206312</v>
      </c>
      <c r="AW12" s="190">
        <v>0</v>
      </c>
      <c r="AX12" s="190">
        <v>206312</v>
      </c>
      <c r="AY12" s="190">
        <v>3</v>
      </c>
      <c r="AZ12" s="190">
        <v>202415</v>
      </c>
      <c r="BA12" s="190">
        <v>4003</v>
      </c>
      <c r="BB12" s="190">
        <v>100</v>
      </c>
      <c r="BC12" s="190"/>
      <c r="BD12" s="190">
        <v>0</v>
      </c>
      <c r="BE12" s="190">
        <v>0</v>
      </c>
      <c r="BF12" s="190">
        <v>202317</v>
      </c>
      <c r="BG12" s="190">
        <v>206312</v>
      </c>
      <c r="BH12" s="190">
        <v>202412</v>
      </c>
      <c r="BI12" s="190">
        <v>7000</v>
      </c>
      <c r="BJ12" s="190">
        <v>0</v>
      </c>
      <c r="BK12" s="190"/>
      <c r="BL12" s="190" t="s">
        <v>306</v>
      </c>
      <c r="BM12" s="190">
        <v>7000</v>
      </c>
      <c r="BN12" s="190">
        <v>-999999</v>
      </c>
      <c r="BO12" s="190">
        <v>208860</v>
      </c>
      <c r="BP12" s="190">
        <v>208860</v>
      </c>
      <c r="BQ12" s="190">
        <v>37</v>
      </c>
      <c r="BR12" s="190">
        <v>208553</v>
      </c>
      <c r="BS12" s="190">
        <v>0</v>
      </c>
      <c r="BT12" s="190">
        <v>100</v>
      </c>
      <c r="BU12" s="190">
        <v>1</v>
      </c>
      <c r="BV12" s="190">
        <v>306</v>
      </c>
      <c r="BW12" s="190">
        <v>208859</v>
      </c>
      <c r="BX12" s="190">
        <v>208519</v>
      </c>
      <c r="BY12" s="190">
        <v>215416</v>
      </c>
      <c r="BZ12" s="190">
        <v>208516</v>
      </c>
      <c r="CA12" s="190">
        <v>4000</v>
      </c>
      <c r="CB12" s="190">
        <v>0</v>
      </c>
      <c r="CC12" s="190"/>
      <c r="CD12" s="190">
        <v>4000</v>
      </c>
      <c r="CE12" s="190">
        <v>-11</v>
      </c>
      <c r="CF12" s="190">
        <v>217312</v>
      </c>
      <c r="CG12" s="190">
        <v>0</v>
      </c>
      <c r="CH12" s="190">
        <v>217312</v>
      </c>
      <c r="CI12" s="190">
        <v>11</v>
      </c>
      <c r="CJ12" s="190">
        <v>213423</v>
      </c>
      <c r="CK12" s="190">
        <v>0</v>
      </c>
      <c r="CL12" s="190">
        <v>100</v>
      </c>
      <c r="CM12" s="190"/>
      <c r="CN12" s="190">
        <v>0</v>
      </c>
      <c r="CO12" s="190">
        <v>0</v>
      </c>
      <c r="CP12" s="190">
        <v>213312</v>
      </c>
      <c r="CQ12" s="190">
        <v>217312</v>
      </c>
      <c r="CR12" s="190">
        <v>213412</v>
      </c>
      <c r="CS12" s="190">
        <v>15</v>
      </c>
      <c r="CT12" s="190">
        <v>4</v>
      </c>
      <c r="CU12" s="190">
        <v>0</v>
      </c>
      <c r="CV12" s="190">
        <v>9</v>
      </c>
      <c r="CW12" s="190">
        <v>10</v>
      </c>
      <c r="CX12" s="190">
        <v>1</v>
      </c>
      <c r="CY12" s="190">
        <v>2</v>
      </c>
      <c r="CZ12" s="190">
        <v>3</v>
      </c>
      <c r="DA12" s="190">
        <v>4</v>
      </c>
      <c r="DB12" s="190">
        <v>5</v>
      </c>
      <c r="DC12" s="190">
        <v>6</v>
      </c>
      <c r="DD12" s="190">
        <v>7</v>
      </c>
      <c r="DE12" s="190">
        <v>8</v>
      </c>
      <c r="DF12" s="190" t="s">
        <v>414</v>
      </c>
      <c r="DG12" s="190" t="s">
        <v>308</v>
      </c>
      <c r="DH12" s="190" t="s">
        <v>18</v>
      </c>
      <c r="DI12" s="190">
        <v>0</v>
      </c>
      <c r="DJ12" s="190">
        <v>0</v>
      </c>
      <c r="DK12" s="190">
        <v>206418</v>
      </c>
      <c r="DL12" s="190">
        <v>6</v>
      </c>
      <c r="DM12" s="190">
        <v>206418</v>
      </c>
      <c r="DN12" s="190">
        <v>50</v>
      </c>
      <c r="DO12" s="190">
        <v>7000</v>
      </c>
      <c r="DP12" s="190">
        <v>0</v>
      </c>
      <c r="DQ12" s="190"/>
      <c r="DR12" s="190">
        <v>7000</v>
      </c>
      <c r="DS12" s="190">
        <v>-2491</v>
      </c>
      <c r="DT12" s="190">
        <v>213312</v>
      </c>
      <c r="DU12" s="190">
        <v>0</v>
      </c>
      <c r="DV12" s="190">
        <v>213312</v>
      </c>
      <c r="DW12" s="190">
        <v>2491</v>
      </c>
      <c r="DX12" s="190">
        <v>208903</v>
      </c>
      <c r="DY12" s="190">
        <v>4520</v>
      </c>
      <c r="DZ12" s="190">
        <v>100</v>
      </c>
      <c r="EA12" s="190"/>
      <c r="EB12" s="190">
        <v>0</v>
      </c>
      <c r="EC12" s="190">
        <v>0</v>
      </c>
      <c r="ED12" s="190">
        <v>208862</v>
      </c>
      <c r="EE12" s="190">
        <v>213312</v>
      </c>
      <c r="EF12" s="190">
        <v>206412</v>
      </c>
      <c r="EG12" s="190">
        <v>11</v>
      </c>
    </row>
    <row r="13" spans="1:137" x14ac:dyDescent="0.2">
      <c r="A13" s="190" t="s">
        <v>311</v>
      </c>
      <c r="B13" s="263" t="s">
        <v>426</v>
      </c>
      <c r="C13" s="190">
        <v>1</v>
      </c>
      <c r="D13" s="190" t="s">
        <v>421</v>
      </c>
      <c r="E13" s="190" t="s">
        <v>422</v>
      </c>
      <c r="F13" s="190">
        <v>59.954999999999998</v>
      </c>
      <c r="G13" s="190" t="s">
        <v>312</v>
      </c>
      <c r="H13" s="190">
        <v>1</v>
      </c>
      <c r="I13" s="190">
        <v>6000</v>
      </c>
      <c r="J13" s="190">
        <v>-32</v>
      </c>
      <c r="K13" s="190">
        <v>0</v>
      </c>
      <c r="L13" s="190">
        <v>26312</v>
      </c>
      <c r="M13" s="190">
        <v>32</v>
      </c>
      <c r="N13" s="190">
        <v>20444</v>
      </c>
      <c r="O13" s="190">
        <v>5971</v>
      </c>
      <c r="P13" s="190"/>
      <c r="Q13" s="190">
        <v>0</v>
      </c>
      <c r="R13" s="190">
        <v>0</v>
      </c>
      <c r="S13" s="190">
        <v>2080927215</v>
      </c>
      <c r="T13" s="190" t="s">
        <v>303</v>
      </c>
      <c r="U13" s="190" t="s">
        <v>304</v>
      </c>
      <c r="V13" s="190" t="s">
        <v>304</v>
      </c>
      <c r="W13" s="190" t="s">
        <v>398</v>
      </c>
      <c r="X13" s="190" t="s">
        <v>423</v>
      </c>
      <c r="Y13" s="260">
        <v>0.39826388888888886</v>
      </c>
      <c r="Z13" s="190" t="s">
        <v>305</v>
      </c>
      <c r="AA13" s="190" t="s">
        <v>306</v>
      </c>
      <c r="AB13" s="190">
        <v>-1</v>
      </c>
      <c r="AC13" s="190">
        <v>-999999</v>
      </c>
      <c r="AD13" s="190">
        <v>20412</v>
      </c>
      <c r="AE13" s="190">
        <v>24</v>
      </c>
      <c r="AF13" s="190">
        <v>7735</v>
      </c>
      <c r="AG13" s="190">
        <v>0</v>
      </c>
      <c r="AH13" s="190">
        <v>5</v>
      </c>
      <c r="AI13" s="190">
        <v>12677</v>
      </c>
      <c r="AJ13" s="190">
        <v>20412</v>
      </c>
      <c r="AK13" s="190">
        <v>12</v>
      </c>
      <c r="AL13" s="190">
        <v>12</v>
      </c>
      <c r="AM13" s="190">
        <v>1</v>
      </c>
      <c r="AN13" s="190">
        <v>12</v>
      </c>
      <c r="AO13" s="190">
        <v>9</v>
      </c>
      <c r="AP13" s="190" t="s">
        <v>307</v>
      </c>
      <c r="AQ13" s="190">
        <v>4000</v>
      </c>
      <c r="AR13" s="190">
        <v>0</v>
      </c>
      <c r="AS13" s="190"/>
      <c r="AT13" s="190">
        <v>4000</v>
      </c>
      <c r="AU13" s="190">
        <v>-14</v>
      </c>
      <c r="AV13" s="190">
        <v>221312</v>
      </c>
      <c r="AW13" s="190">
        <v>0</v>
      </c>
      <c r="AX13" s="190">
        <v>221312</v>
      </c>
      <c r="AY13" s="190">
        <v>14</v>
      </c>
      <c r="AZ13" s="190">
        <v>217426</v>
      </c>
      <c r="BA13" s="190">
        <v>3986</v>
      </c>
      <c r="BB13" s="190">
        <v>100</v>
      </c>
      <c r="BC13" s="190"/>
      <c r="BD13" s="190">
        <v>0</v>
      </c>
      <c r="BE13" s="190">
        <v>0</v>
      </c>
      <c r="BF13" s="190">
        <v>217317</v>
      </c>
      <c r="BG13" s="190">
        <v>221312</v>
      </c>
      <c r="BH13" s="190">
        <v>217412</v>
      </c>
      <c r="BI13" s="190">
        <v>7000</v>
      </c>
      <c r="BJ13" s="190">
        <v>0</v>
      </c>
      <c r="BK13" s="190"/>
      <c r="BL13" s="190" t="s">
        <v>306</v>
      </c>
      <c r="BM13" s="190">
        <v>7000</v>
      </c>
      <c r="BN13" s="190">
        <v>-999999</v>
      </c>
      <c r="BO13" s="190">
        <v>224195</v>
      </c>
      <c r="BP13" s="190">
        <v>224194</v>
      </c>
      <c r="BQ13" s="190">
        <v>48</v>
      </c>
      <c r="BR13" s="190">
        <v>223714</v>
      </c>
      <c r="BS13" s="190">
        <v>0</v>
      </c>
      <c r="BT13" s="190">
        <v>100</v>
      </c>
      <c r="BU13" s="190">
        <v>1</v>
      </c>
      <c r="BV13" s="190">
        <v>480</v>
      </c>
      <c r="BW13" s="190">
        <v>224194</v>
      </c>
      <c r="BX13" s="190">
        <v>223671</v>
      </c>
      <c r="BY13" s="190">
        <v>230566</v>
      </c>
      <c r="BZ13" s="190">
        <v>223666</v>
      </c>
      <c r="CA13" s="190">
        <v>2000</v>
      </c>
      <c r="CB13" s="190">
        <v>0</v>
      </c>
      <c r="CC13" s="190"/>
      <c r="CD13" s="190">
        <v>2000</v>
      </c>
      <c r="CE13" s="190">
        <v>-6</v>
      </c>
      <c r="CF13" s="190">
        <v>230312</v>
      </c>
      <c r="CG13" s="190">
        <v>0</v>
      </c>
      <c r="CH13" s="190">
        <v>230312</v>
      </c>
      <c r="CI13" s="190">
        <v>6</v>
      </c>
      <c r="CJ13" s="190">
        <v>228418</v>
      </c>
      <c r="CK13" s="190">
        <v>0</v>
      </c>
      <c r="CL13" s="190">
        <v>100</v>
      </c>
      <c r="CM13" s="190"/>
      <c r="CN13" s="190">
        <v>0</v>
      </c>
      <c r="CO13" s="190">
        <v>0</v>
      </c>
      <c r="CP13" s="190">
        <v>228312</v>
      </c>
      <c r="CQ13" s="190">
        <v>230312</v>
      </c>
      <c r="CR13" s="190">
        <v>228412</v>
      </c>
      <c r="CS13" s="190">
        <v>15</v>
      </c>
      <c r="CT13" s="190">
        <v>4</v>
      </c>
      <c r="CU13" s="190">
        <v>0</v>
      </c>
      <c r="CV13" s="190">
        <v>9</v>
      </c>
      <c r="CW13" s="190">
        <v>10</v>
      </c>
      <c r="CX13" s="190">
        <v>1</v>
      </c>
      <c r="CY13" s="190">
        <v>2</v>
      </c>
      <c r="CZ13" s="190">
        <v>3</v>
      </c>
      <c r="DA13" s="190">
        <v>4</v>
      </c>
      <c r="DB13" s="190">
        <v>5</v>
      </c>
      <c r="DC13" s="190">
        <v>6</v>
      </c>
      <c r="DD13" s="190">
        <v>7</v>
      </c>
      <c r="DE13" s="190">
        <v>8</v>
      </c>
      <c r="DF13" s="190" t="s">
        <v>403</v>
      </c>
      <c r="DG13" s="190" t="s">
        <v>308</v>
      </c>
      <c r="DH13" s="190" t="s">
        <v>18</v>
      </c>
      <c r="DI13" s="190">
        <v>0</v>
      </c>
      <c r="DJ13" s="190">
        <v>0</v>
      </c>
      <c r="DK13" s="190">
        <v>221412</v>
      </c>
      <c r="DL13" s="190">
        <v>0</v>
      </c>
      <c r="DM13" s="190">
        <v>221412</v>
      </c>
      <c r="DN13" s="190">
        <v>51</v>
      </c>
      <c r="DO13" s="190">
        <v>7000</v>
      </c>
      <c r="DP13" s="190">
        <v>0</v>
      </c>
      <c r="DQ13" s="190"/>
      <c r="DR13" s="190">
        <v>7000</v>
      </c>
      <c r="DS13" s="190">
        <v>-2836</v>
      </c>
      <c r="DT13" s="190">
        <v>228312</v>
      </c>
      <c r="DU13" s="190">
        <v>0</v>
      </c>
      <c r="DV13" s="190">
        <v>228312</v>
      </c>
      <c r="DW13" s="190">
        <v>2836</v>
      </c>
      <c r="DX13" s="190">
        <v>224248</v>
      </c>
      <c r="DY13" s="190">
        <v>4170</v>
      </c>
      <c r="DZ13" s="190">
        <v>100</v>
      </c>
      <c r="EA13" s="190"/>
      <c r="EB13" s="190">
        <v>0</v>
      </c>
      <c r="EC13" s="190">
        <v>0</v>
      </c>
      <c r="ED13" s="190">
        <v>224197</v>
      </c>
      <c r="EE13" s="190">
        <v>228312</v>
      </c>
      <c r="EF13" s="190">
        <v>221412</v>
      </c>
      <c r="EG13" s="190">
        <v>12</v>
      </c>
    </row>
    <row r="14" spans="1:137" x14ac:dyDescent="0.2">
      <c r="A14" s="190" t="s">
        <v>311</v>
      </c>
      <c r="B14" s="263" t="s">
        <v>426</v>
      </c>
      <c r="C14" s="190">
        <v>1</v>
      </c>
      <c r="D14" s="190" t="s">
        <v>421</v>
      </c>
      <c r="E14" s="190" t="s">
        <v>422</v>
      </c>
      <c r="F14" s="190">
        <v>59.954999999999998</v>
      </c>
      <c r="G14" s="190" t="s">
        <v>312</v>
      </c>
      <c r="H14" s="190">
        <v>1</v>
      </c>
      <c r="I14" s="190">
        <v>6000</v>
      </c>
      <c r="J14" s="190">
        <v>-32</v>
      </c>
      <c r="K14" s="190">
        <v>0</v>
      </c>
      <c r="L14" s="190">
        <v>26312</v>
      </c>
      <c r="M14" s="190">
        <v>32</v>
      </c>
      <c r="N14" s="190">
        <v>20444</v>
      </c>
      <c r="O14" s="190">
        <v>5971</v>
      </c>
      <c r="P14" s="190"/>
      <c r="Q14" s="190">
        <v>0</v>
      </c>
      <c r="R14" s="190">
        <v>0</v>
      </c>
      <c r="S14" s="190">
        <v>2080927215</v>
      </c>
      <c r="T14" s="190" t="s">
        <v>303</v>
      </c>
      <c r="U14" s="190" t="s">
        <v>304</v>
      </c>
      <c r="V14" s="190" t="s">
        <v>304</v>
      </c>
      <c r="W14" s="190" t="s">
        <v>398</v>
      </c>
      <c r="X14" s="190" t="s">
        <v>423</v>
      </c>
      <c r="Y14" s="260">
        <v>0.39826388888888886</v>
      </c>
      <c r="Z14" s="190" t="s">
        <v>305</v>
      </c>
      <c r="AA14" s="190" t="s">
        <v>306</v>
      </c>
      <c r="AB14" s="190">
        <v>-1</v>
      </c>
      <c r="AC14" s="190">
        <v>-999999</v>
      </c>
      <c r="AD14" s="190">
        <v>20412</v>
      </c>
      <c r="AE14" s="190">
        <v>24</v>
      </c>
      <c r="AF14" s="190">
        <v>7735</v>
      </c>
      <c r="AG14" s="190">
        <v>0</v>
      </c>
      <c r="AH14" s="190">
        <v>5</v>
      </c>
      <c r="AI14" s="190">
        <v>12677</v>
      </c>
      <c r="AJ14" s="190">
        <v>20412</v>
      </c>
      <c r="AK14" s="190">
        <v>13</v>
      </c>
      <c r="AL14" s="190">
        <v>13</v>
      </c>
      <c r="AM14" s="190">
        <v>1</v>
      </c>
      <c r="AN14" s="190">
        <v>13</v>
      </c>
      <c r="AO14" s="190">
        <v>7</v>
      </c>
      <c r="AP14" s="190" t="s">
        <v>307</v>
      </c>
      <c r="AQ14" s="190">
        <v>4000</v>
      </c>
      <c r="AR14" s="190">
        <v>0</v>
      </c>
      <c r="AS14" s="190"/>
      <c r="AT14" s="190">
        <v>4000</v>
      </c>
      <c r="AU14" s="190">
        <v>-7</v>
      </c>
      <c r="AV14" s="190">
        <v>234312</v>
      </c>
      <c r="AW14" s="190">
        <v>0</v>
      </c>
      <c r="AX14" s="190">
        <v>234312</v>
      </c>
      <c r="AY14" s="190">
        <v>7</v>
      </c>
      <c r="AZ14" s="190">
        <v>230419</v>
      </c>
      <c r="BA14" s="190">
        <v>4003</v>
      </c>
      <c r="BB14" s="190">
        <v>100</v>
      </c>
      <c r="BC14" s="190"/>
      <c r="BD14" s="190">
        <v>0</v>
      </c>
      <c r="BE14" s="190">
        <v>0</v>
      </c>
      <c r="BF14" s="190">
        <v>230317</v>
      </c>
      <c r="BG14" s="190">
        <v>234312</v>
      </c>
      <c r="BH14" s="190">
        <v>230412</v>
      </c>
      <c r="BI14" s="190">
        <v>7000</v>
      </c>
      <c r="BJ14" s="190">
        <v>0</v>
      </c>
      <c r="BK14" s="190"/>
      <c r="BL14" s="190" t="s">
        <v>306</v>
      </c>
      <c r="BM14" s="190">
        <v>7000</v>
      </c>
      <c r="BN14" s="190">
        <v>-999999</v>
      </c>
      <c r="BO14" s="190">
        <v>236130</v>
      </c>
      <c r="BP14" s="190">
        <v>236129</v>
      </c>
      <c r="BQ14" s="190">
        <v>47</v>
      </c>
      <c r="BR14" s="190">
        <v>235840</v>
      </c>
      <c r="BS14" s="190">
        <v>0</v>
      </c>
      <c r="BT14" s="190">
        <v>100</v>
      </c>
      <c r="BU14" s="190">
        <v>1</v>
      </c>
      <c r="BV14" s="190">
        <v>289</v>
      </c>
      <c r="BW14" s="190">
        <v>236129</v>
      </c>
      <c r="BX14" s="190">
        <v>235797</v>
      </c>
      <c r="BY14" s="190">
        <v>242693</v>
      </c>
      <c r="BZ14" s="190">
        <v>235793</v>
      </c>
      <c r="CA14" s="190">
        <v>12000</v>
      </c>
      <c r="CB14" s="190">
        <v>0</v>
      </c>
      <c r="CC14" s="190"/>
      <c r="CD14" s="190">
        <v>12000</v>
      </c>
      <c r="CE14" s="190">
        <v>-15</v>
      </c>
      <c r="CF14" s="190">
        <v>253312</v>
      </c>
      <c r="CG14" s="190">
        <v>0</v>
      </c>
      <c r="CH14" s="190">
        <v>253312</v>
      </c>
      <c r="CI14" s="190">
        <v>15</v>
      </c>
      <c r="CJ14" s="190">
        <v>241427</v>
      </c>
      <c r="CK14" s="190">
        <v>0</v>
      </c>
      <c r="CL14" s="190">
        <v>100</v>
      </c>
      <c r="CM14" s="190"/>
      <c r="CN14" s="190">
        <v>0</v>
      </c>
      <c r="CO14" s="190">
        <v>0</v>
      </c>
      <c r="CP14" s="190">
        <v>241312</v>
      </c>
      <c r="CQ14" s="190">
        <v>253312</v>
      </c>
      <c r="CR14" s="190">
        <v>241412</v>
      </c>
      <c r="CS14" s="190">
        <v>15</v>
      </c>
      <c r="CT14" s="190">
        <v>4</v>
      </c>
      <c r="CU14" s="190">
        <v>0</v>
      </c>
      <c r="CV14" s="190">
        <v>9</v>
      </c>
      <c r="CW14" s="190">
        <v>10</v>
      </c>
      <c r="CX14" s="190">
        <v>1</v>
      </c>
      <c r="CY14" s="190">
        <v>2</v>
      </c>
      <c r="CZ14" s="190">
        <v>3</v>
      </c>
      <c r="DA14" s="190">
        <v>4</v>
      </c>
      <c r="DB14" s="190">
        <v>5</v>
      </c>
      <c r="DC14" s="190">
        <v>6</v>
      </c>
      <c r="DD14" s="190">
        <v>7</v>
      </c>
      <c r="DE14" s="190">
        <v>8</v>
      </c>
      <c r="DF14" s="190" t="s">
        <v>401</v>
      </c>
      <c r="DG14" s="190" t="s">
        <v>308</v>
      </c>
      <c r="DH14" s="190" t="s">
        <v>18</v>
      </c>
      <c r="DI14" s="190">
        <v>0</v>
      </c>
      <c r="DJ14" s="190">
        <v>0</v>
      </c>
      <c r="DK14" s="190">
        <v>234422</v>
      </c>
      <c r="DL14" s="190">
        <v>10</v>
      </c>
      <c r="DM14" s="190">
        <v>234422</v>
      </c>
      <c r="DN14" s="190">
        <v>50</v>
      </c>
      <c r="DO14" s="190">
        <v>7000</v>
      </c>
      <c r="DP14" s="190">
        <v>0</v>
      </c>
      <c r="DQ14" s="190"/>
      <c r="DR14" s="190">
        <v>7000</v>
      </c>
      <c r="DS14" s="190">
        <v>-1762</v>
      </c>
      <c r="DT14" s="190">
        <v>241312</v>
      </c>
      <c r="DU14" s="190">
        <v>0</v>
      </c>
      <c r="DV14" s="190">
        <v>241312</v>
      </c>
      <c r="DW14" s="190">
        <v>1762</v>
      </c>
      <c r="DX14" s="190">
        <v>236174</v>
      </c>
      <c r="DY14" s="190">
        <v>5253</v>
      </c>
      <c r="DZ14" s="190">
        <v>100</v>
      </c>
      <c r="EA14" s="190"/>
      <c r="EB14" s="190">
        <v>0</v>
      </c>
      <c r="EC14" s="190">
        <v>0</v>
      </c>
      <c r="ED14" s="190">
        <v>236133</v>
      </c>
      <c r="EE14" s="190">
        <v>241312</v>
      </c>
      <c r="EF14" s="190">
        <v>234412</v>
      </c>
      <c r="EG14" s="190">
        <v>13</v>
      </c>
    </row>
    <row r="15" spans="1:137" x14ac:dyDescent="0.2">
      <c r="A15" s="190" t="s">
        <v>311</v>
      </c>
      <c r="B15" s="263" t="s">
        <v>426</v>
      </c>
      <c r="C15" s="190">
        <v>1</v>
      </c>
      <c r="D15" s="190" t="s">
        <v>421</v>
      </c>
      <c r="E15" s="190" t="s">
        <v>422</v>
      </c>
      <c r="F15" s="190">
        <v>59.954999999999998</v>
      </c>
      <c r="G15" s="190" t="s">
        <v>312</v>
      </c>
      <c r="H15" s="190">
        <v>1</v>
      </c>
      <c r="I15" s="190">
        <v>6000</v>
      </c>
      <c r="J15" s="190">
        <v>-32</v>
      </c>
      <c r="K15" s="190">
        <v>0</v>
      </c>
      <c r="L15" s="190">
        <v>26312</v>
      </c>
      <c r="M15" s="190">
        <v>32</v>
      </c>
      <c r="N15" s="190">
        <v>20444</v>
      </c>
      <c r="O15" s="190">
        <v>5971</v>
      </c>
      <c r="P15" s="190"/>
      <c r="Q15" s="190">
        <v>0</v>
      </c>
      <c r="R15" s="190">
        <v>0</v>
      </c>
      <c r="S15" s="190">
        <v>2080927215</v>
      </c>
      <c r="T15" s="190" t="s">
        <v>303</v>
      </c>
      <c r="U15" s="190" t="s">
        <v>304</v>
      </c>
      <c r="V15" s="190" t="s">
        <v>304</v>
      </c>
      <c r="W15" s="190" t="s">
        <v>398</v>
      </c>
      <c r="X15" s="190" t="s">
        <v>423</v>
      </c>
      <c r="Y15" s="260">
        <v>0.39826388888888886</v>
      </c>
      <c r="Z15" s="190" t="s">
        <v>305</v>
      </c>
      <c r="AA15" s="190" t="s">
        <v>306</v>
      </c>
      <c r="AB15" s="190">
        <v>-1</v>
      </c>
      <c r="AC15" s="190">
        <v>-999999</v>
      </c>
      <c r="AD15" s="190">
        <v>20412</v>
      </c>
      <c r="AE15" s="190">
        <v>24</v>
      </c>
      <c r="AF15" s="190">
        <v>7735</v>
      </c>
      <c r="AG15" s="190">
        <v>0</v>
      </c>
      <c r="AH15" s="190">
        <v>5</v>
      </c>
      <c r="AI15" s="190">
        <v>12677</v>
      </c>
      <c r="AJ15" s="190">
        <v>20412</v>
      </c>
      <c r="AK15" s="190">
        <v>14</v>
      </c>
      <c r="AL15" s="190">
        <v>14</v>
      </c>
      <c r="AM15" s="190">
        <v>1</v>
      </c>
      <c r="AN15" s="190">
        <v>14</v>
      </c>
      <c r="AO15" s="190">
        <v>8</v>
      </c>
      <c r="AP15" s="190" t="s">
        <v>307</v>
      </c>
      <c r="AQ15" s="190">
        <v>4000</v>
      </c>
      <c r="AR15" s="190">
        <v>0</v>
      </c>
      <c r="AS15" s="190"/>
      <c r="AT15" s="190">
        <v>4000</v>
      </c>
      <c r="AU15" s="190">
        <v>-8</v>
      </c>
      <c r="AV15" s="190">
        <v>257312</v>
      </c>
      <c r="AW15" s="190">
        <v>0</v>
      </c>
      <c r="AX15" s="190">
        <v>257312</v>
      </c>
      <c r="AY15" s="190">
        <v>8</v>
      </c>
      <c r="AZ15" s="190">
        <v>253420</v>
      </c>
      <c r="BA15" s="190">
        <v>4003</v>
      </c>
      <c r="BB15" s="190">
        <v>100</v>
      </c>
      <c r="BC15" s="190"/>
      <c r="BD15" s="190">
        <v>0</v>
      </c>
      <c r="BE15" s="190">
        <v>0</v>
      </c>
      <c r="BF15" s="190">
        <v>253317</v>
      </c>
      <c r="BG15" s="190">
        <v>257312</v>
      </c>
      <c r="BH15" s="190">
        <v>253412</v>
      </c>
      <c r="BI15" s="190">
        <v>7000</v>
      </c>
      <c r="BJ15" s="190">
        <v>0</v>
      </c>
      <c r="BK15" s="190"/>
      <c r="BL15" s="190" t="s">
        <v>306</v>
      </c>
      <c r="BM15" s="190">
        <v>7000</v>
      </c>
      <c r="BN15" s="190">
        <v>-999999</v>
      </c>
      <c r="BO15" s="190">
        <v>259784</v>
      </c>
      <c r="BP15" s="190">
        <v>259784</v>
      </c>
      <c r="BQ15" s="190">
        <v>38</v>
      </c>
      <c r="BR15" s="190">
        <v>259358</v>
      </c>
      <c r="BS15" s="190">
        <v>0</v>
      </c>
      <c r="BT15" s="190">
        <v>100</v>
      </c>
      <c r="BU15" s="190">
        <v>1</v>
      </c>
      <c r="BV15" s="190">
        <v>426</v>
      </c>
      <c r="BW15" s="190">
        <v>259784</v>
      </c>
      <c r="BX15" s="190">
        <v>259323</v>
      </c>
      <c r="BY15" s="190">
        <v>266220</v>
      </c>
      <c r="BZ15" s="190">
        <v>259320</v>
      </c>
      <c r="CA15" s="190">
        <v>4000</v>
      </c>
      <c r="CB15" s="190">
        <v>0</v>
      </c>
      <c r="CC15" s="190"/>
      <c r="CD15" s="190">
        <v>4000</v>
      </c>
      <c r="CE15" s="190">
        <v>-16</v>
      </c>
      <c r="CF15" s="190">
        <v>268312</v>
      </c>
      <c r="CG15" s="190">
        <v>0</v>
      </c>
      <c r="CH15" s="190">
        <v>268312</v>
      </c>
      <c r="CI15" s="190">
        <v>16</v>
      </c>
      <c r="CJ15" s="190">
        <v>264428</v>
      </c>
      <c r="CK15" s="190">
        <v>0</v>
      </c>
      <c r="CL15" s="190">
        <v>100</v>
      </c>
      <c r="CM15" s="190"/>
      <c r="CN15" s="190">
        <v>0</v>
      </c>
      <c r="CO15" s="190">
        <v>0</v>
      </c>
      <c r="CP15" s="190">
        <v>264312</v>
      </c>
      <c r="CQ15" s="190">
        <v>268312</v>
      </c>
      <c r="CR15" s="190">
        <v>264412</v>
      </c>
      <c r="CS15" s="190">
        <v>15</v>
      </c>
      <c r="CT15" s="190">
        <v>4</v>
      </c>
      <c r="CU15" s="190">
        <v>0</v>
      </c>
      <c r="CV15" s="190">
        <v>9</v>
      </c>
      <c r="CW15" s="190">
        <v>10</v>
      </c>
      <c r="CX15" s="190">
        <v>1</v>
      </c>
      <c r="CY15" s="190">
        <v>2</v>
      </c>
      <c r="CZ15" s="190">
        <v>3</v>
      </c>
      <c r="DA15" s="190">
        <v>4</v>
      </c>
      <c r="DB15" s="190">
        <v>5</v>
      </c>
      <c r="DC15" s="190">
        <v>6</v>
      </c>
      <c r="DD15" s="190">
        <v>7</v>
      </c>
      <c r="DE15" s="190">
        <v>8</v>
      </c>
      <c r="DF15" s="190" t="s">
        <v>405</v>
      </c>
      <c r="DG15" s="190" t="s">
        <v>308</v>
      </c>
      <c r="DH15" s="190" t="s">
        <v>18</v>
      </c>
      <c r="DI15" s="190">
        <v>0</v>
      </c>
      <c r="DJ15" s="190">
        <v>0</v>
      </c>
      <c r="DK15" s="190">
        <v>257423</v>
      </c>
      <c r="DL15" s="190">
        <v>11</v>
      </c>
      <c r="DM15" s="190">
        <v>257423</v>
      </c>
      <c r="DN15" s="190">
        <v>50</v>
      </c>
      <c r="DO15" s="190">
        <v>7000</v>
      </c>
      <c r="DP15" s="190">
        <v>0</v>
      </c>
      <c r="DQ15" s="190"/>
      <c r="DR15" s="190">
        <v>7000</v>
      </c>
      <c r="DS15" s="190">
        <v>-2413</v>
      </c>
      <c r="DT15" s="190">
        <v>264312</v>
      </c>
      <c r="DU15" s="190">
        <v>0</v>
      </c>
      <c r="DV15" s="190">
        <v>264312</v>
      </c>
      <c r="DW15" s="190">
        <v>2413</v>
      </c>
      <c r="DX15" s="190">
        <v>259825</v>
      </c>
      <c r="DY15" s="190">
        <v>4603</v>
      </c>
      <c r="DZ15" s="190">
        <v>100</v>
      </c>
      <c r="EA15" s="190"/>
      <c r="EB15" s="190">
        <v>0</v>
      </c>
      <c r="EC15" s="190">
        <v>0</v>
      </c>
      <c r="ED15" s="190">
        <v>259786</v>
      </c>
      <c r="EE15" s="190">
        <v>264312</v>
      </c>
      <c r="EF15" s="190">
        <v>257412</v>
      </c>
      <c r="EG15" s="190">
        <v>14</v>
      </c>
    </row>
    <row r="16" spans="1:137" x14ac:dyDescent="0.2">
      <c r="A16" s="190" t="s">
        <v>311</v>
      </c>
      <c r="B16" s="263" t="s">
        <v>426</v>
      </c>
      <c r="C16" s="190">
        <v>1</v>
      </c>
      <c r="D16" s="190" t="s">
        <v>421</v>
      </c>
      <c r="E16" s="190" t="s">
        <v>422</v>
      </c>
      <c r="F16" s="190">
        <v>59.954999999999998</v>
      </c>
      <c r="G16" s="190" t="s">
        <v>312</v>
      </c>
      <c r="H16" s="190">
        <v>1</v>
      </c>
      <c r="I16" s="190">
        <v>6000</v>
      </c>
      <c r="J16" s="190">
        <v>-32</v>
      </c>
      <c r="K16" s="190">
        <v>0</v>
      </c>
      <c r="L16" s="190">
        <v>26312</v>
      </c>
      <c r="M16" s="190">
        <v>32</v>
      </c>
      <c r="N16" s="190">
        <v>20444</v>
      </c>
      <c r="O16" s="190">
        <v>5971</v>
      </c>
      <c r="P16" s="190"/>
      <c r="Q16" s="190">
        <v>0</v>
      </c>
      <c r="R16" s="190">
        <v>0</v>
      </c>
      <c r="S16" s="190">
        <v>2080927215</v>
      </c>
      <c r="T16" s="190" t="s">
        <v>303</v>
      </c>
      <c r="U16" s="190" t="s">
        <v>304</v>
      </c>
      <c r="V16" s="190" t="s">
        <v>304</v>
      </c>
      <c r="W16" s="190" t="s">
        <v>398</v>
      </c>
      <c r="X16" s="190" t="s">
        <v>423</v>
      </c>
      <c r="Y16" s="260">
        <v>0.39826388888888886</v>
      </c>
      <c r="Z16" s="190" t="s">
        <v>305</v>
      </c>
      <c r="AA16" s="190" t="s">
        <v>306</v>
      </c>
      <c r="AB16" s="190">
        <v>-1</v>
      </c>
      <c r="AC16" s="190">
        <v>-999999</v>
      </c>
      <c r="AD16" s="190">
        <v>20412</v>
      </c>
      <c r="AE16" s="190">
        <v>24</v>
      </c>
      <c r="AF16" s="190">
        <v>7735</v>
      </c>
      <c r="AG16" s="190">
        <v>0</v>
      </c>
      <c r="AH16" s="190">
        <v>5</v>
      </c>
      <c r="AI16" s="190">
        <v>12677</v>
      </c>
      <c r="AJ16" s="190">
        <v>20412</v>
      </c>
      <c r="AK16" s="190">
        <v>15</v>
      </c>
      <c r="AL16" s="190">
        <v>15</v>
      </c>
      <c r="AM16" s="190">
        <v>1</v>
      </c>
      <c r="AN16" s="190">
        <v>15</v>
      </c>
      <c r="AO16" s="190">
        <v>0</v>
      </c>
      <c r="AP16" s="190" t="s">
        <v>307</v>
      </c>
      <c r="AQ16" s="190">
        <v>4000</v>
      </c>
      <c r="AR16" s="190">
        <v>0</v>
      </c>
      <c r="AS16" s="190"/>
      <c r="AT16" s="190">
        <v>4000</v>
      </c>
      <c r="AU16" s="190">
        <v>-2</v>
      </c>
      <c r="AV16" s="190">
        <v>272312</v>
      </c>
      <c r="AW16" s="190">
        <v>0</v>
      </c>
      <c r="AX16" s="190">
        <v>272312</v>
      </c>
      <c r="AY16" s="190">
        <v>2</v>
      </c>
      <c r="AZ16" s="190">
        <v>268414</v>
      </c>
      <c r="BA16" s="190">
        <v>4003</v>
      </c>
      <c r="BB16" s="190">
        <v>100</v>
      </c>
      <c r="BC16" s="190"/>
      <c r="BD16" s="190">
        <v>0</v>
      </c>
      <c r="BE16" s="190">
        <v>0</v>
      </c>
      <c r="BF16" s="190">
        <v>268318</v>
      </c>
      <c r="BG16" s="190">
        <v>272312</v>
      </c>
      <c r="BH16" s="190">
        <v>268412</v>
      </c>
      <c r="BI16" s="190">
        <v>7000</v>
      </c>
      <c r="BJ16" s="190">
        <v>0</v>
      </c>
      <c r="BK16" s="190"/>
      <c r="BL16" s="190" t="s">
        <v>306</v>
      </c>
      <c r="BM16" s="190">
        <v>7000</v>
      </c>
      <c r="BN16" s="190">
        <v>-999999</v>
      </c>
      <c r="BO16" s="190">
        <v>274447</v>
      </c>
      <c r="BP16" s="190">
        <v>274447</v>
      </c>
      <c r="BQ16" s="190">
        <v>51</v>
      </c>
      <c r="BR16" s="190">
        <v>274186</v>
      </c>
      <c r="BS16" s="190">
        <v>0</v>
      </c>
      <c r="BT16" s="190">
        <v>100</v>
      </c>
      <c r="BU16" s="190">
        <v>1</v>
      </c>
      <c r="BV16" s="190">
        <v>260</v>
      </c>
      <c r="BW16" s="190">
        <v>274446</v>
      </c>
      <c r="BX16" s="190">
        <v>274139</v>
      </c>
      <c r="BY16" s="190">
        <v>281035</v>
      </c>
      <c r="BZ16" s="190">
        <v>274135</v>
      </c>
      <c r="CA16" s="190">
        <v>6000</v>
      </c>
      <c r="CB16" s="190">
        <v>0</v>
      </c>
      <c r="CC16" s="190"/>
      <c r="CD16" s="190">
        <v>6000</v>
      </c>
      <c r="CE16" s="190">
        <v>-11</v>
      </c>
      <c r="CF16" s="190">
        <v>285312</v>
      </c>
      <c r="CG16" s="190">
        <v>0</v>
      </c>
      <c r="CH16" s="190">
        <v>285312</v>
      </c>
      <c r="CI16" s="190">
        <v>11</v>
      </c>
      <c r="CJ16" s="190">
        <v>279423</v>
      </c>
      <c r="CK16" s="190">
        <v>0</v>
      </c>
      <c r="CL16" s="190">
        <v>100</v>
      </c>
      <c r="CM16" s="190"/>
      <c r="CN16" s="190">
        <v>0</v>
      </c>
      <c r="CO16" s="190">
        <v>0</v>
      </c>
      <c r="CP16" s="190">
        <v>279312</v>
      </c>
      <c r="CQ16" s="190">
        <v>285312</v>
      </c>
      <c r="CR16" s="190">
        <v>279412</v>
      </c>
      <c r="CS16" s="190">
        <v>15</v>
      </c>
      <c r="CT16" s="190">
        <v>4</v>
      </c>
      <c r="CU16" s="190">
        <v>0</v>
      </c>
      <c r="CV16" s="190">
        <v>9</v>
      </c>
      <c r="CW16" s="190">
        <v>10</v>
      </c>
      <c r="CX16" s="190">
        <v>1</v>
      </c>
      <c r="CY16" s="190">
        <v>2</v>
      </c>
      <c r="CZ16" s="190">
        <v>3</v>
      </c>
      <c r="DA16" s="190">
        <v>4</v>
      </c>
      <c r="DB16" s="190">
        <v>5</v>
      </c>
      <c r="DC16" s="190">
        <v>6</v>
      </c>
      <c r="DD16" s="190">
        <v>7</v>
      </c>
      <c r="DE16" s="190">
        <v>8</v>
      </c>
      <c r="DF16" s="190" t="s">
        <v>402</v>
      </c>
      <c r="DG16" s="190" t="s">
        <v>308</v>
      </c>
      <c r="DH16" s="190" t="s">
        <v>18</v>
      </c>
      <c r="DI16" s="190">
        <v>0</v>
      </c>
      <c r="DJ16" s="190">
        <v>1</v>
      </c>
      <c r="DK16" s="190">
        <v>272418</v>
      </c>
      <c r="DL16" s="190">
        <v>5</v>
      </c>
      <c r="DM16" s="190">
        <v>272417</v>
      </c>
      <c r="DN16" s="190">
        <v>51</v>
      </c>
      <c r="DO16" s="190">
        <v>7000</v>
      </c>
      <c r="DP16" s="190">
        <v>0</v>
      </c>
      <c r="DQ16" s="190"/>
      <c r="DR16" s="190">
        <v>7000</v>
      </c>
      <c r="DS16" s="190">
        <v>-2074</v>
      </c>
      <c r="DT16" s="190">
        <v>279312</v>
      </c>
      <c r="DU16" s="190">
        <v>0</v>
      </c>
      <c r="DV16" s="190">
        <v>279312</v>
      </c>
      <c r="DW16" s="190">
        <v>2074</v>
      </c>
      <c r="DX16" s="190">
        <v>274486</v>
      </c>
      <c r="DY16" s="190">
        <v>4937</v>
      </c>
      <c r="DZ16" s="190">
        <v>100</v>
      </c>
      <c r="EA16" s="190"/>
      <c r="EB16" s="190">
        <v>0</v>
      </c>
      <c r="EC16" s="190">
        <v>0</v>
      </c>
      <c r="ED16" s="190">
        <v>274449</v>
      </c>
      <c r="EE16" s="190">
        <v>279312</v>
      </c>
      <c r="EF16" s="190">
        <v>272412</v>
      </c>
      <c r="EG16" s="190">
        <v>15</v>
      </c>
    </row>
    <row r="17" spans="1:137" x14ac:dyDescent="0.2">
      <c r="A17" s="190" t="s">
        <v>311</v>
      </c>
      <c r="B17" s="263" t="s">
        <v>426</v>
      </c>
      <c r="C17" s="190">
        <v>1</v>
      </c>
      <c r="D17" s="190" t="s">
        <v>421</v>
      </c>
      <c r="E17" s="190" t="s">
        <v>422</v>
      </c>
      <c r="F17" s="190">
        <v>59.954999999999998</v>
      </c>
      <c r="G17" s="190" t="s">
        <v>312</v>
      </c>
      <c r="H17" s="190">
        <v>1</v>
      </c>
      <c r="I17" s="190">
        <v>6000</v>
      </c>
      <c r="J17" s="190">
        <v>-32</v>
      </c>
      <c r="K17" s="190">
        <v>0</v>
      </c>
      <c r="L17" s="190">
        <v>26312</v>
      </c>
      <c r="M17" s="190">
        <v>32</v>
      </c>
      <c r="N17" s="190">
        <v>20444</v>
      </c>
      <c r="O17" s="190">
        <v>5971</v>
      </c>
      <c r="P17" s="190"/>
      <c r="Q17" s="190">
        <v>0</v>
      </c>
      <c r="R17" s="190">
        <v>0</v>
      </c>
      <c r="S17" s="190">
        <v>2080927215</v>
      </c>
      <c r="T17" s="190" t="s">
        <v>303</v>
      </c>
      <c r="U17" s="190" t="s">
        <v>304</v>
      </c>
      <c r="V17" s="190" t="s">
        <v>304</v>
      </c>
      <c r="W17" s="190" t="s">
        <v>398</v>
      </c>
      <c r="X17" s="190" t="s">
        <v>423</v>
      </c>
      <c r="Y17" s="260">
        <v>0.39826388888888886</v>
      </c>
      <c r="Z17" s="190" t="s">
        <v>305</v>
      </c>
      <c r="AA17" s="190" t="s">
        <v>306</v>
      </c>
      <c r="AB17" s="190">
        <v>-1</v>
      </c>
      <c r="AC17" s="190">
        <v>-999999</v>
      </c>
      <c r="AD17" s="190">
        <v>20412</v>
      </c>
      <c r="AE17" s="190">
        <v>24</v>
      </c>
      <c r="AF17" s="190">
        <v>7735</v>
      </c>
      <c r="AG17" s="190">
        <v>0</v>
      </c>
      <c r="AH17" s="190">
        <v>5</v>
      </c>
      <c r="AI17" s="190">
        <v>12677</v>
      </c>
      <c r="AJ17" s="190">
        <v>20412</v>
      </c>
      <c r="AK17" s="190">
        <v>16</v>
      </c>
      <c r="AL17" s="190">
        <v>16</v>
      </c>
      <c r="AM17" s="190">
        <v>1</v>
      </c>
      <c r="AN17" s="190">
        <v>16</v>
      </c>
      <c r="AO17" s="190">
        <v>4</v>
      </c>
      <c r="AP17" s="190" t="s">
        <v>307</v>
      </c>
      <c r="AQ17" s="190">
        <v>4000</v>
      </c>
      <c r="AR17" s="190">
        <v>0</v>
      </c>
      <c r="AS17" s="190"/>
      <c r="AT17" s="190">
        <v>4000</v>
      </c>
      <c r="AU17" s="190">
        <v>-15</v>
      </c>
      <c r="AV17" s="190">
        <v>289312</v>
      </c>
      <c r="AW17" s="190">
        <v>0</v>
      </c>
      <c r="AX17" s="190">
        <v>289312</v>
      </c>
      <c r="AY17" s="190">
        <v>15</v>
      </c>
      <c r="AZ17" s="190">
        <v>285427</v>
      </c>
      <c r="BA17" s="190">
        <v>3987</v>
      </c>
      <c r="BB17" s="190">
        <v>100</v>
      </c>
      <c r="BC17" s="190"/>
      <c r="BD17" s="190">
        <v>0</v>
      </c>
      <c r="BE17" s="190">
        <v>0</v>
      </c>
      <c r="BF17" s="190">
        <v>285317</v>
      </c>
      <c r="BG17" s="190">
        <v>289312</v>
      </c>
      <c r="BH17" s="190">
        <v>285412</v>
      </c>
      <c r="BI17" s="190">
        <v>7000</v>
      </c>
      <c r="BJ17" s="190">
        <v>0</v>
      </c>
      <c r="BK17" s="190"/>
      <c r="BL17" s="190" t="s">
        <v>306</v>
      </c>
      <c r="BM17" s="190">
        <v>7000</v>
      </c>
      <c r="BN17" s="190">
        <v>-999999</v>
      </c>
      <c r="BO17" s="190">
        <v>290853</v>
      </c>
      <c r="BP17" s="190">
        <v>290853</v>
      </c>
      <c r="BQ17" s="190">
        <v>50</v>
      </c>
      <c r="BR17" s="190">
        <v>290431</v>
      </c>
      <c r="BS17" s="190">
        <v>0</v>
      </c>
      <c r="BT17" s="190">
        <v>100</v>
      </c>
      <c r="BU17" s="190">
        <v>1</v>
      </c>
      <c r="BV17" s="190">
        <v>422</v>
      </c>
      <c r="BW17" s="190">
        <v>290853</v>
      </c>
      <c r="BX17" s="190">
        <v>290385</v>
      </c>
      <c r="BY17" s="190">
        <v>297281</v>
      </c>
      <c r="BZ17" s="190">
        <v>290381</v>
      </c>
      <c r="CA17" s="190">
        <v>4000</v>
      </c>
      <c r="CB17" s="190">
        <v>0</v>
      </c>
      <c r="CC17" s="190"/>
      <c r="CD17" s="190">
        <v>4000</v>
      </c>
      <c r="CE17" s="190">
        <v>-7</v>
      </c>
      <c r="CF17" s="190">
        <v>300312</v>
      </c>
      <c r="CG17" s="190">
        <v>0</v>
      </c>
      <c r="CH17" s="190">
        <v>300312</v>
      </c>
      <c r="CI17" s="190">
        <v>7</v>
      </c>
      <c r="CJ17" s="190">
        <v>296419</v>
      </c>
      <c r="CK17" s="190">
        <v>0</v>
      </c>
      <c r="CL17" s="190">
        <v>100</v>
      </c>
      <c r="CM17" s="190"/>
      <c r="CN17" s="190">
        <v>0</v>
      </c>
      <c r="CO17" s="190">
        <v>0</v>
      </c>
      <c r="CP17" s="190">
        <v>296312</v>
      </c>
      <c r="CQ17" s="190">
        <v>300312</v>
      </c>
      <c r="CR17" s="190">
        <v>296412</v>
      </c>
      <c r="CS17" s="190">
        <v>15</v>
      </c>
      <c r="CT17" s="190">
        <v>4</v>
      </c>
      <c r="CU17" s="190">
        <v>0</v>
      </c>
      <c r="CV17" s="190">
        <v>9</v>
      </c>
      <c r="CW17" s="190">
        <v>10</v>
      </c>
      <c r="CX17" s="190">
        <v>1</v>
      </c>
      <c r="CY17" s="190">
        <v>2</v>
      </c>
      <c r="CZ17" s="190">
        <v>3</v>
      </c>
      <c r="DA17" s="190">
        <v>4</v>
      </c>
      <c r="DB17" s="190">
        <v>5</v>
      </c>
      <c r="DC17" s="190">
        <v>6</v>
      </c>
      <c r="DD17" s="190">
        <v>7</v>
      </c>
      <c r="DE17" s="190">
        <v>8</v>
      </c>
      <c r="DF17" s="190" t="s">
        <v>416</v>
      </c>
      <c r="DG17" s="190" t="s">
        <v>308</v>
      </c>
      <c r="DH17" s="190" t="s">
        <v>18</v>
      </c>
      <c r="DI17" s="190">
        <v>0</v>
      </c>
      <c r="DJ17" s="190">
        <v>0</v>
      </c>
      <c r="DK17" s="190">
        <v>289414</v>
      </c>
      <c r="DL17" s="190">
        <v>2</v>
      </c>
      <c r="DM17" s="190">
        <v>289414</v>
      </c>
      <c r="DN17" s="190">
        <v>50</v>
      </c>
      <c r="DO17" s="190">
        <v>7000</v>
      </c>
      <c r="DP17" s="190">
        <v>0</v>
      </c>
      <c r="DQ17" s="190"/>
      <c r="DR17" s="190">
        <v>7000</v>
      </c>
      <c r="DS17" s="190">
        <v>-1486</v>
      </c>
      <c r="DT17" s="190">
        <v>296312</v>
      </c>
      <c r="DU17" s="190">
        <v>0</v>
      </c>
      <c r="DV17" s="190">
        <v>296312</v>
      </c>
      <c r="DW17" s="190">
        <v>1486</v>
      </c>
      <c r="DX17" s="190">
        <v>290898</v>
      </c>
      <c r="DY17" s="190">
        <v>5521</v>
      </c>
      <c r="DZ17" s="190">
        <v>100</v>
      </c>
      <c r="EA17" s="190"/>
      <c r="EB17" s="190">
        <v>0</v>
      </c>
      <c r="EC17" s="190">
        <v>0</v>
      </c>
      <c r="ED17" s="190">
        <v>290856</v>
      </c>
      <c r="EE17" s="190">
        <v>296312</v>
      </c>
      <c r="EF17" s="190">
        <v>289412</v>
      </c>
      <c r="EG17" s="190">
        <v>16</v>
      </c>
    </row>
    <row r="18" spans="1:137" x14ac:dyDescent="0.2">
      <c r="A18" s="190" t="s">
        <v>311</v>
      </c>
      <c r="B18" s="263" t="s">
        <v>426</v>
      </c>
      <c r="C18" s="190">
        <v>1</v>
      </c>
      <c r="D18" s="190" t="s">
        <v>421</v>
      </c>
      <c r="E18" s="190" t="s">
        <v>422</v>
      </c>
      <c r="F18" s="190">
        <v>59.954999999999998</v>
      </c>
      <c r="G18" s="190" t="s">
        <v>312</v>
      </c>
      <c r="H18" s="190">
        <v>1</v>
      </c>
      <c r="I18" s="190">
        <v>6000</v>
      </c>
      <c r="J18" s="190">
        <v>-32</v>
      </c>
      <c r="K18" s="190">
        <v>0</v>
      </c>
      <c r="L18" s="190">
        <v>26312</v>
      </c>
      <c r="M18" s="190">
        <v>32</v>
      </c>
      <c r="N18" s="190">
        <v>20444</v>
      </c>
      <c r="O18" s="190">
        <v>5971</v>
      </c>
      <c r="P18" s="190"/>
      <c r="Q18" s="190">
        <v>0</v>
      </c>
      <c r="R18" s="190">
        <v>0</v>
      </c>
      <c r="S18" s="190">
        <v>2080927215</v>
      </c>
      <c r="T18" s="190" t="s">
        <v>303</v>
      </c>
      <c r="U18" s="190" t="s">
        <v>304</v>
      </c>
      <c r="V18" s="190" t="s">
        <v>304</v>
      </c>
      <c r="W18" s="190" t="s">
        <v>398</v>
      </c>
      <c r="X18" s="190" t="s">
        <v>423</v>
      </c>
      <c r="Y18" s="260">
        <v>0.39826388888888886</v>
      </c>
      <c r="Z18" s="190" t="s">
        <v>305</v>
      </c>
      <c r="AA18" s="190" t="s">
        <v>306</v>
      </c>
      <c r="AB18" s="190">
        <v>-1</v>
      </c>
      <c r="AC18" s="190">
        <v>-999999</v>
      </c>
      <c r="AD18" s="190">
        <v>20412</v>
      </c>
      <c r="AE18" s="190">
        <v>24</v>
      </c>
      <c r="AF18" s="190">
        <v>7735</v>
      </c>
      <c r="AG18" s="190">
        <v>0</v>
      </c>
      <c r="AH18" s="190">
        <v>5</v>
      </c>
      <c r="AI18" s="190">
        <v>12677</v>
      </c>
      <c r="AJ18" s="190">
        <v>20412</v>
      </c>
      <c r="AK18" s="190">
        <v>17</v>
      </c>
      <c r="AL18" s="190">
        <v>17</v>
      </c>
      <c r="AM18" s="190">
        <v>1</v>
      </c>
      <c r="AN18" s="190">
        <v>17</v>
      </c>
      <c r="AO18" s="190">
        <v>8</v>
      </c>
      <c r="AP18" s="190" t="s">
        <v>307</v>
      </c>
      <c r="AQ18" s="190">
        <v>4000</v>
      </c>
      <c r="AR18" s="190">
        <v>0</v>
      </c>
      <c r="AS18" s="190"/>
      <c r="AT18" s="190">
        <v>4000</v>
      </c>
      <c r="AU18" s="190">
        <v>-10</v>
      </c>
      <c r="AV18" s="190">
        <v>304312</v>
      </c>
      <c r="AW18" s="190">
        <v>0</v>
      </c>
      <c r="AX18" s="190">
        <v>304312</v>
      </c>
      <c r="AY18" s="190">
        <v>10</v>
      </c>
      <c r="AZ18" s="190">
        <v>300422</v>
      </c>
      <c r="BA18" s="190">
        <v>4003</v>
      </c>
      <c r="BB18" s="190">
        <v>100</v>
      </c>
      <c r="BC18" s="190"/>
      <c r="BD18" s="190">
        <v>0</v>
      </c>
      <c r="BE18" s="190">
        <v>0</v>
      </c>
      <c r="BF18" s="190">
        <v>300317</v>
      </c>
      <c r="BG18" s="190">
        <v>304312</v>
      </c>
      <c r="BH18" s="190">
        <v>300412</v>
      </c>
      <c r="BI18" s="190">
        <v>7000</v>
      </c>
      <c r="BJ18" s="190">
        <v>0</v>
      </c>
      <c r="BK18" s="190"/>
      <c r="BL18" s="190" t="s">
        <v>306</v>
      </c>
      <c r="BM18" s="190">
        <v>7000</v>
      </c>
      <c r="BN18" s="190">
        <v>-999999</v>
      </c>
      <c r="BO18" s="190">
        <v>306628</v>
      </c>
      <c r="BP18" s="190">
        <v>306628</v>
      </c>
      <c r="BQ18" s="190">
        <v>43</v>
      </c>
      <c r="BR18" s="190">
        <v>305943</v>
      </c>
      <c r="BS18" s="190">
        <v>0</v>
      </c>
      <c r="BT18" s="190">
        <v>100</v>
      </c>
      <c r="BU18" s="190">
        <v>1</v>
      </c>
      <c r="BV18" s="190">
        <v>685</v>
      </c>
      <c r="BW18" s="190">
        <v>306628</v>
      </c>
      <c r="BX18" s="190">
        <v>305904</v>
      </c>
      <c r="BY18" s="190">
        <v>312800</v>
      </c>
      <c r="BZ18" s="190">
        <v>305900</v>
      </c>
      <c r="CA18" s="190">
        <v>10000</v>
      </c>
      <c r="CB18" s="190">
        <v>0</v>
      </c>
      <c r="CC18" s="190"/>
      <c r="CD18" s="190">
        <v>10000</v>
      </c>
      <c r="CE18" s="190">
        <v>-2</v>
      </c>
      <c r="CF18" s="190">
        <v>321312</v>
      </c>
      <c r="CG18" s="190">
        <v>0</v>
      </c>
      <c r="CH18" s="190">
        <v>321312</v>
      </c>
      <c r="CI18" s="190">
        <v>2</v>
      </c>
      <c r="CJ18" s="190">
        <v>311414</v>
      </c>
      <c r="CK18" s="190">
        <v>0</v>
      </c>
      <c r="CL18" s="190">
        <v>100</v>
      </c>
      <c r="CM18" s="190"/>
      <c r="CN18" s="190">
        <v>0</v>
      </c>
      <c r="CO18" s="190">
        <v>0</v>
      </c>
      <c r="CP18" s="190">
        <v>311312</v>
      </c>
      <c r="CQ18" s="190">
        <v>321312</v>
      </c>
      <c r="CR18" s="190">
        <v>311412</v>
      </c>
      <c r="CS18" s="190">
        <v>15</v>
      </c>
      <c r="CT18" s="190">
        <v>4</v>
      </c>
      <c r="CU18" s="190">
        <v>0</v>
      </c>
      <c r="CV18" s="190">
        <v>9</v>
      </c>
      <c r="CW18" s="190">
        <v>10</v>
      </c>
      <c r="CX18" s="190">
        <v>1</v>
      </c>
      <c r="CY18" s="190">
        <v>2</v>
      </c>
      <c r="CZ18" s="190">
        <v>3</v>
      </c>
      <c r="DA18" s="190">
        <v>4</v>
      </c>
      <c r="DB18" s="190">
        <v>5</v>
      </c>
      <c r="DC18" s="190">
        <v>6</v>
      </c>
      <c r="DD18" s="190">
        <v>7</v>
      </c>
      <c r="DE18" s="190">
        <v>8</v>
      </c>
      <c r="DF18" s="190" t="s">
        <v>417</v>
      </c>
      <c r="DG18" s="190" t="s">
        <v>308</v>
      </c>
      <c r="DH18" s="190" t="s">
        <v>18</v>
      </c>
      <c r="DI18" s="190">
        <v>0</v>
      </c>
      <c r="DJ18" s="190">
        <v>0</v>
      </c>
      <c r="DK18" s="190">
        <v>304425</v>
      </c>
      <c r="DL18" s="190">
        <v>13</v>
      </c>
      <c r="DM18" s="190">
        <v>304425</v>
      </c>
      <c r="DN18" s="190">
        <v>50</v>
      </c>
      <c r="DO18" s="190">
        <v>7000</v>
      </c>
      <c r="DP18" s="190">
        <v>0</v>
      </c>
      <c r="DQ18" s="190"/>
      <c r="DR18" s="190">
        <v>7000</v>
      </c>
      <c r="DS18" s="190">
        <v>-2265</v>
      </c>
      <c r="DT18" s="190">
        <v>311312</v>
      </c>
      <c r="DU18" s="190">
        <v>0</v>
      </c>
      <c r="DV18" s="190">
        <v>311312</v>
      </c>
      <c r="DW18" s="190">
        <v>2265</v>
      </c>
      <c r="DX18" s="190">
        <v>306677</v>
      </c>
      <c r="DY18" s="190">
        <v>4737</v>
      </c>
      <c r="DZ18" s="190">
        <v>100</v>
      </c>
      <c r="EA18" s="190"/>
      <c r="EB18" s="190">
        <v>0</v>
      </c>
      <c r="EC18" s="190">
        <v>0</v>
      </c>
      <c r="ED18" s="190">
        <v>306630</v>
      </c>
      <c r="EE18" s="190">
        <v>311312</v>
      </c>
      <c r="EF18" s="190">
        <v>304412</v>
      </c>
      <c r="EG18" s="190">
        <v>17</v>
      </c>
    </row>
    <row r="19" spans="1:137" x14ac:dyDescent="0.2">
      <c r="A19" s="190" t="s">
        <v>311</v>
      </c>
      <c r="B19" s="263" t="s">
        <v>426</v>
      </c>
      <c r="C19" s="190">
        <v>1</v>
      </c>
      <c r="D19" s="190" t="s">
        <v>421</v>
      </c>
      <c r="E19" s="190" t="s">
        <v>422</v>
      </c>
      <c r="F19" s="190">
        <v>59.954999999999998</v>
      </c>
      <c r="G19" s="190" t="s">
        <v>312</v>
      </c>
      <c r="H19" s="190">
        <v>1</v>
      </c>
      <c r="I19" s="190">
        <v>6000</v>
      </c>
      <c r="J19" s="190">
        <v>-32</v>
      </c>
      <c r="K19" s="190">
        <v>0</v>
      </c>
      <c r="L19" s="190">
        <v>26312</v>
      </c>
      <c r="M19" s="190">
        <v>32</v>
      </c>
      <c r="N19" s="190">
        <v>20444</v>
      </c>
      <c r="O19" s="190">
        <v>5971</v>
      </c>
      <c r="P19" s="190"/>
      <c r="Q19" s="190">
        <v>0</v>
      </c>
      <c r="R19" s="190">
        <v>0</v>
      </c>
      <c r="S19" s="190">
        <v>2080927215</v>
      </c>
      <c r="T19" s="190" t="s">
        <v>303</v>
      </c>
      <c r="U19" s="190" t="s">
        <v>304</v>
      </c>
      <c r="V19" s="190" t="s">
        <v>304</v>
      </c>
      <c r="W19" s="190" t="s">
        <v>398</v>
      </c>
      <c r="X19" s="190" t="s">
        <v>423</v>
      </c>
      <c r="Y19" s="260">
        <v>0.39826388888888886</v>
      </c>
      <c r="Z19" s="190" t="s">
        <v>305</v>
      </c>
      <c r="AA19" s="190" t="s">
        <v>306</v>
      </c>
      <c r="AB19" s="190">
        <v>-1</v>
      </c>
      <c r="AC19" s="190">
        <v>-999999</v>
      </c>
      <c r="AD19" s="190">
        <v>20412</v>
      </c>
      <c r="AE19" s="190">
        <v>24</v>
      </c>
      <c r="AF19" s="190">
        <v>7735</v>
      </c>
      <c r="AG19" s="190">
        <v>0</v>
      </c>
      <c r="AH19" s="190">
        <v>5</v>
      </c>
      <c r="AI19" s="190">
        <v>12677</v>
      </c>
      <c r="AJ19" s="190">
        <v>20412</v>
      </c>
      <c r="AK19" s="190">
        <v>18</v>
      </c>
      <c r="AL19" s="190">
        <v>18</v>
      </c>
      <c r="AM19" s="190">
        <v>1</v>
      </c>
      <c r="AN19" s="190">
        <v>18</v>
      </c>
      <c r="AO19" s="190">
        <v>8</v>
      </c>
      <c r="AP19" s="190" t="s">
        <v>307</v>
      </c>
      <c r="AQ19" s="190">
        <v>4000</v>
      </c>
      <c r="AR19" s="190">
        <v>0</v>
      </c>
      <c r="AS19" s="190"/>
      <c r="AT19" s="190">
        <v>4000</v>
      </c>
      <c r="AU19" s="190">
        <v>-9</v>
      </c>
      <c r="AV19" s="190">
        <v>325312</v>
      </c>
      <c r="AW19" s="190">
        <v>0</v>
      </c>
      <c r="AX19" s="190">
        <v>325312</v>
      </c>
      <c r="AY19" s="190">
        <v>9</v>
      </c>
      <c r="AZ19" s="190">
        <v>321421</v>
      </c>
      <c r="BA19" s="190">
        <v>4003</v>
      </c>
      <c r="BB19" s="190">
        <v>100</v>
      </c>
      <c r="BC19" s="190"/>
      <c r="BD19" s="190">
        <v>0</v>
      </c>
      <c r="BE19" s="190">
        <v>0</v>
      </c>
      <c r="BF19" s="190">
        <v>321317</v>
      </c>
      <c r="BG19" s="190">
        <v>325312</v>
      </c>
      <c r="BH19" s="190">
        <v>321412</v>
      </c>
      <c r="BI19" s="190">
        <v>7000</v>
      </c>
      <c r="BJ19" s="190">
        <v>0</v>
      </c>
      <c r="BK19" s="190"/>
      <c r="BL19" s="190" t="s">
        <v>306</v>
      </c>
      <c r="BM19" s="190">
        <v>7000</v>
      </c>
      <c r="BN19" s="190">
        <v>-999999</v>
      </c>
      <c r="BO19" s="190">
        <v>327139</v>
      </c>
      <c r="BP19" s="190">
        <v>327139</v>
      </c>
      <c r="BQ19" s="190">
        <v>54</v>
      </c>
      <c r="BR19" s="190">
        <v>326825</v>
      </c>
      <c r="BS19" s="190">
        <v>0</v>
      </c>
      <c r="BT19" s="190">
        <v>100</v>
      </c>
      <c r="BU19" s="190">
        <v>1</v>
      </c>
      <c r="BV19" s="190">
        <v>313</v>
      </c>
      <c r="BW19" s="190">
        <v>327138</v>
      </c>
      <c r="BX19" s="190">
        <v>326775</v>
      </c>
      <c r="BY19" s="190">
        <v>333671</v>
      </c>
      <c r="BZ19" s="190">
        <v>326771</v>
      </c>
      <c r="CA19" s="190">
        <v>2000</v>
      </c>
      <c r="CB19" s="190">
        <v>0</v>
      </c>
      <c r="CC19" s="190"/>
      <c r="CD19" s="190">
        <v>2000</v>
      </c>
      <c r="CE19" s="190">
        <v>-1</v>
      </c>
      <c r="CF19" s="190">
        <v>334312</v>
      </c>
      <c r="CG19" s="190">
        <v>0</v>
      </c>
      <c r="CH19" s="190">
        <v>334312</v>
      </c>
      <c r="CI19" s="190">
        <v>1</v>
      </c>
      <c r="CJ19" s="190">
        <v>332413</v>
      </c>
      <c r="CK19" s="190">
        <v>0</v>
      </c>
      <c r="CL19" s="190">
        <v>100</v>
      </c>
      <c r="CM19" s="190"/>
      <c r="CN19" s="190">
        <v>0</v>
      </c>
      <c r="CO19" s="190">
        <v>0</v>
      </c>
      <c r="CP19" s="190">
        <v>332312</v>
      </c>
      <c r="CQ19" s="190">
        <v>334312</v>
      </c>
      <c r="CR19" s="190">
        <v>332412</v>
      </c>
      <c r="CS19" s="190">
        <v>15</v>
      </c>
      <c r="CT19" s="190">
        <v>4</v>
      </c>
      <c r="CU19" s="190">
        <v>0</v>
      </c>
      <c r="CV19" s="190">
        <v>9</v>
      </c>
      <c r="CW19" s="190">
        <v>10</v>
      </c>
      <c r="CX19" s="190">
        <v>1</v>
      </c>
      <c r="CY19" s="190">
        <v>2</v>
      </c>
      <c r="CZ19" s="190">
        <v>3</v>
      </c>
      <c r="DA19" s="190">
        <v>4</v>
      </c>
      <c r="DB19" s="190">
        <v>5</v>
      </c>
      <c r="DC19" s="190">
        <v>6</v>
      </c>
      <c r="DD19" s="190">
        <v>7</v>
      </c>
      <c r="DE19" s="190">
        <v>8</v>
      </c>
      <c r="DF19" s="190" t="s">
        <v>424</v>
      </c>
      <c r="DG19" s="190" t="s">
        <v>308</v>
      </c>
      <c r="DH19" s="190" t="s">
        <v>18</v>
      </c>
      <c r="DI19" s="190">
        <v>0</v>
      </c>
      <c r="DJ19" s="190">
        <v>0</v>
      </c>
      <c r="DK19" s="190">
        <v>325424</v>
      </c>
      <c r="DL19" s="190">
        <v>12</v>
      </c>
      <c r="DM19" s="190">
        <v>325424</v>
      </c>
      <c r="DN19" s="190">
        <v>50</v>
      </c>
      <c r="DO19" s="190">
        <v>7000</v>
      </c>
      <c r="DP19" s="190">
        <v>0</v>
      </c>
      <c r="DQ19" s="190"/>
      <c r="DR19" s="190">
        <v>7000</v>
      </c>
      <c r="DS19" s="190">
        <v>-1780</v>
      </c>
      <c r="DT19" s="190">
        <v>332312</v>
      </c>
      <c r="DU19" s="190">
        <v>0</v>
      </c>
      <c r="DV19" s="190">
        <v>332312</v>
      </c>
      <c r="DW19" s="190">
        <v>1780</v>
      </c>
      <c r="DX19" s="190">
        <v>327192</v>
      </c>
      <c r="DY19" s="190">
        <v>5221</v>
      </c>
      <c r="DZ19" s="190">
        <v>100</v>
      </c>
      <c r="EA19" s="190"/>
      <c r="EB19" s="190">
        <v>0</v>
      </c>
      <c r="EC19" s="190">
        <v>0</v>
      </c>
      <c r="ED19" s="190">
        <v>327141</v>
      </c>
      <c r="EE19" s="190">
        <v>332312</v>
      </c>
      <c r="EF19" s="190">
        <v>325412</v>
      </c>
      <c r="EG19" s="190">
        <v>18</v>
      </c>
    </row>
    <row r="20" spans="1:137" x14ac:dyDescent="0.2">
      <c r="A20" s="190" t="s">
        <v>311</v>
      </c>
      <c r="B20" s="263" t="s">
        <v>426</v>
      </c>
      <c r="C20" s="190">
        <v>1</v>
      </c>
      <c r="D20" s="190" t="s">
        <v>421</v>
      </c>
      <c r="E20" s="190" t="s">
        <v>422</v>
      </c>
      <c r="F20" s="190">
        <v>59.954999999999998</v>
      </c>
      <c r="G20" s="190" t="s">
        <v>312</v>
      </c>
      <c r="H20" s="190">
        <v>1</v>
      </c>
      <c r="I20" s="190">
        <v>6000</v>
      </c>
      <c r="J20" s="190">
        <v>-32</v>
      </c>
      <c r="K20" s="190">
        <v>0</v>
      </c>
      <c r="L20" s="190">
        <v>26312</v>
      </c>
      <c r="M20" s="190">
        <v>32</v>
      </c>
      <c r="N20" s="190">
        <v>20444</v>
      </c>
      <c r="O20" s="190">
        <v>5971</v>
      </c>
      <c r="P20" s="190"/>
      <c r="Q20" s="190">
        <v>0</v>
      </c>
      <c r="R20" s="190">
        <v>0</v>
      </c>
      <c r="S20" s="190">
        <v>2080927215</v>
      </c>
      <c r="T20" s="190" t="s">
        <v>303</v>
      </c>
      <c r="U20" s="190" t="s">
        <v>304</v>
      </c>
      <c r="V20" s="190" t="s">
        <v>304</v>
      </c>
      <c r="W20" s="190" t="s">
        <v>398</v>
      </c>
      <c r="X20" s="190" t="s">
        <v>423</v>
      </c>
      <c r="Y20" s="260">
        <v>0.39826388888888886</v>
      </c>
      <c r="Z20" s="190" t="s">
        <v>305</v>
      </c>
      <c r="AA20" s="190" t="s">
        <v>306</v>
      </c>
      <c r="AB20" s="190">
        <v>-1</v>
      </c>
      <c r="AC20" s="190">
        <v>-999999</v>
      </c>
      <c r="AD20" s="190">
        <v>20412</v>
      </c>
      <c r="AE20" s="190">
        <v>24</v>
      </c>
      <c r="AF20" s="190">
        <v>7735</v>
      </c>
      <c r="AG20" s="190">
        <v>0</v>
      </c>
      <c r="AH20" s="190">
        <v>5</v>
      </c>
      <c r="AI20" s="190">
        <v>12677</v>
      </c>
      <c r="AJ20" s="190">
        <v>20412</v>
      </c>
      <c r="AK20" s="190">
        <v>19</v>
      </c>
      <c r="AL20" s="190">
        <v>19</v>
      </c>
      <c r="AM20" s="190">
        <v>1</v>
      </c>
      <c r="AN20" s="190">
        <v>19</v>
      </c>
      <c r="AO20" s="190">
        <v>8</v>
      </c>
      <c r="AP20" s="190" t="s">
        <v>307</v>
      </c>
      <c r="AQ20" s="190">
        <v>4000</v>
      </c>
      <c r="AR20" s="190">
        <v>0</v>
      </c>
      <c r="AS20" s="190"/>
      <c r="AT20" s="190">
        <v>4000</v>
      </c>
      <c r="AU20" s="190">
        <v>-2</v>
      </c>
      <c r="AV20" s="190">
        <v>338312</v>
      </c>
      <c r="AW20" s="190">
        <v>0</v>
      </c>
      <c r="AX20" s="190">
        <v>338312</v>
      </c>
      <c r="AY20" s="190">
        <v>2</v>
      </c>
      <c r="AZ20" s="190">
        <v>334414</v>
      </c>
      <c r="BA20" s="190">
        <v>4003</v>
      </c>
      <c r="BB20" s="190">
        <v>100</v>
      </c>
      <c r="BC20" s="190"/>
      <c r="BD20" s="190">
        <v>0</v>
      </c>
      <c r="BE20" s="190">
        <v>0</v>
      </c>
      <c r="BF20" s="190">
        <v>334317</v>
      </c>
      <c r="BG20" s="190">
        <v>338312</v>
      </c>
      <c r="BH20" s="190">
        <v>334412</v>
      </c>
      <c r="BI20" s="190">
        <v>7000</v>
      </c>
      <c r="BJ20" s="190">
        <v>0</v>
      </c>
      <c r="BK20" s="190"/>
      <c r="BL20" s="190" t="s">
        <v>306</v>
      </c>
      <c r="BM20" s="190">
        <v>7000</v>
      </c>
      <c r="BN20" s="190">
        <v>-999999</v>
      </c>
      <c r="BO20" s="190">
        <v>340218</v>
      </c>
      <c r="BP20" s="190">
        <v>340217</v>
      </c>
      <c r="BQ20" s="190">
        <v>38</v>
      </c>
      <c r="BR20" s="190">
        <v>339735</v>
      </c>
      <c r="BS20" s="190">
        <v>0</v>
      </c>
      <c r="BT20" s="190">
        <v>100</v>
      </c>
      <c r="BU20" s="190">
        <v>1</v>
      </c>
      <c r="BV20" s="190">
        <v>482</v>
      </c>
      <c r="BW20" s="190">
        <v>340217</v>
      </c>
      <c r="BX20" s="190">
        <v>339701</v>
      </c>
      <c r="BY20" s="190">
        <v>346597</v>
      </c>
      <c r="BZ20" s="190">
        <v>339697</v>
      </c>
      <c r="CA20" s="190">
        <v>4000</v>
      </c>
      <c r="CB20" s="190">
        <v>0</v>
      </c>
      <c r="CC20" s="190"/>
      <c r="CD20" s="190">
        <v>4000</v>
      </c>
      <c r="CE20" s="190">
        <v>-10</v>
      </c>
      <c r="CF20" s="190">
        <v>349312</v>
      </c>
      <c r="CG20" s="190">
        <v>0</v>
      </c>
      <c r="CH20" s="190">
        <v>349312</v>
      </c>
      <c r="CI20" s="190">
        <v>10</v>
      </c>
      <c r="CJ20" s="190">
        <v>345422</v>
      </c>
      <c r="CK20" s="190">
        <v>0</v>
      </c>
      <c r="CL20" s="190">
        <v>100</v>
      </c>
      <c r="CM20" s="190"/>
      <c r="CN20" s="190">
        <v>0</v>
      </c>
      <c r="CO20" s="190">
        <v>0</v>
      </c>
      <c r="CP20" s="190">
        <v>345312</v>
      </c>
      <c r="CQ20" s="190">
        <v>349312</v>
      </c>
      <c r="CR20" s="190">
        <v>345412</v>
      </c>
      <c r="CS20" s="190">
        <v>15</v>
      </c>
      <c r="CT20" s="190">
        <v>4</v>
      </c>
      <c r="CU20" s="190">
        <v>0</v>
      </c>
      <c r="CV20" s="190">
        <v>9</v>
      </c>
      <c r="CW20" s="190">
        <v>10</v>
      </c>
      <c r="CX20" s="190">
        <v>1</v>
      </c>
      <c r="CY20" s="190">
        <v>2</v>
      </c>
      <c r="CZ20" s="190">
        <v>3</v>
      </c>
      <c r="DA20" s="190">
        <v>4</v>
      </c>
      <c r="DB20" s="190">
        <v>5</v>
      </c>
      <c r="DC20" s="190">
        <v>6</v>
      </c>
      <c r="DD20" s="190">
        <v>7</v>
      </c>
      <c r="DE20" s="190">
        <v>8</v>
      </c>
      <c r="DF20" s="190" t="s">
        <v>410</v>
      </c>
      <c r="DG20" s="190" t="s">
        <v>308</v>
      </c>
      <c r="DH20" s="190" t="s">
        <v>18</v>
      </c>
      <c r="DI20" s="190">
        <v>0</v>
      </c>
      <c r="DJ20" s="190">
        <v>0</v>
      </c>
      <c r="DK20" s="190">
        <v>338417</v>
      </c>
      <c r="DL20" s="190">
        <v>5</v>
      </c>
      <c r="DM20" s="190">
        <v>338417</v>
      </c>
      <c r="DN20" s="190">
        <v>50</v>
      </c>
      <c r="DO20" s="190">
        <v>7000</v>
      </c>
      <c r="DP20" s="190">
        <v>0</v>
      </c>
      <c r="DQ20" s="190"/>
      <c r="DR20" s="190">
        <v>7000</v>
      </c>
      <c r="DS20" s="190">
        <v>-1857</v>
      </c>
      <c r="DT20" s="190">
        <v>345312</v>
      </c>
      <c r="DU20" s="190">
        <v>0</v>
      </c>
      <c r="DV20" s="190">
        <v>345312</v>
      </c>
      <c r="DW20" s="190">
        <v>1857</v>
      </c>
      <c r="DX20" s="190">
        <v>340269</v>
      </c>
      <c r="DY20" s="190">
        <v>5153</v>
      </c>
      <c r="DZ20" s="190">
        <v>100</v>
      </c>
      <c r="EA20" s="190"/>
      <c r="EB20" s="190">
        <v>0</v>
      </c>
      <c r="EC20" s="190">
        <v>0</v>
      </c>
      <c r="ED20" s="190">
        <v>340219</v>
      </c>
      <c r="EE20" s="190">
        <v>345312</v>
      </c>
      <c r="EF20" s="190">
        <v>338412</v>
      </c>
      <c r="EG20" s="190">
        <v>19</v>
      </c>
    </row>
    <row r="21" spans="1:137" x14ac:dyDescent="0.2">
      <c r="A21" s="190" t="s">
        <v>311</v>
      </c>
      <c r="B21" s="263" t="s">
        <v>426</v>
      </c>
      <c r="C21" s="190">
        <v>1</v>
      </c>
      <c r="D21" s="190" t="s">
        <v>421</v>
      </c>
      <c r="E21" s="190" t="s">
        <v>422</v>
      </c>
      <c r="F21" s="190">
        <v>59.954999999999998</v>
      </c>
      <c r="G21" s="190" t="s">
        <v>312</v>
      </c>
      <c r="H21" s="190">
        <v>1</v>
      </c>
      <c r="I21" s="190">
        <v>6000</v>
      </c>
      <c r="J21" s="190">
        <v>-32</v>
      </c>
      <c r="K21" s="190">
        <v>0</v>
      </c>
      <c r="L21" s="190">
        <v>26312</v>
      </c>
      <c r="M21" s="190">
        <v>32</v>
      </c>
      <c r="N21" s="190">
        <v>20444</v>
      </c>
      <c r="O21" s="190">
        <v>5971</v>
      </c>
      <c r="P21" s="190"/>
      <c r="Q21" s="190">
        <v>0</v>
      </c>
      <c r="R21" s="190">
        <v>0</v>
      </c>
      <c r="S21" s="190">
        <v>2080927215</v>
      </c>
      <c r="T21" s="190" t="s">
        <v>303</v>
      </c>
      <c r="U21" s="190" t="s">
        <v>304</v>
      </c>
      <c r="V21" s="190" t="s">
        <v>304</v>
      </c>
      <c r="W21" s="190" t="s">
        <v>398</v>
      </c>
      <c r="X21" s="190" t="s">
        <v>423</v>
      </c>
      <c r="Y21" s="260">
        <v>0.39826388888888886</v>
      </c>
      <c r="Z21" s="190" t="s">
        <v>305</v>
      </c>
      <c r="AA21" s="190" t="s">
        <v>306</v>
      </c>
      <c r="AB21" s="190">
        <v>-1</v>
      </c>
      <c r="AC21" s="190">
        <v>-999999</v>
      </c>
      <c r="AD21" s="190">
        <v>20412</v>
      </c>
      <c r="AE21" s="190">
        <v>24</v>
      </c>
      <c r="AF21" s="190">
        <v>7735</v>
      </c>
      <c r="AG21" s="190">
        <v>0</v>
      </c>
      <c r="AH21" s="190">
        <v>5</v>
      </c>
      <c r="AI21" s="190">
        <v>12677</v>
      </c>
      <c r="AJ21" s="190">
        <v>20412</v>
      </c>
      <c r="AK21" s="190">
        <v>20</v>
      </c>
      <c r="AL21" s="190">
        <v>20</v>
      </c>
      <c r="AM21" s="190">
        <v>1</v>
      </c>
      <c r="AN21" s="190">
        <v>20</v>
      </c>
      <c r="AO21" s="190">
        <v>3</v>
      </c>
      <c r="AP21" s="190" t="s">
        <v>307</v>
      </c>
      <c r="AQ21" s="190">
        <v>4000</v>
      </c>
      <c r="AR21" s="190">
        <v>0</v>
      </c>
      <c r="AS21" s="190"/>
      <c r="AT21" s="190">
        <v>4000</v>
      </c>
      <c r="AU21" s="190">
        <v>-13</v>
      </c>
      <c r="AV21" s="190">
        <v>353312</v>
      </c>
      <c r="AW21" s="190">
        <v>0</v>
      </c>
      <c r="AX21" s="190">
        <v>353312</v>
      </c>
      <c r="AY21" s="190">
        <v>13</v>
      </c>
      <c r="AZ21" s="190">
        <v>349425</v>
      </c>
      <c r="BA21" s="190">
        <v>3987</v>
      </c>
      <c r="BB21" s="190">
        <v>100</v>
      </c>
      <c r="BC21" s="190"/>
      <c r="BD21" s="190">
        <v>0</v>
      </c>
      <c r="BE21" s="190">
        <v>0</v>
      </c>
      <c r="BF21" s="190">
        <v>349317</v>
      </c>
      <c r="BG21" s="190">
        <v>353312</v>
      </c>
      <c r="BH21" s="190">
        <v>349412</v>
      </c>
      <c r="BI21" s="190">
        <v>7000</v>
      </c>
      <c r="BJ21" s="190">
        <v>0</v>
      </c>
      <c r="BK21" s="190"/>
      <c r="BL21" s="190" t="s">
        <v>306</v>
      </c>
      <c r="BM21" s="190">
        <v>7000</v>
      </c>
      <c r="BN21" s="190">
        <v>-999999</v>
      </c>
      <c r="BO21" s="190">
        <v>356112</v>
      </c>
      <c r="BP21" s="190">
        <v>356112</v>
      </c>
      <c r="BQ21" s="190">
        <v>48</v>
      </c>
      <c r="BR21" s="190">
        <v>355280</v>
      </c>
      <c r="BS21" s="190">
        <v>0</v>
      </c>
      <c r="BT21" s="190">
        <v>100</v>
      </c>
      <c r="BU21" s="190">
        <v>1</v>
      </c>
      <c r="BV21" s="190">
        <v>832</v>
      </c>
      <c r="BW21" s="190">
        <v>356112</v>
      </c>
      <c r="BX21" s="190">
        <v>355236</v>
      </c>
      <c r="BY21" s="190">
        <v>362132</v>
      </c>
      <c r="BZ21" s="190">
        <v>355232</v>
      </c>
      <c r="CA21" s="190">
        <v>4000</v>
      </c>
      <c r="CB21" s="190">
        <v>0</v>
      </c>
      <c r="CC21" s="190"/>
      <c r="CD21" s="190">
        <v>4000</v>
      </c>
      <c r="CE21" s="190">
        <v>-5</v>
      </c>
      <c r="CF21" s="190">
        <v>364312</v>
      </c>
      <c r="CG21" s="190">
        <v>0</v>
      </c>
      <c r="CH21" s="190">
        <v>364312</v>
      </c>
      <c r="CI21" s="190">
        <v>5</v>
      </c>
      <c r="CJ21" s="190">
        <v>360417</v>
      </c>
      <c r="CK21" s="190">
        <v>0</v>
      </c>
      <c r="CL21" s="190">
        <v>100</v>
      </c>
      <c r="CM21" s="190"/>
      <c r="CN21" s="190">
        <v>0</v>
      </c>
      <c r="CO21" s="190">
        <v>0</v>
      </c>
      <c r="CP21" s="190">
        <v>360312</v>
      </c>
      <c r="CQ21" s="190">
        <v>364312</v>
      </c>
      <c r="CR21" s="190">
        <v>360412</v>
      </c>
      <c r="CS21" s="190">
        <v>15</v>
      </c>
      <c r="CT21" s="190">
        <v>4</v>
      </c>
      <c r="CU21" s="190">
        <v>0</v>
      </c>
      <c r="CV21" s="190">
        <v>9</v>
      </c>
      <c r="CW21" s="190">
        <v>10</v>
      </c>
      <c r="CX21" s="190">
        <v>1</v>
      </c>
      <c r="CY21" s="190">
        <v>2</v>
      </c>
      <c r="CZ21" s="190">
        <v>3</v>
      </c>
      <c r="DA21" s="190">
        <v>4</v>
      </c>
      <c r="DB21" s="190">
        <v>5</v>
      </c>
      <c r="DC21" s="190">
        <v>6</v>
      </c>
      <c r="DD21" s="190">
        <v>7</v>
      </c>
      <c r="DE21" s="190">
        <v>8</v>
      </c>
      <c r="DF21" s="190" t="s">
        <v>404</v>
      </c>
      <c r="DG21" s="190" t="s">
        <v>308</v>
      </c>
      <c r="DH21" s="190" t="s">
        <v>18</v>
      </c>
      <c r="DI21" s="190">
        <v>0</v>
      </c>
      <c r="DJ21" s="190">
        <v>0</v>
      </c>
      <c r="DK21" s="190">
        <v>353412</v>
      </c>
      <c r="DL21" s="190">
        <v>0</v>
      </c>
      <c r="DM21" s="190">
        <v>353412</v>
      </c>
      <c r="DN21" s="190">
        <v>50</v>
      </c>
      <c r="DO21" s="190">
        <v>7000</v>
      </c>
      <c r="DP21" s="190">
        <v>0</v>
      </c>
      <c r="DQ21" s="190"/>
      <c r="DR21" s="190">
        <v>7000</v>
      </c>
      <c r="DS21" s="190">
        <v>-2735</v>
      </c>
      <c r="DT21" s="190">
        <v>360312</v>
      </c>
      <c r="DU21" s="190">
        <v>0</v>
      </c>
      <c r="DV21" s="190">
        <v>360312</v>
      </c>
      <c r="DW21" s="190">
        <v>2735</v>
      </c>
      <c r="DX21" s="190">
        <v>356147</v>
      </c>
      <c r="DY21" s="190">
        <v>4270</v>
      </c>
      <c r="DZ21" s="190">
        <v>100</v>
      </c>
      <c r="EA21" s="190"/>
      <c r="EB21" s="190">
        <v>0</v>
      </c>
      <c r="EC21" s="190">
        <v>0</v>
      </c>
      <c r="ED21" s="190">
        <v>356114</v>
      </c>
      <c r="EE21" s="190">
        <v>360312</v>
      </c>
      <c r="EF21" s="190">
        <v>353412</v>
      </c>
      <c r="EG21" s="190">
        <v>20</v>
      </c>
    </row>
    <row r="22" spans="1:137" x14ac:dyDescent="0.2">
      <c r="A22" s="190" t="s">
        <v>311</v>
      </c>
      <c r="B22" s="263" t="s">
        <v>426</v>
      </c>
      <c r="C22" s="190">
        <v>1</v>
      </c>
      <c r="D22" s="190" t="s">
        <v>421</v>
      </c>
      <c r="E22" s="190" t="s">
        <v>422</v>
      </c>
      <c r="F22" s="190">
        <v>59.954999999999998</v>
      </c>
      <c r="G22" s="190" t="s">
        <v>312</v>
      </c>
      <c r="H22" s="190">
        <v>1</v>
      </c>
      <c r="I22" s="190">
        <v>6000</v>
      </c>
      <c r="J22" s="190">
        <v>-32</v>
      </c>
      <c r="K22" s="190">
        <v>0</v>
      </c>
      <c r="L22" s="190">
        <v>26312</v>
      </c>
      <c r="M22" s="190">
        <v>32</v>
      </c>
      <c r="N22" s="190">
        <v>20444</v>
      </c>
      <c r="O22" s="190">
        <v>5971</v>
      </c>
      <c r="P22" s="190"/>
      <c r="Q22" s="190">
        <v>0</v>
      </c>
      <c r="R22" s="190">
        <v>0</v>
      </c>
      <c r="S22" s="190">
        <v>2080927215</v>
      </c>
      <c r="T22" s="190" t="s">
        <v>303</v>
      </c>
      <c r="U22" s="190" t="s">
        <v>304</v>
      </c>
      <c r="V22" s="190" t="s">
        <v>304</v>
      </c>
      <c r="W22" s="190" t="s">
        <v>398</v>
      </c>
      <c r="X22" s="190" t="s">
        <v>423</v>
      </c>
      <c r="Y22" s="260">
        <v>0.39826388888888886</v>
      </c>
      <c r="Z22" s="190" t="s">
        <v>305</v>
      </c>
      <c r="AA22" s="190" t="s">
        <v>306</v>
      </c>
      <c r="AB22" s="190">
        <v>-1</v>
      </c>
      <c r="AC22" s="190">
        <v>-999999</v>
      </c>
      <c r="AD22" s="190">
        <v>20412</v>
      </c>
      <c r="AE22" s="190">
        <v>24</v>
      </c>
      <c r="AF22" s="190">
        <v>7735</v>
      </c>
      <c r="AG22" s="190">
        <v>0</v>
      </c>
      <c r="AH22" s="190">
        <v>5</v>
      </c>
      <c r="AI22" s="190">
        <v>12677</v>
      </c>
      <c r="AJ22" s="190">
        <v>20412</v>
      </c>
      <c r="AK22" s="190">
        <v>21</v>
      </c>
      <c r="AL22" s="190">
        <v>21</v>
      </c>
      <c r="AM22" s="190">
        <v>1</v>
      </c>
      <c r="AN22" s="190">
        <v>21</v>
      </c>
      <c r="AO22" s="190">
        <v>8</v>
      </c>
      <c r="AP22" s="190" t="s">
        <v>307</v>
      </c>
      <c r="AQ22" s="190">
        <v>4000</v>
      </c>
      <c r="AR22" s="190">
        <v>0</v>
      </c>
      <c r="AS22" s="190"/>
      <c r="AT22" s="190">
        <v>4000</v>
      </c>
      <c r="AU22" s="190">
        <v>-8</v>
      </c>
      <c r="AV22" s="190">
        <v>368312</v>
      </c>
      <c r="AW22" s="190">
        <v>0</v>
      </c>
      <c r="AX22" s="190">
        <v>368312</v>
      </c>
      <c r="AY22" s="190">
        <v>8</v>
      </c>
      <c r="AZ22" s="190">
        <v>364420</v>
      </c>
      <c r="BA22" s="190">
        <v>4003</v>
      </c>
      <c r="BB22" s="190">
        <v>100</v>
      </c>
      <c r="BC22" s="190"/>
      <c r="BD22" s="190">
        <v>0</v>
      </c>
      <c r="BE22" s="190">
        <v>0</v>
      </c>
      <c r="BF22" s="190">
        <v>364317</v>
      </c>
      <c r="BG22" s="190">
        <v>368312</v>
      </c>
      <c r="BH22" s="190">
        <v>364412</v>
      </c>
      <c r="BI22" s="190">
        <v>7000</v>
      </c>
      <c r="BJ22" s="190">
        <v>0</v>
      </c>
      <c r="BK22" s="190"/>
      <c r="BL22" s="190" t="s">
        <v>306</v>
      </c>
      <c r="BM22" s="190">
        <v>7000</v>
      </c>
      <c r="BN22" s="190">
        <v>-999999</v>
      </c>
      <c r="BO22" s="190">
        <v>370215</v>
      </c>
      <c r="BP22" s="190">
        <v>370215</v>
      </c>
      <c r="BQ22" s="190">
        <v>41</v>
      </c>
      <c r="BR22" s="190">
        <v>369808</v>
      </c>
      <c r="BS22" s="190">
        <v>0</v>
      </c>
      <c r="BT22" s="190">
        <v>100</v>
      </c>
      <c r="BU22" s="190">
        <v>1</v>
      </c>
      <c r="BV22" s="190">
        <v>407</v>
      </c>
      <c r="BW22" s="190">
        <v>370215</v>
      </c>
      <c r="BX22" s="190">
        <v>369771</v>
      </c>
      <c r="BY22" s="190">
        <v>376667</v>
      </c>
      <c r="BZ22" s="190">
        <v>369767</v>
      </c>
      <c r="CA22" s="190">
        <v>2000</v>
      </c>
      <c r="CB22" s="190">
        <v>0</v>
      </c>
      <c r="CC22" s="190"/>
      <c r="CD22" s="190">
        <v>2000</v>
      </c>
      <c r="CE22" s="190">
        <v>0</v>
      </c>
      <c r="CF22" s="190">
        <v>377312</v>
      </c>
      <c r="CG22" s="190">
        <v>0</v>
      </c>
      <c r="CH22" s="190">
        <v>377312</v>
      </c>
      <c r="CI22" s="190">
        <v>0</v>
      </c>
      <c r="CJ22" s="190">
        <v>375412</v>
      </c>
      <c r="CK22" s="190">
        <v>0</v>
      </c>
      <c r="CL22" s="190">
        <v>100</v>
      </c>
      <c r="CM22" s="190"/>
      <c r="CN22" s="190">
        <v>0</v>
      </c>
      <c r="CO22" s="190">
        <v>0</v>
      </c>
      <c r="CP22" s="190">
        <v>375312</v>
      </c>
      <c r="CQ22" s="190">
        <v>377312</v>
      </c>
      <c r="CR22" s="190">
        <v>375412</v>
      </c>
      <c r="CS22" s="190">
        <v>15</v>
      </c>
      <c r="CT22" s="190">
        <v>4</v>
      </c>
      <c r="CU22" s="190">
        <v>0</v>
      </c>
      <c r="CV22" s="190">
        <v>9</v>
      </c>
      <c r="CW22" s="190">
        <v>10</v>
      </c>
      <c r="CX22" s="190">
        <v>1</v>
      </c>
      <c r="CY22" s="190">
        <v>2</v>
      </c>
      <c r="CZ22" s="190">
        <v>3</v>
      </c>
      <c r="DA22" s="190">
        <v>4</v>
      </c>
      <c r="DB22" s="190">
        <v>5</v>
      </c>
      <c r="DC22" s="190">
        <v>6</v>
      </c>
      <c r="DD22" s="190">
        <v>7</v>
      </c>
      <c r="DE22" s="190">
        <v>8</v>
      </c>
      <c r="DF22" s="190" t="s">
        <v>417</v>
      </c>
      <c r="DG22" s="190" t="s">
        <v>308</v>
      </c>
      <c r="DH22" s="190" t="s">
        <v>18</v>
      </c>
      <c r="DI22" s="190">
        <v>0</v>
      </c>
      <c r="DJ22" s="190">
        <v>0</v>
      </c>
      <c r="DK22" s="190">
        <v>368423</v>
      </c>
      <c r="DL22" s="190">
        <v>11</v>
      </c>
      <c r="DM22" s="190">
        <v>368423</v>
      </c>
      <c r="DN22" s="190">
        <v>50</v>
      </c>
      <c r="DO22" s="190">
        <v>7000</v>
      </c>
      <c r="DP22" s="190">
        <v>0</v>
      </c>
      <c r="DQ22" s="190"/>
      <c r="DR22" s="190">
        <v>7000</v>
      </c>
      <c r="DS22" s="190">
        <v>-1846</v>
      </c>
      <c r="DT22" s="190">
        <v>375312</v>
      </c>
      <c r="DU22" s="190">
        <v>0</v>
      </c>
      <c r="DV22" s="190">
        <v>375312</v>
      </c>
      <c r="DW22" s="190">
        <v>1846</v>
      </c>
      <c r="DX22" s="190">
        <v>370258</v>
      </c>
      <c r="DY22" s="190">
        <v>5154</v>
      </c>
      <c r="DZ22" s="190">
        <v>100</v>
      </c>
      <c r="EA22" s="190"/>
      <c r="EB22" s="190">
        <v>0</v>
      </c>
      <c r="EC22" s="190">
        <v>0</v>
      </c>
      <c r="ED22" s="190">
        <v>370218</v>
      </c>
      <c r="EE22" s="190">
        <v>375312</v>
      </c>
      <c r="EF22" s="190">
        <v>368412</v>
      </c>
      <c r="EG22" s="190">
        <v>21</v>
      </c>
    </row>
    <row r="23" spans="1:137" x14ac:dyDescent="0.2">
      <c r="A23" s="190" t="s">
        <v>311</v>
      </c>
      <c r="B23" s="263" t="s">
        <v>426</v>
      </c>
      <c r="C23" s="190">
        <v>1</v>
      </c>
      <c r="D23" s="190" t="s">
        <v>421</v>
      </c>
      <c r="E23" s="190" t="s">
        <v>422</v>
      </c>
      <c r="F23" s="190">
        <v>59.954999999999998</v>
      </c>
      <c r="G23" s="190" t="s">
        <v>312</v>
      </c>
      <c r="H23" s="190">
        <v>1</v>
      </c>
      <c r="I23" s="190">
        <v>6000</v>
      </c>
      <c r="J23" s="190">
        <v>-32</v>
      </c>
      <c r="K23" s="190">
        <v>0</v>
      </c>
      <c r="L23" s="190">
        <v>26312</v>
      </c>
      <c r="M23" s="190">
        <v>32</v>
      </c>
      <c r="N23" s="190">
        <v>20444</v>
      </c>
      <c r="O23" s="190">
        <v>5971</v>
      </c>
      <c r="P23" s="190"/>
      <c r="Q23" s="190">
        <v>0</v>
      </c>
      <c r="R23" s="190">
        <v>0</v>
      </c>
      <c r="S23" s="190">
        <v>2080927215</v>
      </c>
      <c r="T23" s="190" t="s">
        <v>303</v>
      </c>
      <c r="U23" s="190" t="s">
        <v>304</v>
      </c>
      <c r="V23" s="190" t="s">
        <v>304</v>
      </c>
      <c r="W23" s="190" t="s">
        <v>398</v>
      </c>
      <c r="X23" s="190" t="s">
        <v>423</v>
      </c>
      <c r="Y23" s="260">
        <v>0.39826388888888886</v>
      </c>
      <c r="Z23" s="190" t="s">
        <v>305</v>
      </c>
      <c r="AA23" s="190" t="s">
        <v>306</v>
      </c>
      <c r="AB23" s="190">
        <v>-1</v>
      </c>
      <c r="AC23" s="190">
        <v>-999999</v>
      </c>
      <c r="AD23" s="190">
        <v>20412</v>
      </c>
      <c r="AE23" s="190">
        <v>24</v>
      </c>
      <c r="AF23" s="190">
        <v>7735</v>
      </c>
      <c r="AG23" s="190">
        <v>0</v>
      </c>
      <c r="AH23" s="190">
        <v>5</v>
      </c>
      <c r="AI23" s="190">
        <v>12677</v>
      </c>
      <c r="AJ23" s="190">
        <v>20412</v>
      </c>
      <c r="AK23" s="190">
        <v>22</v>
      </c>
      <c r="AL23" s="190">
        <v>22</v>
      </c>
      <c r="AM23" s="190">
        <v>1</v>
      </c>
      <c r="AN23" s="190">
        <v>22</v>
      </c>
      <c r="AO23" s="190">
        <v>5</v>
      </c>
      <c r="AP23" s="190" t="s">
        <v>307</v>
      </c>
      <c r="AQ23" s="190">
        <v>4000</v>
      </c>
      <c r="AR23" s="190">
        <v>0</v>
      </c>
      <c r="AS23" s="190"/>
      <c r="AT23" s="190">
        <v>4000</v>
      </c>
      <c r="AU23" s="190">
        <v>-1</v>
      </c>
      <c r="AV23" s="190">
        <v>381312</v>
      </c>
      <c r="AW23" s="190">
        <v>0</v>
      </c>
      <c r="AX23" s="190">
        <v>381312</v>
      </c>
      <c r="AY23" s="190">
        <v>1</v>
      </c>
      <c r="AZ23" s="190">
        <v>377413</v>
      </c>
      <c r="BA23" s="190">
        <v>4003</v>
      </c>
      <c r="BB23" s="190">
        <v>100</v>
      </c>
      <c r="BC23" s="190"/>
      <c r="BD23" s="190">
        <v>0</v>
      </c>
      <c r="BE23" s="190">
        <v>0</v>
      </c>
      <c r="BF23" s="190">
        <v>377317</v>
      </c>
      <c r="BG23" s="190">
        <v>381312</v>
      </c>
      <c r="BH23" s="190">
        <v>377412</v>
      </c>
      <c r="BI23" s="190">
        <v>7000</v>
      </c>
      <c r="BJ23" s="190">
        <v>0</v>
      </c>
      <c r="BK23" s="190"/>
      <c r="BL23" s="190" t="s">
        <v>306</v>
      </c>
      <c r="BM23" s="190">
        <v>7000</v>
      </c>
      <c r="BN23" s="190">
        <v>-999999</v>
      </c>
      <c r="BO23" s="190">
        <v>384910</v>
      </c>
      <c r="BP23" s="190">
        <v>384910</v>
      </c>
      <c r="BQ23" s="190">
        <v>49</v>
      </c>
      <c r="BR23" s="190">
        <v>384135</v>
      </c>
      <c r="BS23" s="190">
        <v>0</v>
      </c>
      <c r="BT23" s="190">
        <v>100</v>
      </c>
      <c r="BU23" s="190">
        <v>1</v>
      </c>
      <c r="BV23" s="190">
        <v>775</v>
      </c>
      <c r="BW23" s="190">
        <v>384910</v>
      </c>
      <c r="BX23" s="190">
        <v>384091</v>
      </c>
      <c r="BY23" s="190">
        <v>390986</v>
      </c>
      <c r="BZ23" s="190">
        <v>384086</v>
      </c>
      <c r="CA23" s="190">
        <v>10000</v>
      </c>
      <c r="CB23" s="190">
        <v>0</v>
      </c>
      <c r="CC23" s="190"/>
      <c r="CD23" s="190">
        <v>10000</v>
      </c>
      <c r="CE23" s="190">
        <v>-10</v>
      </c>
      <c r="CF23" s="190">
        <v>398312</v>
      </c>
      <c r="CG23" s="190">
        <v>0</v>
      </c>
      <c r="CH23" s="190">
        <v>398312</v>
      </c>
      <c r="CI23" s="190">
        <v>10</v>
      </c>
      <c r="CJ23" s="190">
        <v>388422</v>
      </c>
      <c r="CK23" s="190">
        <v>0</v>
      </c>
      <c r="CL23" s="190">
        <v>100</v>
      </c>
      <c r="CM23" s="190"/>
      <c r="CN23" s="190">
        <v>0</v>
      </c>
      <c r="CO23" s="190">
        <v>0</v>
      </c>
      <c r="CP23" s="190">
        <v>388312</v>
      </c>
      <c r="CQ23" s="190">
        <v>398312</v>
      </c>
      <c r="CR23" s="190">
        <v>388412</v>
      </c>
      <c r="CS23" s="190">
        <v>15</v>
      </c>
      <c r="CT23" s="190">
        <v>4</v>
      </c>
      <c r="CU23" s="190">
        <v>0</v>
      </c>
      <c r="CV23" s="190">
        <v>9</v>
      </c>
      <c r="CW23" s="190">
        <v>10</v>
      </c>
      <c r="CX23" s="190">
        <v>1</v>
      </c>
      <c r="CY23" s="190">
        <v>2</v>
      </c>
      <c r="CZ23" s="190">
        <v>3</v>
      </c>
      <c r="DA23" s="190">
        <v>4</v>
      </c>
      <c r="DB23" s="190">
        <v>5</v>
      </c>
      <c r="DC23" s="190">
        <v>6</v>
      </c>
      <c r="DD23" s="190">
        <v>7</v>
      </c>
      <c r="DE23" s="190">
        <v>8</v>
      </c>
      <c r="DF23" s="190" t="s">
        <v>425</v>
      </c>
      <c r="DG23" s="190" t="s">
        <v>308</v>
      </c>
      <c r="DH23" s="190" t="s">
        <v>18</v>
      </c>
      <c r="DI23" s="190">
        <v>0</v>
      </c>
      <c r="DJ23" s="190">
        <v>0</v>
      </c>
      <c r="DK23" s="190">
        <v>381416</v>
      </c>
      <c r="DL23" s="190">
        <v>4</v>
      </c>
      <c r="DM23" s="190">
        <v>381416</v>
      </c>
      <c r="DN23" s="190">
        <v>50</v>
      </c>
      <c r="DO23" s="190">
        <v>7000</v>
      </c>
      <c r="DP23" s="190">
        <v>0</v>
      </c>
      <c r="DQ23" s="190"/>
      <c r="DR23" s="190">
        <v>7000</v>
      </c>
      <c r="DS23" s="190">
        <v>-3540</v>
      </c>
      <c r="DT23" s="190">
        <v>388312</v>
      </c>
      <c r="DU23" s="190">
        <v>0</v>
      </c>
      <c r="DV23" s="190">
        <v>388312</v>
      </c>
      <c r="DW23" s="190">
        <v>3540</v>
      </c>
      <c r="DX23" s="190">
        <v>384952</v>
      </c>
      <c r="DY23" s="190">
        <v>3470</v>
      </c>
      <c r="DZ23" s="190">
        <v>100</v>
      </c>
      <c r="EA23" s="190"/>
      <c r="EB23" s="190">
        <v>0</v>
      </c>
      <c r="EC23" s="190">
        <v>0</v>
      </c>
      <c r="ED23" s="190">
        <v>384913</v>
      </c>
      <c r="EE23" s="190">
        <v>388312</v>
      </c>
      <c r="EF23" s="190">
        <v>381412</v>
      </c>
      <c r="EG23" s="190">
        <v>22</v>
      </c>
    </row>
    <row r="24" spans="1:137" x14ac:dyDescent="0.2">
      <c r="A24" s="190" t="s">
        <v>311</v>
      </c>
      <c r="B24" s="263" t="s">
        <v>426</v>
      </c>
      <c r="C24" s="190">
        <v>1</v>
      </c>
      <c r="D24" s="190" t="s">
        <v>421</v>
      </c>
      <c r="E24" s="190" t="s">
        <v>422</v>
      </c>
      <c r="F24" s="190">
        <v>59.954999999999998</v>
      </c>
      <c r="G24" s="190" t="s">
        <v>312</v>
      </c>
      <c r="H24" s="190">
        <v>1</v>
      </c>
      <c r="I24" s="190">
        <v>6000</v>
      </c>
      <c r="J24" s="190">
        <v>-32</v>
      </c>
      <c r="K24" s="190">
        <v>0</v>
      </c>
      <c r="L24" s="190">
        <v>26312</v>
      </c>
      <c r="M24" s="190">
        <v>32</v>
      </c>
      <c r="N24" s="190">
        <v>20444</v>
      </c>
      <c r="O24" s="190">
        <v>5971</v>
      </c>
      <c r="P24" s="190"/>
      <c r="Q24" s="190">
        <v>0</v>
      </c>
      <c r="R24" s="190">
        <v>0</v>
      </c>
      <c r="S24" s="190">
        <v>2080927215</v>
      </c>
      <c r="T24" s="190" t="s">
        <v>303</v>
      </c>
      <c r="U24" s="190" t="s">
        <v>304</v>
      </c>
      <c r="V24" s="190" t="s">
        <v>304</v>
      </c>
      <c r="W24" s="190" t="s">
        <v>398</v>
      </c>
      <c r="X24" s="190" t="s">
        <v>423</v>
      </c>
      <c r="Y24" s="260">
        <v>0.39826388888888886</v>
      </c>
      <c r="Z24" s="190" t="s">
        <v>305</v>
      </c>
      <c r="AA24" s="190" t="s">
        <v>306</v>
      </c>
      <c r="AB24" s="190">
        <v>-1</v>
      </c>
      <c r="AC24" s="190">
        <v>-999999</v>
      </c>
      <c r="AD24" s="190">
        <v>20412</v>
      </c>
      <c r="AE24" s="190">
        <v>24</v>
      </c>
      <c r="AF24" s="190">
        <v>7735</v>
      </c>
      <c r="AG24" s="190">
        <v>0</v>
      </c>
      <c r="AH24" s="190">
        <v>5</v>
      </c>
      <c r="AI24" s="190">
        <v>12677</v>
      </c>
      <c r="AJ24" s="190">
        <v>20412</v>
      </c>
      <c r="AK24" s="190">
        <v>23</v>
      </c>
      <c r="AL24" s="190">
        <v>23</v>
      </c>
      <c r="AM24" s="190">
        <v>1</v>
      </c>
      <c r="AN24" s="190">
        <v>23</v>
      </c>
      <c r="AO24" s="190">
        <v>8</v>
      </c>
      <c r="AP24" s="190" t="s">
        <v>307</v>
      </c>
      <c r="AQ24" s="190">
        <v>4000</v>
      </c>
      <c r="AR24" s="190">
        <v>0</v>
      </c>
      <c r="AS24" s="190"/>
      <c r="AT24" s="190">
        <v>4000</v>
      </c>
      <c r="AU24" s="190">
        <v>0</v>
      </c>
      <c r="AV24" s="190">
        <v>402312</v>
      </c>
      <c r="AW24" s="190">
        <v>0</v>
      </c>
      <c r="AX24" s="190">
        <v>402312</v>
      </c>
      <c r="AY24" s="190">
        <v>0</v>
      </c>
      <c r="AZ24" s="190">
        <v>398412</v>
      </c>
      <c r="BA24" s="190">
        <v>4003</v>
      </c>
      <c r="BB24" s="190">
        <v>100</v>
      </c>
      <c r="BC24" s="190"/>
      <c r="BD24" s="190">
        <v>0</v>
      </c>
      <c r="BE24" s="190">
        <v>0</v>
      </c>
      <c r="BF24" s="190">
        <v>398317</v>
      </c>
      <c r="BG24" s="190">
        <v>402312</v>
      </c>
      <c r="BH24" s="190">
        <v>398412</v>
      </c>
      <c r="BI24" s="190">
        <v>7000</v>
      </c>
      <c r="BJ24" s="190">
        <v>0</v>
      </c>
      <c r="BK24" s="190"/>
      <c r="BL24" s="190" t="s">
        <v>306</v>
      </c>
      <c r="BM24" s="190">
        <v>7000</v>
      </c>
      <c r="BN24" s="190">
        <v>-999999</v>
      </c>
      <c r="BO24" s="190">
        <v>403949</v>
      </c>
      <c r="BP24" s="190">
        <v>403949</v>
      </c>
      <c r="BQ24" s="190">
        <v>45</v>
      </c>
      <c r="BR24" s="190">
        <v>403650</v>
      </c>
      <c r="BS24" s="190">
        <v>0</v>
      </c>
      <c r="BT24" s="190">
        <v>100</v>
      </c>
      <c r="BU24" s="190">
        <v>1</v>
      </c>
      <c r="BV24" s="190">
        <v>298</v>
      </c>
      <c r="BW24" s="190">
        <v>403948</v>
      </c>
      <c r="BX24" s="190">
        <v>403608</v>
      </c>
      <c r="BY24" s="190">
        <v>410505</v>
      </c>
      <c r="BZ24" s="190">
        <v>403605</v>
      </c>
      <c r="CA24" s="190">
        <v>4000</v>
      </c>
      <c r="CB24" s="190">
        <v>0</v>
      </c>
      <c r="CC24" s="190"/>
      <c r="CD24" s="190">
        <v>4000</v>
      </c>
      <c r="CE24" s="190">
        <v>-9</v>
      </c>
      <c r="CF24" s="190">
        <v>413312</v>
      </c>
      <c r="CG24" s="190">
        <v>0</v>
      </c>
      <c r="CH24" s="190">
        <v>413312</v>
      </c>
      <c r="CI24" s="190">
        <v>9</v>
      </c>
      <c r="CJ24" s="190">
        <v>409421</v>
      </c>
      <c r="CK24" s="190">
        <v>0</v>
      </c>
      <c r="CL24" s="190">
        <v>100</v>
      </c>
      <c r="CM24" s="190"/>
      <c r="CN24" s="190">
        <v>0</v>
      </c>
      <c r="CO24" s="190">
        <v>0</v>
      </c>
      <c r="CP24" s="190">
        <v>409312</v>
      </c>
      <c r="CQ24" s="190">
        <v>413312</v>
      </c>
      <c r="CR24" s="190">
        <v>409412</v>
      </c>
      <c r="CS24" s="190">
        <v>15</v>
      </c>
      <c r="CT24" s="190">
        <v>4</v>
      </c>
      <c r="CU24" s="190">
        <v>0</v>
      </c>
      <c r="CV24" s="190">
        <v>9</v>
      </c>
      <c r="CW24" s="190">
        <v>10</v>
      </c>
      <c r="CX24" s="190">
        <v>1</v>
      </c>
      <c r="CY24" s="190">
        <v>2</v>
      </c>
      <c r="CZ24" s="190">
        <v>3</v>
      </c>
      <c r="DA24" s="190">
        <v>4</v>
      </c>
      <c r="DB24" s="190">
        <v>5</v>
      </c>
      <c r="DC24" s="190">
        <v>6</v>
      </c>
      <c r="DD24" s="190">
        <v>7</v>
      </c>
      <c r="DE24" s="190">
        <v>8</v>
      </c>
      <c r="DF24" s="190" t="s">
        <v>413</v>
      </c>
      <c r="DG24" s="190" t="s">
        <v>308</v>
      </c>
      <c r="DH24" s="190" t="s">
        <v>18</v>
      </c>
      <c r="DI24" s="190">
        <v>0</v>
      </c>
      <c r="DJ24" s="190">
        <v>1</v>
      </c>
      <c r="DK24" s="190">
        <v>402416</v>
      </c>
      <c r="DL24" s="190">
        <v>3</v>
      </c>
      <c r="DM24" s="190">
        <v>402415</v>
      </c>
      <c r="DN24" s="190">
        <v>51</v>
      </c>
      <c r="DO24" s="190">
        <v>7000</v>
      </c>
      <c r="DP24" s="190">
        <v>0</v>
      </c>
      <c r="DQ24" s="190"/>
      <c r="DR24" s="190">
        <v>7000</v>
      </c>
      <c r="DS24" s="190">
        <v>-1588</v>
      </c>
      <c r="DT24" s="190">
        <v>409312</v>
      </c>
      <c r="DU24" s="190">
        <v>0</v>
      </c>
      <c r="DV24" s="190">
        <v>409312</v>
      </c>
      <c r="DW24" s="190">
        <v>1588</v>
      </c>
      <c r="DX24" s="190">
        <v>404000</v>
      </c>
      <c r="DY24" s="190">
        <v>5421</v>
      </c>
      <c r="DZ24" s="190">
        <v>100</v>
      </c>
      <c r="EA24" s="190"/>
      <c r="EB24" s="190">
        <v>0</v>
      </c>
      <c r="EC24" s="190">
        <v>0</v>
      </c>
      <c r="ED24" s="190">
        <v>403951</v>
      </c>
      <c r="EE24" s="190">
        <v>409312</v>
      </c>
      <c r="EF24" s="190">
        <v>402412</v>
      </c>
      <c r="EG24" s="190">
        <v>23</v>
      </c>
    </row>
    <row r="25" spans="1:137" x14ac:dyDescent="0.2">
      <c r="A25" s="190" t="s">
        <v>311</v>
      </c>
      <c r="B25" s="263" t="s">
        <v>426</v>
      </c>
      <c r="C25" s="190">
        <v>1</v>
      </c>
      <c r="D25" s="190" t="s">
        <v>421</v>
      </c>
      <c r="E25" s="190" t="s">
        <v>422</v>
      </c>
      <c r="F25" s="190">
        <v>59.954999999999998</v>
      </c>
      <c r="G25" s="190" t="s">
        <v>312</v>
      </c>
      <c r="H25" s="190">
        <v>1</v>
      </c>
      <c r="I25" s="190">
        <v>6000</v>
      </c>
      <c r="J25" s="190">
        <v>-32</v>
      </c>
      <c r="K25" s="190">
        <v>0</v>
      </c>
      <c r="L25" s="190">
        <v>26312</v>
      </c>
      <c r="M25" s="190">
        <v>32</v>
      </c>
      <c r="N25" s="190">
        <v>20444</v>
      </c>
      <c r="O25" s="190">
        <v>5971</v>
      </c>
      <c r="P25" s="190"/>
      <c r="Q25" s="190">
        <v>0</v>
      </c>
      <c r="R25" s="190">
        <v>0</v>
      </c>
      <c r="S25" s="190">
        <v>2080927215</v>
      </c>
      <c r="T25" s="190" t="s">
        <v>303</v>
      </c>
      <c r="U25" s="190" t="s">
        <v>304</v>
      </c>
      <c r="V25" s="190" t="s">
        <v>304</v>
      </c>
      <c r="W25" s="190" t="s">
        <v>398</v>
      </c>
      <c r="X25" s="190" t="s">
        <v>423</v>
      </c>
      <c r="Y25" s="260">
        <v>0.39826388888888886</v>
      </c>
      <c r="Z25" s="190" t="s">
        <v>305</v>
      </c>
      <c r="AA25" s="190" t="s">
        <v>306</v>
      </c>
      <c r="AB25" s="190">
        <v>-1</v>
      </c>
      <c r="AC25" s="190">
        <v>-999999</v>
      </c>
      <c r="AD25" s="190">
        <v>20412</v>
      </c>
      <c r="AE25" s="190">
        <v>24</v>
      </c>
      <c r="AF25" s="190">
        <v>7735</v>
      </c>
      <c r="AG25" s="190">
        <v>0</v>
      </c>
      <c r="AH25" s="190">
        <v>5</v>
      </c>
      <c r="AI25" s="190">
        <v>12677</v>
      </c>
      <c r="AJ25" s="190">
        <v>20412</v>
      </c>
      <c r="AK25" s="190">
        <v>24</v>
      </c>
      <c r="AL25" s="190">
        <v>24</v>
      </c>
      <c r="AM25" s="190">
        <v>1</v>
      </c>
      <c r="AN25" s="190">
        <v>24</v>
      </c>
      <c r="AO25" s="190">
        <v>4</v>
      </c>
      <c r="AP25" s="190" t="s">
        <v>307</v>
      </c>
      <c r="AQ25" s="190">
        <v>4000</v>
      </c>
      <c r="AR25" s="190">
        <v>0</v>
      </c>
      <c r="AS25" s="190"/>
      <c r="AT25" s="190">
        <v>4000</v>
      </c>
      <c r="AU25" s="190">
        <v>-12</v>
      </c>
      <c r="AV25" s="190">
        <v>417312</v>
      </c>
      <c r="AW25" s="190">
        <v>0</v>
      </c>
      <c r="AX25" s="190">
        <v>417312</v>
      </c>
      <c r="AY25" s="190">
        <v>12</v>
      </c>
      <c r="AZ25" s="190">
        <v>413424</v>
      </c>
      <c r="BA25" s="190">
        <v>4003</v>
      </c>
      <c r="BB25" s="190">
        <v>100</v>
      </c>
      <c r="BC25" s="190"/>
      <c r="BD25" s="190">
        <v>0</v>
      </c>
      <c r="BE25" s="190">
        <v>0</v>
      </c>
      <c r="BF25" s="190">
        <v>413317</v>
      </c>
      <c r="BG25" s="190">
        <v>417312</v>
      </c>
      <c r="BH25" s="190">
        <v>413412</v>
      </c>
      <c r="BI25" s="190">
        <v>7000</v>
      </c>
      <c r="BJ25" s="190">
        <v>0</v>
      </c>
      <c r="BK25" s="190"/>
      <c r="BL25" s="190" t="s">
        <v>306</v>
      </c>
      <c r="BM25" s="190">
        <v>7000</v>
      </c>
      <c r="BN25" s="190">
        <v>-999999</v>
      </c>
      <c r="BO25" s="190">
        <v>419867</v>
      </c>
      <c r="BP25" s="190">
        <v>419867</v>
      </c>
      <c r="BQ25" s="190">
        <v>51</v>
      </c>
      <c r="BR25" s="190">
        <v>419078</v>
      </c>
      <c r="BS25" s="190">
        <v>0</v>
      </c>
      <c r="BT25" s="190">
        <v>100</v>
      </c>
      <c r="BU25" s="190">
        <v>1</v>
      </c>
      <c r="BV25" s="190">
        <v>789</v>
      </c>
      <c r="BW25" s="190">
        <v>419867</v>
      </c>
      <c r="BX25" s="190">
        <v>419032</v>
      </c>
      <c r="BY25" s="190">
        <v>425927</v>
      </c>
      <c r="BZ25" s="190">
        <v>419027</v>
      </c>
      <c r="CA25" s="190">
        <v>2000</v>
      </c>
      <c r="CB25" s="190">
        <v>0</v>
      </c>
      <c r="CC25" s="190"/>
      <c r="CD25" s="190">
        <v>2000</v>
      </c>
      <c r="CE25" s="190">
        <v>-3</v>
      </c>
      <c r="CF25" s="190">
        <v>426312</v>
      </c>
      <c r="CG25" s="190">
        <v>0</v>
      </c>
      <c r="CH25" s="190">
        <v>426312</v>
      </c>
      <c r="CI25" s="190">
        <v>3</v>
      </c>
      <c r="CJ25" s="190">
        <v>424415</v>
      </c>
      <c r="CK25" s="190">
        <v>0</v>
      </c>
      <c r="CL25" s="190">
        <v>100</v>
      </c>
      <c r="CM25" s="190"/>
      <c r="CN25" s="190">
        <v>0</v>
      </c>
      <c r="CO25" s="190">
        <v>0</v>
      </c>
      <c r="CP25" s="190">
        <v>424312</v>
      </c>
      <c r="CQ25" s="190">
        <v>426312</v>
      </c>
      <c r="CR25" s="190">
        <v>424412</v>
      </c>
      <c r="CS25" s="190">
        <v>15</v>
      </c>
      <c r="CT25" s="190">
        <v>4</v>
      </c>
      <c r="CU25" s="190">
        <v>0</v>
      </c>
      <c r="CV25" s="190">
        <v>9</v>
      </c>
      <c r="CW25" s="190">
        <v>10</v>
      </c>
      <c r="CX25" s="190">
        <v>1</v>
      </c>
      <c r="CY25" s="190">
        <v>2</v>
      </c>
      <c r="CZ25" s="190">
        <v>3</v>
      </c>
      <c r="DA25" s="190">
        <v>4</v>
      </c>
      <c r="DB25" s="190">
        <v>5</v>
      </c>
      <c r="DC25" s="190">
        <v>6</v>
      </c>
      <c r="DD25" s="190">
        <v>7</v>
      </c>
      <c r="DE25" s="190">
        <v>8</v>
      </c>
      <c r="DF25" s="190" t="s">
        <v>407</v>
      </c>
      <c r="DG25" s="190" t="s">
        <v>308</v>
      </c>
      <c r="DH25" s="190" t="s">
        <v>18</v>
      </c>
      <c r="DI25" s="190">
        <v>0</v>
      </c>
      <c r="DJ25" s="190">
        <v>0</v>
      </c>
      <c r="DK25" s="190">
        <v>417427</v>
      </c>
      <c r="DL25" s="190">
        <v>15</v>
      </c>
      <c r="DM25" s="190">
        <v>417427</v>
      </c>
      <c r="DN25" s="190">
        <v>50</v>
      </c>
      <c r="DO25" s="190">
        <v>7000</v>
      </c>
      <c r="DP25" s="190">
        <v>0</v>
      </c>
      <c r="DQ25" s="190"/>
      <c r="DR25" s="190">
        <v>7000</v>
      </c>
      <c r="DS25" s="190">
        <v>-2500</v>
      </c>
      <c r="DT25" s="190">
        <v>424312</v>
      </c>
      <c r="DU25" s="190">
        <v>0</v>
      </c>
      <c r="DV25" s="190">
        <v>424312</v>
      </c>
      <c r="DW25" s="190">
        <v>2500</v>
      </c>
      <c r="DX25" s="190">
        <v>419912</v>
      </c>
      <c r="DY25" s="190">
        <v>4503</v>
      </c>
      <c r="DZ25" s="190">
        <v>100</v>
      </c>
      <c r="EA25" s="190"/>
      <c r="EB25" s="190">
        <v>0</v>
      </c>
      <c r="EC25" s="190">
        <v>0</v>
      </c>
      <c r="ED25" s="190">
        <v>419869</v>
      </c>
      <c r="EE25" s="190">
        <v>424312</v>
      </c>
      <c r="EF25" s="190">
        <v>417412</v>
      </c>
      <c r="EG25" s="190">
        <v>24</v>
      </c>
    </row>
    <row r="26" spans="1:137" x14ac:dyDescent="0.2">
      <c r="A26" s="190" t="s">
        <v>311</v>
      </c>
      <c r="B26" s="263" t="s">
        <v>426</v>
      </c>
      <c r="C26" s="190">
        <v>1</v>
      </c>
      <c r="D26" s="190" t="s">
        <v>421</v>
      </c>
      <c r="E26" s="190" t="s">
        <v>422</v>
      </c>
      <c r="F26" s="190">
        <v>59.954999999999998</v>
      </c>
      <c r="G26" s="190" t="s">
        <v>312</v>
      </c>
      <c r="H26" s="190">
        <v>1</v>
      </c>
      <c r="I26" s="190">
        <v>6000</v>
      </c>
      <c r="J26" s="190">
        <v>-32</v>
      </c>
      <c r="K26" s="190">
        <v>0</v>
      </c>
      <c r="L26" s="190">
        <v>26312</v>
      </c>
      <c r="M26" s="190">
        <v>32</v>
      </c>
      <c r="N26" s="190">
        <v>20444</v>
      </c>
      <c r="O26" s="190">
        <v>5971</v>
      </c>
      <c r="P26" s="190"/>
      <c r="Q26" s="190">
        <v>0</v>
      </c>
      <c r="R26" s="190">
        <v>0</v>
      </c>
      <c r="S26" s="190">
        <v>2080927215</v>
      </c>
      <c r="T26" s="190" t="s">
        <v>303</v>
      </c>
      <c r="U26" s="190" t="s">
        <v>304</v>
      </c>
      <c r="V26" s="190" t="s">
        <v>304</v>
      </c>
      <c r="W26" s="190" t="s">
        <v>398</v>
      </c>
      <c r="X26" s="190" t="s">
        <v>423</v>
      </c>
      <c r="Y26" s="260">
        <v>0.39826388888888886</v>
      </c>
      <c r="Z26" s="190" t="s">
        <v>305</v>
      </c>
      <c r="AA26" s="190" t="s">
        <v>306</v>
      </c>
      <c r="AB26" s="190">
        <v>-1</v>
      </c>
      <c r="AC26" s="190">
        <v>-999999</v>
      </c>
      <c r="AD26" s="190">
        <v>20412</v>
      </c>
      <c r="AE26" s="190">
        <v>24</v>
      </c>
      <c r="AF26" s="190">
        <v>7735</v>
      </c>
      <c r="AG26" s="190">
        <v>0</v>
      </c>
      <c r="AH26" s="190">
        <v>5</v>
      </c>
      <c r="AI26" s="190">
        <v>12677</v>
      </c>
      <c r="AJ26" s="190">
        <v>20412</v>
      </c>
      <c r="AK26" s="190">
        <v>25</v>
      </c>
      <c r="AL26" s="190">
        <v>25</v>
      </c>
      <c r="AM26" s="190">
        <v>1</v>
      </c>
      <c r="AN26" s="190">
        <v>25</v>
      </c>
      <c r="AO26" s="190">
        <v>8</v>
      </c>
      <c r="AP26" s="190" t="s">
        <v>307</v>
      </c>
      <c r="AQ26" s="190">
        <v>4000</v>
      </c>
      <c r="AR26" s="190">
        <v>0</v>
      </c>
      <c r="AS26" s="190"/>
      <c r="AT26" s="190">
        <v>4000</v>
      </c>
      <c r="AU26" s="190">
        <v>-5</v>
      </c>
      <c r="AV26" s="190">
        <v>430312</v>
      </c>
      <c r="AW26" s="190">
        <v>0</v>
      </c>
      <c r="AX26" s="190">
        <v>430312</v>
      </c>
      <c r="AY26" s="190">
        <v>5</v>
      </c>
      <c r="AZ26" s="190">
        <v>426417</v>
      </c>
      <c r="BA26" s="190">
        <v>4003</v>
      </c>
      <c r="BB26" s="190">
        <v>100</v>
      </c>
      <c r="BC26" s="190"/>
      <c r="BD26" s="190">
        <v>0</v>
      </c>
      <c r="BE26" s="190">
        <v>0</v>
      </c>
      <c r="BF26" s="190">
        <v>426317</v>
      </c>
      <c r="BG26" s="190">
        <v>430312</v>
      </c>
      <c r="BH26" s="190">
        <v>426412</v>
      </c>
      <c r="BI26" s="190">
        <v>7000</v>
      </c>
      <c r="BJ26" s="190">
        <v>0</v>
      </c>
      <c r="BK26" s="190"/>
      <c r="BL26" s="190" t="s">
        <v>306</v>
      </c>
      <c r="BM26" s="190">
        <v>7000</v>
      </c>
      <c r="BN26" s="190">
        <v>-999999</v>
      </c>
      <c r="BO26" s="190">
        <v>432139</v>
      </c>
      <c r="BP26" s="190">
        <v>432138</v>
      </c>
      <c r="BQ26" s="190">
        <v>41</v>
      </c>
      <c r="BR26" s="190">
        <v>431771</v>
      </c>
      <c r="BS26" s="190">
        <v>0</v>
      </c>
      <c r="BT26" s="190">
        <v>100</v>
      </c>
      <c r="BU26" s="190">
        <v>1</v>
      </c>
      <c r="BV26" s="190">
        <v>367</v>
      </c>
      <c r="BW26" s="190">
        <v>432138</v>
      </c>
      <c r="BX26" s="190">
        <v>431734</v>
      </c>
      <c r="BY26" s="190">
        <v>438630</v>
      </c>
      <c r="BZ26" s="190">
        <v>431730</v>
      </c>
      <c r="CA26" s="190">
        <v>4000</v>
      </c>
      <c r="CB26" s="190">
        <v>0</v>
      </c>
      <c r="CC26" s="190"/>
      <c r="CD26" s="190">
        <v>4000</v>
      </c>
      <c r="CE26" s="190">
        <v>-13</v>
      </c>
      <c r="CF26" s="190">
        <v>441312</v>
      </c>
      <c r="CG26" s="190">
        <v>0</v>
      </c>
      <c r="CH26" s="190">
        <v>441312</v>
      </c>
      <c r="CI26" s="190">
        <v>13</v>
      </c>
      <c r="CJ26" s="190">
        <v>437425</v>
      </c>
      <c r="CK26" s="190">
        <v>0</v>
      </c>
      <c r="CL26" s="190">
        <v>100</v>
      </c>
      <c r="CM26" s="190"/>
      <c r="CN26" s="190">
        <v>0</v>
      </c>
      <c r="CO26" s="190">
        <v>0</v>
      </c>
      <c r="CP26" s="190">
        <v>437312</v>
      </c>
      <c r="CQ26" s="190">
        <v>441312</v>
      </c>
      <c r="CR26" s="190">
        <v>437412</v>
      </c>
      <c r="CS26" s="190">
        <v>15</v>
      </c>
      <c r="CT26" s="190">
        <v>4</v>
      </c>
      <c r="CU26" s="190">
        <v>0</v>
      </c>
      <c r="CV26" s="190">
        <v>9</v>
      </c>
      <c r="CW26" s="190">
        <v>10</v>
      </c>
      <c r="CX26" s="190">
        <v>1</v>
      </c>
      <c r="CY26" s="190">
        <v>2</v>
      </c>
      <c r="CZ26" s="190">
        <v>3</v>
      </c>
      <c r="DA26" s="190">
        <v>4</v>
      </c>
      <c r="DB26" s="190">
        <v>5</v>
      </c>
      <c r="DC26" s="190">
        <v>6</v>
      </c>
      <c r="DD26" s="190">
        <v>7</v>
      </c>
      <c r="DE26" s="190">
        <v>8</v>
      </c>
      <c r="DF26" s="190" t="s">
        <v>424</v>
      </c>
      <c r="DG26" s="190" t="s">
        <v>308</v>
      </c>
      <c r="DH26" s="190" t="s">
        <v>18</v>
      </c>
      <c r="DI26" s="190">
        <v>0</v>
      </c>
      <c r="DJ26" s="190">
        <v>0</v>
      </c>
      <c r="DK26" s="190">
        <v>430420</v>
      </c>
      <c r="DL26" s="190">
        <v>8</v>
      </c>
      <c r="DM26" s="190">
        <v>430420</v>
      </c>
      <c r="DN26" s="190">
        <v>50</v>
      </c>
      <c r="DO26" s="190">
        <v>7000</v>
      </c>
      <c r="DP26" s="190">
        <v>0</v>
      </c>
      <c r="DQ26" s="190"/>
      <c r="DR26" s="190">
        <v>7000</v>
      </c>
      <c r="DS26" s="190">
        <v>-1776</v>
      </c>
      <c r="DT26" s="190">
        <v>437312</v>
      </c>
      <c r="DU26" s="190">
        <v>0</v>
      </c>
      <c r="DV26" s="190">
        <v>437312</v>
      </c>
      <c r="DW26" s="190">
        <v>1776</v>
      </c>
      <c r="DX26" s="190">
        <v>432188</v>
      </c>
      <c r="DY26" s="190">
        <v>5237</v>
      </c>
      <c r="DZ26" s="190">
        <v>100</v>
      </c>
      <c r="EA26" s="190"/>
      <c r="EB26" s="190">
        <v>0</v>
      </c>
      <c r="EC26" s="190">
        <v>0</v>
      </c>
      <c r="ED26" s="190">
        <v>432140</v>
      </c>
      <c r="EE26" s="190">
        <v>437312</v>
      </c>
      <c r="EF26" s="190">
        <v>430412</v>
      </c>
      <c r="EG26" s="190">
        <v>25</v>
      </c>
    </row>
    <row r="27" spans="1:137" x14ac:dyDescent="0.2">
      <c r="A27" s="190" t="s">
        <v>311</v>
      </c>
      <c r="B27" s="263" t="s">
        <v>426</v>
      </c>
      <c r="C27" s="190">
        <v>1</v>
      </c>
      <c r="D27" s="190" t="s">
        <v>421</v>
      </c>
      <c r="E27" s="190" t="s">
        <v>422</v>
      </c>
      <c r="F27" s="190">
        <v>59.954999999999998</v>
      </c>
      <c r="G27" s="190" t="s">
        <v>312</v>
      </c>
      <c r="H27" s="190">
        <v>1</v>
      </c>
      <c r="I27" s="190">
        <v>6000</v>
      </c>
      <c r="J27" s="190">
        <v>-32</v>
      </c>
      <c r="K27" s="190">
        <v>0</v>
      </c>
      <c r="L27" s="190">
        <v>26312</v>
      </c>
      <c r="M27" s="190">
        <v>32</v>
      </c>
      <c r="N27" s="190">
        <v>20444</v>
      </c>
      <c r="O27" s="190">
        <v>5971</v>
      </c>
      <c r="P27" s="190"/>
      <c r="Q27" s="190">
        <v>0</v>
      </c>
      <c r="R27" s="190">
        <v>0</v>
      </c>
      <c r="S27" s="190">
        <v>2080927215</v>
      </c>
      <c r="T27" s="190" t="s">
        <v>303</v>
      </c>
      <c r="U27" s="190" t="s">
        <v>304</v>
      </c>
      <c r="V27" s="190" t="s">
        <v>304</v>
      </c>
      <c r="W27" s="190" t="s">
        <v>398</v>
      </c>
      <c r="X27" s="190" t="s">
        <v>423</v>
      </c>
      <c r="Y27" s="260">
        <v>0.39826388888888886</v>
      </c>
      <c r="Z27" s="190" t="s">
        <v>305</v>
      </c>
      <c r="AA27" s="190" t="s">
        <v>306</v>
      </c>
      <c r="AB27" s="190">
        <v>-1</v>
      </c>
      <c r="AC27" s="190">
        <v>-999999</v>
      </c>
      <c r="AD27" s="190">
        <v>20412</v>
      </c>
      <c r="AE27" s="190">
        <v>24</v>
      </c>
      <c r="AF27" s="190">
        <v>7735</v>
      </c>
      <c r="AG27" s="190">
        <v>0</v>
      </c>
      <c r="AH27" s="190">
        <v>5</v>
      </c>
      <c r="AI27" s="190">
        <v>12677</v>
      </c>
      <c r="AJ27" s="190">
        <v>20412</v>
      </c>
      <c r="AK27" s="190">
        <v>26</v>
      </c>
      <c r="AL27" s="190">
        <v>26</v>
      </c>
      <c r="AM27" s="190">
        <v>1</v>
      </c>
      <c r="AN27" s="190">
        <v>26</v>
      </c>
      <c r="AO27" s="190">
        <v>8</v>
      </c>
      <c r="AP27" s="190" t="s">
        <v>307</v>
      </c>
      <c r="AQ27" s="190">
        <v>4000</v>
      </c>
      <c r="AR27" s="190">
        <v>0</v>
      </c>
      <c r="AS27" s="190"/>
      <c r="AT27" s="190">
        <v>4000</v>
      </c>
      <c r="AU27" s="190">
        <v>-16</v>
      </c>
      <c r="AV27" s="190">
        <v>445312</v>
      </c>
      <c r="AW27" s="190">
        <v>0</v>
      </c>
      <c r="AX27" s="190">
        <v>445312</v>
      </c>
      <c r="AY27" s="190">
        <v>16</v>
      </c>
      <c r="AZ27" s="190">
        <v>441428</v>
      </c>
      <c r="BA27" s="190">
        <v>3986</v>
      </c>
      <c r="BB27" s="190">
        <v>100</v>
      </c>
      <c r="BC27" s="190"/>
      <c r="BD27" s="190">
        <v>0</v>
      </c>
      <c r="BE27" s="190">
        <v>0</v>
      </c>
      <c r="BF27" s="190">
        <v>441317</v>
      </c>
      <c r="BG27" s="190">
        <v>445312</v>
      </c>
      <c r="BH27" s="190">
        <v>441412</v>
      </c>
      <c r="BI27" s="190">
        <v>7000</v>
      </c>
      <c r="BJ27" s="190">
        <v>0</v>
      </c>
      <c r="BK27" s="190"/>
      <c r="BL27" s="190" t="s">
        <v>306</v>
      </c>
      <c r="BM27" s="190">
        <v>7000</v>
      </c>
      <c r="BN27" s="190">
        <v>-999999</v>
      </c>
      <c r="BO27" s="190">
        <v>447153</v>
      </c>
      <c r="BP27" s="190">
        <v>447153</v>
      </c>
      <c r="BQ27" s="190">
        <v>49</v>
      </c>
      <c r="BR27" s="190">
        <v>446866</v>
      </c>
      <c r="BS27" s="190">
        <v>0</v>
      </c>
      <c r="BT27" s="190">
        <v>100</v>
      </c>
      <c r="BU27" s="190">
        <v>1</v>
      </c>
      <c r="BV27" s="190">
        <v>287</v>
      </c>
      <c r="BW27" s="190">
        <v>447153</v>
      </c>
      <c r="BX27" s="190">
        <v>446821</v>
      </c>
      <c r="BY27" s="190">
        <v>453717</v>
      </c>
      <c r="BZ27" s="190">
        <v>446817</v>
      </c>
      <c r="CA27" s="190">
        <v>6000</v>
      </c>
      <c r="CB27" s="190">
        <v>0</v>
      </c>
      <c r="CC27" s="190"/>
      <c r="CD27" s="190">
        <v>6000</v>
      </c>
      <c r="CE27" s="190">
        <v>-8</v>
      </c>
      <c r="CF27" s="190">
        <v>458312</v>
      </c>
      <c r="CG27" s="190">
        <v>0</v>
      </c>
      <c r="CH27" s="190">
        <v>458312</v>
      </c>
      <c r="CI27" s="190">
        <v>8</v>
      </c>
      <c r="CJ27" s="190">
        <v>452420</v>
      </c>
      <c r="CK27" s="190">
        <v>0</v>
      </c>
      <c r="CL27" s="190">
        <v>100</v>
      </c>
      <c r="CM27" s="190"/>
      <c r="CN27" s="190">
        <v>0</v>
      </c>
      <c r="CO27" s="190">
        <v>0</v>
      </c>
      <c r="CP27" s="190">
        <v>452312</v>
      </c>
      <c r="CQ27" s="190">
        <v>458312</v>
      </c>
      <c r="CR27" s="190">
        <v>452412</v>
      </c>
      <c r="CS27" s="190">
        <v>15</v>
      </c>
      <c r="CT27" s="190">
        <v>4</v>
      </c>
      <c r="CU27" s="190">
        <v>0</v>
      </c>
      <c r="CV27" s="190">
        <v>9</v>
      </c>
      <c r="CW27" s="190">
        <v>10</v>
      </c>
      <c r="CX27" s="190">
        <v>1</v>
      </c>
      <c r="CY27" s="190">
        <v>2</v>
      </c>
      <c r="CZ27" s="190">
        <v>3</v>
      </c>
      <c r="DA27" s="190">
        <v>4</v>
      </c>
      <c r="DB27" s="190">
        <v>5</v>
      </c>
      <c r="DC27" s="190">
        <v>6</v>
      </c>
      <c r="DD27" s="190">
        <v>7</v>
      </c>
      <c r="DE27" s="190">
        <v>8</v>
      </c>
      <c r="DF27" s="190" t="s">
        <v>410</v>
      </c>
      <c r="DG27" s="190" t="s">
        <v>308</v>
      </c>
      <c r="DH27" s="190" t="s">
        <v>18</v>
      </c>
      <c r="DI27" s="190">
        <v>0</v>
      </c>
      <c r="DJ27" s="190">
        <v>1</v>
      </c>
      <c r="DK27" s="190">
        <v>445415</v>
      </c>
      <c r="DL27" s="190">
        <v>2</v>
      </c>
      <c r="DM27" s="190">
        <v>445414</v>
      </c>
      <c r="DN27" s="190">
        <v>51</v>
      </c>
      <c r="DO27" s="190">
        <v>7000</v>
      </c>
      <c r="DP27" s="190">
        <v>0</v>
      </c>
      <c r="DQ27" s="190"/>
      <c r="DR27" s="190">
        <v>7000</v>
      </c>
      <c r="DS27" s="190">
        <v>-1787</v>
      </c>
      <c r="DT27" s="190">
        <v>452312</v>
      </c>
      <c r="DU27" s="190">
        <v>0</v>
      </c>
      <c r="DV27" s="190">
        <v>452312</v>
      </c>
      <c r="DW27" s="190">
        <v>1787</v>
      </c>
      <c r="DX27" s="190">
        <v>447199</v>
      </c>
      <c r="DY27" s="190">
        <v>5221</v>
      </c>
      <c r="DZ27" s="190">
        <v>100</v>
      </c>
      <c r="EA27" s="190"/>
      <c r="EB27" s="190">
        <v>0</v>
      </c>
      <c r="EC27" s="190">
        <v>0</v>
      </c>
      <c r="ED27" s="190">
        <v>447156</v>
      </c>
      <c r="EE27" s="190">
        <v>452312</v>
      </c>
      <c r="EF27" s="190">
        <v>445412</v>
      </c>
      <c r="EG27" s="190">
        <v>26</v>
      </c>
    </row>
    <row r="28" spans="1:137" x14ac:dyDescent="0.2">
      <c r="A28" s="190" t="s">
        <v>311</v>
      </c>
      <c r="B28" s="263" t="s">
        <v>426</v>
      </c>
      <c r="C28" s="190">
        <v>1</v>
      </c>
      <c r="D28" s="190" t="s">
        <v>421</v>
      </c>
      <c r="E28" s="190" t="s">
        <v>422</v>
      </c>
      <c r="F28" s="190">
        <v>59.954999999999998</v>
      </c>
      <c r="G28" s="190" t="s">
        <v>312</v>
      </c>
      <c r="H28" s="190">
        <v>1</v>
      </c>
      <c r="I28" s="190">
        <v>6000</v>
      </c>
      <c r="J28" s="190">
        <v>-32</v>
      </c>
      <c r="K28" s="190">
        <v>0</v>
      </c>
      <c r="L28" s="190">
        <v>26312</v>
      </c>
      <c r="M28" s="190">
        <v>32</v>
      </c>
      <c r="N28" s="190">
        <v>20444</v>
      </c>
      <c r="O28" s="190">
        <v>5971</v>
      </c>
      <c r="P28" s="190"/>
      <c r="Q28" s="190">
        <v>0</v>
      </c>
      <c r="R28" s="190">
        <v>0</v>
      </c>
      <c r="S28" s="190">
        <v>2080927215</v>
      </c>
      <c r="T28" s="190" t="s">
        <v>303</v>
      </c>
      <c r="U28" s="190" t="s">
        <v>304</v>
      </c>
      <c r="V28" s="190" t="s">
        <v>304</v>
      </c>
      <c r="W28" s="190" t="s">
        <v>398</v>
      </c>
      <c r="X28" s="190" t="s">
        <v>423</v>
      </c>
      <c r="Y28" s="260">
        <v>0.39826388888888886</v>
      </c>
      <c r="Z28" s="190" t="s">
        <v>305</v>
      </c>
      <c r="AA28" s="190" t="s">
        <v>306</v>
      </c>
      <c r="AB28" s="190">
        <v>-1</v>
      </c>
      <c r="AC28" s="190">
        <v>-999999</v>
      </c>
      <c r="AD28" s="190">
        <v>20412</v>
      </c>
      <c r="AE28" s="190">
        <v>24</v>
      </c>
      <c r="AF28" s="190">
        <v>7735</v>
      </c>
      <c r="AG28" s="190">
        <v>0</v>
      </c>
      <c r="AH28" s="190">
        <v>5</v>
      </c>
      <c r="AI28" s="190">
        <v>12677</v>
      </c>
      <c r="AJ28" s="190">
        <v>20412</v>
      </c>
      <c r="AK28" s="190">
        <v>27</v>
      </c>
      <c r="AL28" s="190">
        <v>27</v>
      </c>
      <c r="AM28" s="190">
        <v>1</v>
      </c>
      <c r="AN28" s="190">
        <v>27</v>
      </c>
      <c r="AO28" s="190">
        <v>0</v>
      </c>
      <c r="AP28" s="190" t="s">
        <v>307</v>
      </c>
      <c r="AQ28" s="190">
        <v>4000</v>
      </c>
      <c r="AR28" s="190">
        <v>0</v>
      </c>
      <c r="AS28" s="190"/>
      <c r="AT28" s="190">
        <v>4000</v>
      </c>
      <c r="AU28" s="190">
        <v>-12</v>
      </c>
      <c r="AV28" s="190">
        <v>462312</v>
      </c>
      <c r="AW28" s="190">
        <v>0</v>
      </c>
      <c r="AX28" s="190">
        <v>462312</v>
      </c>
      <c r="AY28" s="190">
        <v>12</v>
      </c>
      <c r="AZ28" s="190">
        <v>458424</v>
      </c>
      <c r="BA28" s="190">
        <v>4003</v>
      </c>
      <c r="BB28" s="190">
        <v>100</v>
      </c>
      <c r="BC28" s="190"/>
      <c r="BD28" s="190">
        <v>0</v>
      </c>
      <c r="BE28" s="190">
        <v>0</v>
      </c>
      <c r="BF28" s="190">
        <v>458317</v>
      </c>
      <c r="BG28" s="190">
        <v>462312</v>
      </c>
      <c r="BH28" s="190">
        <v>458412</v>
      </c>
      <c r="BI28" s="190">
        <v>7000</v>
      </c>
      <c r="BJ28" s="190">
        <v>0</v>
      </c>
      <c r="BK28" s="190"/>
      <c r="BL28" s="190" t="s">
        <v>306</v>
      </c>
      <c r="BM28" s="190">
        <v>7000</v>
      </c>
      <c r="BN28" s="190">
        <v>-999999</v>
      </c>
      <c r="BO28" s="190">
        <v>464688</v>
      </c>
      <c r="BP28" s="190">
        <v>464688</v>
      </c>
      <c r="BQ28" s="190">
        <v>41</v>
      </c>
      <c r="BR28" s="190">
        <v>464329</v>
      </c>
      <c r="BS28" s="190">
        <v>0</v>
      </c>
      <c r="BT28" s="190">
        <v>100</v>
      </c>
      <c r="BU28" s="190">
        <v>1</v>
      </c>
      <c r="BV28" s="190">
        <v>359</v>
      </c>
      <c r="BW28" s="190">
        <v>464688</v>
      </c>
      <c r="BX28" s="190">
        <v>464291</v>
      </c>
      <c r="BY28" s="190">
        <v>471188</v>
      </c>
      <c r="BZ28" s="190">
        <v>464288</v>
      </c>
      <c r="CA28" s="190">
        <v>4000</v>
      </c>
      <c r="CB28" s="190">
        <v>0</v>
      </c>
      <c r="CC28" s="190"/>
      <c r="CD28" s="190">
        <v>4000</v>
      </c>
      <c r="CE28" s="190">
        <v>-4</v>
      </c>
      <c r="CF28" s="190">
        <v>473312</v>
      </c>
      <c r="CG28" s="190">
        <v>0</v>
      </c>
      <c r="CH28" s="190">
        <v>473312</v>
      </c>
      <c r="CI28" s="190">
        <v>4</v>
      </c>
      <c r="CJ28" s="190">
        <v>469416</v>
      </c>
      <c r="CK28" s="190">
        <v>0</v>
      </c>
      <c r="CL28" s="190">
        <v>100</v>
      </c>
      <c r="CM28" s="190"/>
      <c r="CN28" s="190">
        <v>0</v>
      </c>
      <c r="CO28" s="190">
        <v>0</v>
      </c>
      <c r="CP28" s="190">
        <v>469312</v>
      </c>
      <c r="CQ28" s="190">
        <v>473312</v>
      </c>
      <c r="CR28" s="190">
        <v>469412</v>
      </c>
      <c r="CS28" s="190">
        <v>15</v>
      </c>
      <c r="CT28" s="190">
        <v>4</v>
      </c>
      <c r="CU28" s="190">
        <v>0</v>
      </c>
      <c r="CV28" s="190">
        <v>9</v>
      </c>
      <c r="CW28" s="190">
        <v>10</v>
      </c>
      <c r="CX28" s="190">
        <v>1</v>
      </c>
      <c r="CY28" s="190">
        <v>2</v>
      </c>
      <c r="CZ28" s="190">
        <v>3</v>
      </c>
      <c r="DA28" s="190">
        <v>4</v>
      </c>
      <c r="DB28" s="190">
        <v>5</v>
      </c>
      <c r="DC28" s="190">
        <v>6</v>
      </c>
      <c r="DD28" s="190">
        <v>7</v>
      </c>
      <c r="DE28" s="190">
        <v>8</v>
      </c>
      <c r="DF28" s="190" t="s">
        <v>412</v>
      </c>
      <c r="DG28" s="190" t="s">
        <v>308</v>
      </c>
      <c r="DH28" s="190" t="s">
        <v>18</v>
      </c>
      <c r="DI28" s="190">
        <v>0</v>
      </c>
      <c r="DJ28" s="190">
        <v>0</v>
      </c>
      <c r="DK28" s="190">
        <v>462427</v>
      </c>
      <c r="DL28" s="190">
        <v>15</v>
      </c>
      <c r="DM28" s="190">
        <v>462427</v>
      </c>
      <c r="DN28" s="190">
        <v>50</v>
      </c>
      <c r="DO28" s="190">
        <v>7000</v>
      </c>
      <c r="DP28" s="190">
        <v>0</v>
      </c>
      <c r="DQ28" s="190"/>
      <c r="DR28" s="190">
        <v>7000</v>
      </c>
      <c r="DS28" s="190">
        <v>-2317</v>
      </c>
      <c r="DT28" s="190">
        <v>469312</v>
      </c>
      <c r="DU28" s="190">
        <v>0</v>
      </c>
      <c r="DV28" s="190">
        <v>469312</v>
      </c>
      <c r="DW28" s="190">
        <v>2317</v>
      </c>
      <c r="DX28" s="190">
        <v>464729</v>
      </c>
      <c r="DY28" s="190">
        <v>4687</v>
      </c>
      <c r="DZ28" s="190">
        <v>100</v>
      </c>
      <c r="EA28" s="190"/>
      <c r="EB28" s="190">
        <v>0</v>
      </c>
      <c r="EC28" s="190">
        <v>0</v>
      </c>
      <c r="ED28" s="190">
        <v>464690</v>
      </c>
      <c r="EE28" s="190">
        <v>469312</v>
      </c>
      <c r="EF28" s="190">
        <v>462412</v>
      </c>
      <c r="EG28" s="190">
        <v>27</v>
      </c>
    </row>
    <row r="29" spans="1:137" x14ac:dyDescent="0.2">
      <c r="A29" s="190" t="s">
        <v>311</v>
      </c>
      <c r="B29" s="263" t="s">
        <v>426</v>
      </c>
      <c r="C29" s="190">
        <v>1</v>
      </c>
      <c r="D29" s="190" t="s">
        <v>421</v>
      </c>
      <c r="E29" s="190" t="s">
        <v>422</v>
      </c>
      <c r="F29" s="190">
        <v>59.954999999999998</v>
      </c>
      <c r="G29" s="190" t="s">
        <v>312</v>
      </c>
      <c r="H29" s="190">
        <v>1</v>
      </c>
      <c r="I29" s="190">
        <v>6000</v>
      </c>
      <c r="J29" s="190">
        <v>-32</v>
      </c>
      <c r="K29" s="190">
        <v>0</v>
      </c>
      <c r="L29" s="190">
        <v>26312</v>
      </c>
      <c r="M29" s="190">
        <v>32</v>
      </c>
      <c r="N29" s="190">
        <v>20444</v>
      </c>
      <c r="O29" s="190">
        <v>5971</v>
      </c>
      <c r="P29" s="190"/>
      <c r="Q29" s="190">
        <v>0</v>
      </c>
      <c r="R29" s="190">
        <v>0</v>
      </c>
      <c r="S29" s="190">
        <v>2080927215</v>
      </c>
      <c r="T29" s="190" t="s">
        <v>303</v>
      </c>
      <c r="U29" s="190" t="s">
        <v>304</v>
      </c>
      <c r="V29" s="190" t="s">
        <v>304</v>
      </c>
      <c r="W29" s="190" t="s">
        <v>398</v>
      </c>
      <c r="X29" s="190" t="s">
        <v>423</v>
      </c>
      <c r="Y29" s="260">
        <v>0.39826388888888886</v>
      </c>
      <c r="Z29" s="190" t="s">
        <v>305</v>
      </c>
      <c r="AA29" s="190" t="s">
        <v>306</v>
      </c>
      <c r="AB29" s="190">
        <v>-1</v>
      </c>
      <c r="AC29" s="190">
        <v>-999999</v>
      </c>
      <c r="AD29" s="190">
        <v>20412</v>
      </c>
      <c r="AE29" s="190">
        <v>24</v>
      </c>
      <c r="AF29" s="190">
        <v>7735</v>
      </c>
      <c r="AG29" s="190">
        <v>0</v>
      </c>
      <c r="AH29" s="190">
        <v>5</v>
      </c>
      <c r="AI29" s="190">
        <v>12677</v>
      </c>
      <c r="AJ29" s="190">
        <v>20412</v>
      </c>
      <c r="AK29" s="190">
        <v>28</v>
      </c>
      <c r="AL29" s="190">
        <v>28</v>
      </c>
      <c r="AM29" s="190">
        <v>1</v>
      </c>
      <c r="AN29" s="190">
        <v>28</v>
      </c>
      <c r="AO29" s="190">
        <v>8</v>
      </c>
      <c r="AP29" s="190" t="s">
        <v>307</v>
      </c>
      <c r="AQ29" s="190">
        <v>4000</v>
      </c>
      <c r="AR29" s="190">
        <v>0</v>
      </c>
      <c r="AS29" s="190"/>
      <c r="AT29" s="190">
        <v>4000</v>
      </c>
      <c r="AU29" s="190">
        <v>-7</v>
      </c>
      <c r="AV29" s="190">
        <v>477312</v>
      </c>
      <c r="AW29" s="190">
        <v>0</v>
      </c>
      <c r="AX29" s="190">
        <v>477312</v>
      </c>
      <c r="AY29" s="190">
        <v>7</v>
      </c>
      <c r="AZ29" s="190">
        <v>473419</v>
      </c>
      <c r="BA29" s="190">
        <v>4003</v>
      </c>
      <c r="BB29" s="190">
        <v>100</v>
      </c>
      <c r="BC29" s="190"/>
      <c r="BD29" s="190">
        <v>0</v>
      </c>
      <c r="BE29" s="190">
        <v>0</v>
      </c>
      <c r="BF29" s="190">
        <v>473317</v>
      </c>
      <c r="BG29" s="190">
        <v>477312</v>
      </c>
      <c r="BH29" s="190">
        <v>473412</v>
      </c>
      <c r="BI29" s="190">
        <v>7000</v>
      </c>
      <c r="BJ29" s="190">
        <v>0</v>
      </c>
      <c r="BK29" s="190"/>
      <c r="BL29" s="190" t="s">
        <v>306</v>
      </c>
      <c r="BM29" s="190">
        <v>7000</v>
      </c>
      <c r="BN29" s="190">
        <v>-999999</v>
      </c>
      <c r="BO29" s="190">
        <v>482719</v>
      </c>
      <c r="BP29" s="190">
        <v>482718</v>
      </c>
      <c r="BQ29" s="190">
        <v>42</v>
      </c>
      <c r="BR29" s="190">
        <v>482392</v>
      </c>
      <c r="BS29" s="190">
        <v>0</v>
      </c>
      <c r="BT29" s="190">
        <v>100</v>
      </c>
      <c r="BU29" s="190">
        <v>1</v>
      </c>
      <c r="BV29" s="190">
        <v>326</v>
      </c>
      <c r="BW29" s="190">
        <v>482718</v>
      </c>
      <c r="BX29" s="190">
        <v>482354</v>
      </c>
      <c r="BY29" s="190">
        <v>489250</v>
      </c>
      <c r="BZ29" s="190">
        <v>482350</v>
      </c>
      <c r="CA29" s="190">
        <v>12000</v>
      </c>
      <c r="CB29" s="190">
        <v>0</v>
      </c>
      <c r="CC29" s="190"/>
      <c r="CD29" s="190">
        <v>12000</v>
      </c>
      <c r="CE29" s="190">
        <v>-15</v>
      </c>
      <c r="CF29" s="190">
        <v>496312</v>
      </c>
      <c r="CG29" s="190">
        <v>0</v>
      </c>
      <c r="CH29" s="190">
        <v>496312</v>
      </c>
      <c r="CI29" s="190">
        <v>15</v>
      </c>
      <c r="CJ29" s="190">
        <v>484427</v>
      </c>
      <c r="CK29" s="190">
        <v>0</v>
      </c>
      <c r="CL29" s="190">
        <v>100</v>
      </c>
      <c r="CM29" s="190"/>
      <c r="CN29" s="190">
        <v>0</v>
      </c>
      <c r="CO29" s="190">
        <v>0</v>
      </c>
      <c r="CP29" s="190">
        <v>484312</v>
      </c>
      <c r="CQ29" s="190">
        <v>496312</v>
      </c>
      <c r="CR29" s="190">
        <v>484412</v>
      </c>
      <c r="CS29" s="190">
        <v>15</v>
      </c>
      <c r="CT29" s="190">
        <v>4</v>
      </c>
      <c r="CU29" s="190">
        <v>0</v>
      </c>
      <c r="CV29" s="190">
        <v>9</v>
      </c>
      <c r="CW29" s="190">
        <v>10</v>
      </c>
      <c r="CX29" s="190">
        <v>1</v>
      </c>
      <c r="CY29" s="190">
        <v>2</v>
      </c>
      <c r="CZ29" s="190">
        <v>3</v>
      </c>
      <c r="DA29" s="190">
        <v>4</v>
      </c>
      <c r="DB29" s="190">
        <v>5</v>
      </c>
      <c r="DC29" s="190">
        <v>6</v>
      </c>
      <c r="DD29" s="190">
        <v>7</v>
      </c>
      <c r="DE29" s="190">
        <v>8</v>
      </c>
      <c r="DF29" s="190" t="s">
        <v>400</v>
      </c>
      <c r="DG29" s="190" t="s">
        <v>308</v>
      </c>
      <c r="DH29" s="190" t="s">
        <v>18</v>
      </c>
      <c r="DI29" s="190">
        <v>0</v>
      </c>
      <c r="DJ29" s="190">
        <v>0</v>
      </c>
      <c r="DK29" s="190">
        <v>477422</v>
      </c>
      <c r="DL29" s="190">
        <v>10</v>
      </c>
      <c r="DM29" s="190">
        <v>477422</v>
      </c>
      <c r="DN29" s="190">
        <v>50</v>
      </c>
      <c r="DO29" s="190">
        <v>7000</v>
      </c>
      <c r="DP29" s="190">
        <v>0</v>
      </c>
      <c r="DQ29" s="190"/>
      <c r="DR29" s="190">
        <v>7000</v>
      </c>
      <c r="DS29" s="190">
        <v>-5347</v>
      </c>
      <c r="DT29" s="190">
        <v>484312</v>
      </c>
      <c r="DU29" s="190">
        <v>0</v>
      </c>
      <c r="DV29" s="190">
        <v>484312</v>
      </c>
      <c r="DW29" s="190">
        <v>5347</v>
      </c>
      <c r="DX29" s="190">
        <v>482759</v>
      </c>
      <c r="DY29" s="190">
        <v>1668</v>
      </c>
      <c r="DZ29" s="190">
        <v>100</v>
      </c>
      <c r="EA29" s="190"/>
      <c r="EB29" s="190">
        <v>0</v>
      </c>
      <c r="EC29" s="190">
        <v>0</v>
      </c>
      <c r="ED29" s="190">
        <v>482721</v>
      </c>
      <c r="EE29" s="190">
        <v>484312</v>
      </c>
      <c r="EF29" s="190">
        <v>477412</v>
      </c>
      <c r="EG29" s="190">
        <v>28</v>
      </c>
    </row>
    <row r="30" spans="1:137" x14ac:dyDescent="0.2">
      <c r="A30" s="190" t="s">
        <v>311</v>
      </c>
      <c r="B30" s="263" t="s">
        <v>426</v>
      </c>
      <c r="C30" s="190">
        <v>1</v>
      </c>
      <c r="D30" s="190" t="s">
        <v>421</v>
      </c>
      <c r="E30" s="190" t="s">
        <v>422</v>
      </c>
      <c r="F30" s="190">
        <v>59.954999999999998</v>
      </c>
      <c r="G30" s="190" t="s">
        <v>312</v>
      </c>
      <c r="H30" s="190">
        <v>1</v>
      </c>
      <c r="I30" s="190">
        <v>6000</v>
      </c>
      <c r="J30" s="190">
        <v>-32</v>
      </c>
      <c r="K30" s="190">
        <v>0</v>
      </c>
      <c r="L30" s="190">
        <v>26312</v>
      </c>
      <c r="M30" s="190">
        <v>32</v>
      </c>
      <c r="N30" s="190">
        <v>20444</v>
      </c>
      <c r="O30" s="190">
        <v>5971</v>
      </c>
      <c r="P30" s="190"/>
      <c r="Q30" s="190">
        <v>0</v>
      </c>
      <c r="R30" s="190">
        <v>0</v>
      </c>
      <c r="S30" s="190">
        <v>2080927215</v>
      </c>
      <c r="T30" s="190" t="s">
        <v>303</v>
      </c>
      <c r="U30" s="190" t="s">
        <v>304</v>
      </c>
      <c r="V30" s="190" t="s">
        <v>304</v>
      </c>
      <c r="W30" s="190" t="s">
        <v>398</v>
      </c>
      <c r="X30" s="190" t="s">
        <v>423</v>
      </c>
      <c r="Y30" s="260">
        <v>0.39826388888888886</v>
      </c>
      <c r="Z30" s="190" t="s">
        <v>305</v>
      </c>
      <c r="AA30" s="190" t="s">
        <v>306</v>
      </c>
      <c r="AB30" s="190">
        <v>-1</v>
      </c>
      <c r="AC30" s="190">
        <v>-999999</v>
      </c>
      <c r="AD30" s="190">
        <v>20412</v>
      </c>
      <c r="AE30" s="190">
        <v>24</v>
      </c>
      <c r="AF30" s="190">
        <v>7735</v>
      </c>
      <c r="AG30" s="190">
        <v>0</v>
      </c>
      <c r="AH30" s="190">
        <v>5</v>
      </c>
      <c r="AI30" s="190">
        <v>12677</v>
      </c>
      <c r="AJ30" s="190">
        <v>20412</v>
      </c>
      <c r="AK30" s="190">
        <v>29</v>
      </c>
      <c r="AL30" s="190">
        <v>29</v>
      </c>
      <c r="AM30" s="190">
        <v>1</v>
      </c>
      <c r="AN30" s="190">
        <v>29</v>
      </c>
      <c r="AO30" s="190">
        <v>0</v>
      </c>
      <c r="AP30" s="190" t="s">
        <v>307</v>
      </c>
      <c r="AQ30" s="190">
        <v>4000</v>
      </c>
      <c r="AR30" s="190">
        <v>0</v>
      </c>
      <c r="AS30" s="190"/>
      <c r="AT30" s="190">
        <v>4000</v>
      </c>
      <c r="AU30" s="190">
        <v>-8</v>
      </c>
      <c r="AV30" s="190">
        <v>500312</v>
      </c>
      <c r="AW30" s="190">
        <v>0</v>
      </c>
      <c r="AX30" s="190">
        <v>500312</v>
      </c>
      <c r="AY30" s="190">
        <v>8</v>
      </c>
      <c r="AZ30" s="190">
        <v>496420</v>
      </c>
      <c r="BA30" s="190">
        <v>4003</v>
      </c>
      <c r="BB30" s="190">
        <v>100</v>
      </c>
      <c r="BC30" s="190"/>
      <c r="BD30" s="190">
        <v>0</v>
      </c>
      <c r="BE30" s="190">
        <v>0</v>
      </c>
      <c r="BF30" s="190">
        <v>496317</v>
      </c>
      <c r="BG30" s="190">
        <v>500312</v>
      </c>
      <c r="BH30" s="190">
        <v>496412</v>
      </c>
      <c r="BI30" s="190">
        <v>7000</v>
      </c>
      <c r="BJ30" s="190">
        <v>0</v>
      </c>
      <c r="BK30" s="190"/>
      <c r="BL30" s="190" t="s">
        <v>306</v>
      </c>
      <c r="BM30" s="190">
        <v>7000</v>
      </c>
      <c r="BN30" s="190">
        <v>-999999</v>
      </c>
      <c r="BO30" s="190">
        <v>502781</v>
      </c>
      <c r="BP30" s="190">
        <v>502781</v>
      </c>
      <c r="BQ30" s="190">
        <v>48</v>
      </c>
      <c r="BR30" s="190">
        <v>502341</v>
      </c>
      <c r="BS30" s="190">
        <v>0</v>
      </c>
      <c r="BT30" s="190">
        <v>100</v>
      </c>
      <c r="BU30" s="190">
        <v>1</v>
      </c>
      <c r="BV30" s="190">
        <v>440</v>
      </c>
      <c r="BW30" s="190">
        <v>502781</v>
      </c>
      <c r="BX30" s="190">
        <v>502297</v>
      </c>
      <c r="BY30" s="190">
        <v>509193</v>
      </c>
      <c r="BZ30" s="190">
        <v>502293</v>
      </c>
      <c r="CA30" s="190">
        <v>2000</v>
      </c>
      <c r="CB30" s="190">
        <v>0</v>
      </c>
      <c r="CC30" s="190"/>
      <c r="CD30" s="190">
        <v>2000</v>
      </c>
      <c r="CE30" s="190">
        <v>-16</v>
      </c>
      <c r="CF30" s="190">
        <v>509312</v>
      </c>
      <c r="CG30" s="190">
        <v>0</v>
      </c>
      <c r="CH30" s="190">
        <v>509312</v>
      </c>
      <c r="CI30" s="190">
        <v>16</v>
      </c>
      <c r="CJ30" s="190">
        <v>507428</v>
      </c>
      <c r="CK30" s="190">
        <v>0</v>
      </c>
      <c r="CL30" s="190">
        <v>100</v>
      </c>
      <c r="CM30" s="190"/>
      <c r="CN30" s="190">
        <v>0</v>
      </c>
      <c r="CO30" s="190">
        <v>0</v>
      </c>
      <c r="CP30" s="190">
        <v>507312</v>
      </c>
      <c r="CQ30" s="190">
        <v>509312</v>
      </c>
      <c r="CR30" s="190">
        <v>507412</v>
      </c>
      <c r="CS30" s="190">
        <v>15</v>
      </c>
      <c r="CT30" s="190">
        <v>4</v>
      </c>
      <c r="CU30" s="190">
        <v>0</v>
      </c>
      <c r="CV30" s="190">
        <v>9</v>
      </c>
      <c r="CW30" s="190">
        <v>10</v>
      </c>
      <c r="CX30" s="190">
        <v>1</v>
      </c>
      <c r="CY30" s="190">
        <v>2</v>
      </c>
      <c r="CZ30" s="190">
        <v>3</v>
      </c>
      <c r="DA30" s="190">
        <v>4</v>
      </c>
      <c r="DB30" s="190">
        <v>5</v>
      </c>
      <c r="DC30" s="190">
        <v>6</v>
      </c>
      <c r="DD30" s="190">
        <v>7</v>
      </c>
      <c r="DE30" s="190">
        <v>8</v>
      </c>
      <c r="DF30" s="190" t="s">
        <v>409</v>
      </c>
      <c r="DG30" s="190" t="s">
        <v>308</v>
      </c>
      <c r="DH30" s="190" t="s">
        <v>18</v>
      </c>
      <c r="DI30" s="190">
        <v>0</v>
      </c>
      <c r="DJ30" s="190">
        <v>0</v>
      </c>
      <c r="DK30" s="190">
        <v>500423</v>
      </c>
      <c r="DL30" s="190">
        <v>11</v>
      </c>
      <c r="DM30" s="190">
        <v>500423</v>
      </c>
      <c r="DN30" s="190">
        <v>50</v>
      </c>
      <c r="DO30" s="190">
        <v>7000</v>
      </c>
      <c r="DP30" s="190">
        <v>0</v>
      </c>
      <c r="DQ30" s="190"/>
      <c r="DR30" s="190">
        <v>7000</v>
      </c>
      <c r="DS30" s="190">
        <v>-2413</v>
      </c>
      <c r="DT30" s="190">
        <v>507312</v>
      </c>
      <c r="DU30" s="190">
        <v>0</v>
      </c>
      <c r="DV30" s="190">
        <v>507312</v>
      </c>
      <c r="DW30" s="190">
        <v>2413</v>
      </c>
      <c r="DX30" s="190">
        <v>502825</v>
      </c>
      <c r="DY30" s="190">
        <v>4603</v>
      </c>
      <c r="DZ30" s="190">
        <v>100</v>
      </c>
      <c r="EA30" s="190"/>
      <c r="EB30" s="190">
        <v>0</v>
      </c>
      <c r="EC30" s="190">
        <v>0</v>
      </c>
      <c r="ED30" s="190">
        <v>502783</v>
      </c>
      <c r="EE30" s="190">
        <v>507312</v>
      </c>
      <c r="EF30" s="190">
        <v>500412</v>
      </c>
      <c r="EG30" s="190">
        <v>29</v>
      </c>
    </row>
    <row r="31" spans="1:137" x14ac:dyDescent="0.2">
      <c r="A31" s="190" t="s">
        <v>311</v>
      </c>
      <c r="B31" s="263" t="s">
        <v>426</v>
      </c>
      <c r="C31" s="190">
        <v>1</v>
      </c>
      <c r="D31" s="190" t="s">
        <v>421</v>
      </c>
      <c r="E31" s="190" t="s">
        <v>422</v>
      </c>
      <c r="F31" s="190">
        <v>59.954999999999998</v>
      </c>
      <c r="G31" s="190" t="s">
        <v>312</v>
      </c>
      <c r="H31" s="190">
        <v>1</v>
      </c>
      <c r="I31" s="190">
        <v>6000</v>
      </c>
      <c r="J31" s="190">
        <v>-32</v>
      </c>
      <c r="K31" s="190">
        <v>0</v>
      </c>
      <c r="L31" s="190">
        <v>26312</v>
      </c>
      <c r="M31" s="190">
        <v>32</v>
      </c>
      <c r="N31" s="190">
        <v>20444</v>
      </c>
      <c r="O31" s="190">
        <v>5971</v>
      </c>
      <c r="P31" s="190"/>
      <c r="Q31" s="190">
        <v>0</v>
      </c>
      <c r="R31" s="190">
        <v>0</v>
      </c>
      <c r="S31" s="190">
        <v>2080927215</v>
      </c>
      <c r="T31" s="190" t="s">
        <v>303</v>
      </c>
      <c r="U31" s="190" t="s">
        <v>304</v>
      </c>
      <c r="V31" s="190" t="s">
        <v>304</v>
      </c>
      <c r="W31" s="190" t="s">
        <v>398</v>
      </c>
      <c r="X31" s="190" t="s">
        <v>423</v>
      </c>
      <c r="Y31" s="260">
        <v>0.39826388888888886</v>
      </c>
      <c r="Z31" s="190" t="s">
        <v>305</v>
      </c>
      <c r="AA31" s="190" t="s">
        <v>306</v>
      </c>
      <c r="AB31" s="190">
        <v>-1</v>
      </c>
      <c r="AC31" s="190">
        <v>-999999</v>
      </c>
      <c r="AD31" s="190">
        <v>20412</v>
      </c>
      <c r="AE31" s="190">
        <v>24</v>
      </c>
      <c r="AF31" s="190">
        <v>7735</v>
      </c>
      <c r="AG31" s="190">
        <v>0</v>
      </c>
      <c r="AH31" s="190">
        <v>5</v>
      </c>
      <c r="AI31" s="190">
        <v>12677</v>
      </c>
      <c r="AJ31" s="190">
        <v>20412</v>
      </c>
      <c r="AK31" s="190">
        <v>30</v>
      </c>
      <c r="AL31" s="190">
        <v>30</v>
      </c>
      <c r="AM31" s="190">
        <v>1</v>
      </c>
      <c r="AN31" s="190">
        <v>30</v>
      </c>
      <c r="AO31" s="190">
        <v>8</v>
      </c>
      <c r="AP31" s="190" t="s">
        <v>307</v>
      </c>
      <c r="AQ31" s="190">
        <v>4000</v>
      </c>
      <c r="AR31" s="190">
        <v>0</v>
      </c>
      <c r="AS31" s="190"/>
      <c r="AT31" s="190">
        <v>4000</v>
      </c>
      <c r="AU31" s="190">
        <v>-1</v>
      </c>
      <c r="AV31" s="190">
        <v>513312</v>
      </c>
      <c r="AW31" s="190">
        <v>0</v>
      </c>
      <c r="AX31" s="190">
        <v>513312</v>
      </c>
      <c r="AY31" s="190">
        <v>1</v>
      </c>
      <c r="AZ31" s="190">
        <v>509413</v>
      </c>
      <c r="BA31" s="190">
        <v>4003</v>
      </c>
      <c r="BB31" s="190">
        <v>100</v>
      </c>
      <c r="BC31" s="190"/>
      <c r="BD31" s="190">
        <v>0</v>
      </c>
      <c r="BE31" s="190">
        <v>0</v>
      </c>
      <c r="BF31" s="190">
        <v>509317</v>
      </c>
      <c r="BG31" s="190">
        <v>513312</v>
      </c>
      <c r="BH31" s="190">
        <v>509412</v>
      </c>
      <c r="BI31" s="190">
        <v>7000</v>
      </c>
      <c r="BJ31" s="190">
        <v>0</v>
      </c>
      <c r="BK31" s="190"/>
      <c r="BL31" s="190" t="s">
        <v>306</v>
      </c>
      <c r="BM31" s="190">
        <v>7000</v>
      </c>
      <c r="BN31" s="190">
        <v>-999999</v>
      </c>
      <c r="BO31" s="190">
        <v>515044</v>
      </c>
      <c r="BP31" s="190">
        <v>515044</v>
      </c>
      <c r="BQ31" s="190">
        <v>39</v>
      </c>
      <c r="BR31" s="190">
        <v>514667</v>
      </c>
      <c r="BS31" s="190">
        <v>0</v>
      </c>
      <c r="BT31" s="190">
        <v>100</v>
      </c>
      <c r="BU31" s="190">
        <v>1</v>
      </c>
      <c r="BV31" s="190">
        <v>377</v>
      </c>
      <c r="BW31" s="190">
        <v>515044</v>
      </c>
      <c r="BX31" s="190">
        <v>514631</v>
      </c>
      <c r="BY31" s="190">
        <v>521528</v>
      </c>
      <c r="BZ31" s="190">
        <v>514628</v>
      </c>
      <c r="CA31" s="190">
        <v>4000</v>
      </c>
      <c r="CB31" s="190">
        <v>0</v>
      </c>
      <c r="CC31" s="190"/>
      <c r="CD31" s="190">
        <v>4000</v>
      </c>
      <c r="CE31" s="190">
        <v>-9</v>
      </c>
      <c r="CF31" s="190">
        <v>524312</v>
      </c>
      <c r="CG31" s="190">
        <v>0</v>
      </c>
      <c r="CH31" s="190">
        <v>524312</v>
      </c>
      <c r="CI31" s="190">
        <v>9</v>
      </c>
      <c r="CJ31" s="190">
        <v>520421</v>
      </c>
      <c r="CK31" s="190">
        <v>0</v>
      </c>
      <c r="CL31" s="190">
        <v>100</v>
      </c>
      <c r="CM31" s="190"/>
      <c r="CN31" s="190">
        <v>0</v>
      </c>
      <c r="CO31" s="190">
        <v>0</v>
      </c>
      <c r="CP31" s="190">
        <v>520312</v>
      </c>
      <c r="CQ31" s="190">
        <v>524312</v>
      </c>
      <c r="CR31" s="190">
        <v>520412</v>
      </c>
      <c r="CS31" s="190">
        <v>15</v>
      </c>
      <c r="CT31" s="190">
        <v>4</v>
      </c>
      <c r="CU31" s="190">
        <v>0</v>
      </c>
      <c r="CV31" s="190">
        <v>9</v>
      </c>
      <c r="CW31" s="190">
        <v>10</v>
      </c>
      <c r="CX31" s="190">
        <v>1</v>
      </c>
      <c r="CY31" s="190">
        <v>2</v>
      </c>
      <c r="CZ31" s="190">
        <v>3</v>
      </c>
      <c r="DA31" s="190">
        <v>4</v>
      </c>
      <c r="DB31" s="190">
        <v>5</v>
      </c>
      <c r="DC31" s="190">
        <v>6</v>
      </c>
      <c r="DD31" s="190">
        <v>7</v>
      </c>
      <c r="DE31" s="190">
        <v>8</v>
      </c>
      <c r="DF31" s="190" t="s">
        <v>405</v>
      </c>
      <c r="DG31" s="190" t="s">
        <v>308</v>
      </c>
      <c r="DH31" s="190" t="s">
        <v>18</v>
      </c>
      <c r="DI31" s="190">
        <v>0</v>
      </c>
      <c r="DJ31" s="190">
        <v>0</v>
      </c>
      <c r="DK31" s="190">
        <v>513416</v>
      </c>
      <c r="DL31" s="190">
        <v>4</v>
      </c>
      <c r="DM31" s="190">
        <v>513416</v>
      </c>
      <c r="DN31" s="190">
        <v>50</v>
      </c>
      <c r="DO31" s="190">
        <v>7000</v>
      </c>
      <c r="DP31" s="190">
        <v>0</v>
      </c>
      <c r="DQ31" s="190"/>
      <c r="DR31" s="190">
        <v>7000</v>
      </c>
      <c r="DS31" s="190">
        <v>-1672</v>
      </c>
      <c r="DT31" s="190">
        <v>520312</v>
      </c>
      <c r="DU31" s="190">
        <v>0</v>
      </c>
      <c r="DV31" s="190">
        <v>520312</v>
      </c>
      <c r="DW31" s="190">
        <v>1672</v>
      </c>
      <c r="DX31" s="190">
        <v>515084</v>
      </c>
      <c r="DY31" s="190">
        <v>5337</v>
      </c>
      <c r="DZ31" s="190">
        <v>100</v>
      </c>
      <c r="EA31" s="190"/>
      <c r="EB31" s="190">
        <v>0</v>
      </c>
      <c r="EC31" s="190">
        <v>0</v>
      </c>
      <c r="ED31" s="190">
        <v>515047</v>
      </c>
      <c r="EE31" s="190">
        <v>520312</v>
      </c>
      <c r="EF31" s="190">
        <v>513412</v>
      </c>
      <c r="EG31" s="19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F70"/>
  <sheetViews>
    <sheetView topLeftCell="H1" zoomScale="80" zoomScaleNormal="80" workbookViewId="0">
      <selection activeCell="Y46" sqref="Y46"/>
    </sheetView>
  </sheetViews>
  <sheetFormatPr baseColWidth="10" defaultColWidth="8.83203125" defaultRowHeight="15" x14ac:dyDescent="0.2"/>
  <cols>
    <col min="3" max="3" width="17.6640625" customWidth="1"/>
    <col min="6" max="6" width="13.33203125" bestFit="1" customWidth="1"/>
    <col min="10" max="10" width="13.33203125" bestFit="1" customWidth="1"/>
    <col min="14" max="14" width="13.1640625" bestFit="1" customWidth="1"/>
    <col min="17" max="18" width="8.6640625" customWidth="1"/>
    <col min="21" max="21" width="11.1640625" bestFit="1" customWidth="1"/>
    <col min="22" max="22" width="30.5" bestFit="1" customWidth="1"/>
    <col min="24" max="24" width="9.6640625" customWidth="1"/>
    <col min="51" max="51" width="11.5" bestFit="1" customWidth="1"/>
    <col min="52" max="52" width="11.5" customWidth="1"/>
    <col min="53" max="53" width="11.83203125" bestFit="1" customWidth="1"/>
    <col min="56" max="56" width="10.1640625" customWidth="1"/>
    <col min="57" max="57" width="14.1640625" customWidth="1"/>
  </cols>
  <sheetData>
    <row r="1" spans="1:58" s="26" customFormat="1" ht="24" x14ac:dyDescent="0.3">
      <c r="A1" s="26" t="s">
        <v>119</v>
      </c>
      <c r="D1" s="26" t="e">
        <f>AND('Paste Run 1'!B2,'Paste Run 2'!B2,'Paste Run 3'!B2)</f>
        <v>#VALUE!</v>
      </c>
      <c r="E1" s="162" t="str">
        <f>'Paste Run 1'!B2</f>
        <v>XXXX</v>
      </c>
      <c r="F1" s="162" t="str">
        <f>'Paste Run 2'!B2</f>
        <v>XXXX</v>
      </c>
      <c r="G1" s="162" t="str">
        <f>'Paste Run 3'!B2</f>
        <v>XXXX</v>
      </c>
    </row>
    <row r="2" spans="1:58" x14ac:dyDescent="0.2">
      <c r="E2" s="7" t="s">
        <v>22</v>
      </c>
      <c r="F2" s="7" t="s">
        <v>23</v>
      </c>
      <c r="G2" s="7" t="s">
        <v>24</v>
      </c>
    </row>
    <row r="4" spans="1:58" x14ac:dyDescent="0.2">
      <c r="B4" s="155">
        <v>0</v>
      </c>
      <c r="F4" s="1" t="s">
        <v>4</v>
      </c>
      <c r="G4" s="1"/>
      <c r="H4" s="1"/>
      <c r="I4" s="1"/>
    </row>
    <row r="5" spans="1:58" ht="22" thickBot="1" x14ac:dyDescent="0.3">
      <c r="B5" s="155">
        <v>0.01</v>
      </c>
      <c r="D5" s="1" t="s">
        <v>2</v>
      </c>
      <c r="E5" s="1" t="s">
        <v>9</v>
      </c>
      <c r="F5" s="1" t="s">
        <v>5</v>
      </c>
      <c r="G5" s="1" t="s">
        <v>8</v>
      </c>
      <c r="H5" s="1"/>
      <c r="I5" s="1" t="s">
        <v>9</v>
      </c>
      <c r="J5" s="1" t="s">
        <v>6</v>
      </c>
      <c r="K5" s="1" t="s">
        <v>8</v>
      </c>
      <c r="L5" s="1"/>
      <c r="M5" s="1" t="s">
        <v>9</v>
      </c>
      <c r="N5" s="1" t="s">
        <v>25</v>
      </c>
      <c r="O5" s="1" t="s">
        <v>8</v>
      </c>
      <c r="P5" s="1"/>
      <c r="V5" s="25" t="s">
        <v>31</v>
      </c>
    </row>
    <row r="6" spans="1:58" ht="16" thickBot="1" x14ac:dyDescent="0.25">
      <c r="B6" s="155">
        <v>0.02</v>
      </c>
      <c r="D6" s="5">
        <v>7000</v>
      </c>
      <c r="E6" s="4">
        <v>1</v>
      </c>
      <c r="F6" s="149">
        <v>0.01</v>
      </c>
      <c r="G6" s="3">
        <f>'Paste Run 1'!AO2</f>
        <v>7</v>
      </c>
      <c r="H6" s="49"/>
      <c r="I6" s="4">
        <v>1</v>
      </c>
      <c r="J6" s="146">
        <v>0.03</v>
      </c>
      <c r="K6" s="3">
        <f>'Paste Run 2'!AO2</f>
        <v>8</v>
      </c>
      <c r="L6" s="49"/>
      <c r="M6" s="4">
        <v>1</v>
      </c>
      <c r="N6" s="151">
        <v>0</v>
      </c>
      <c r="O6" s="3">
        <f>'Paste Run 3'!AO2</f>
        <v>9</v>
      </c>
      <c r="P6" s="49"/>
      <c r="V6" s="1" t="s">
        <v>13</v>
      </c>
      <c r="W6" s="18">
        <v>0</v>
      </c>
      <c r="X6" s="18">
        <v>0.01</v>
      </c>
      <c r="Y6" s="18">
        <v>0.02</v>
      </c>
      <c r="Z6" s="18">
        <v>0.03</v>
      </c>
      <c r="AA6" s="18">
        <v>0.04</v>
      </c>
      <c r="AB6" s="18">
        <v>0.05</v>
      </c>
      <c r="AC6" s="19">
        <v>5</v>
      </c>
      <c r="AD6" s="19">
        <v>7</v>
      </c>
      <c r="AE6" s="19">
        <v>9</v>
      </c>
      <c r="AF6" s="19">
        <v>11</v>
      </c>
      <c r="AG6" s="19">
        <v>13</v>
      </c>
      <c r="AH6" s="19">
        <v>15</v>
      </c>
      <c r="AI6" s="24">
        <v>30</v>
      </c>
      <c r="AJ6" s="24">
        <v>40</v>
      </c>
      <c r="AK6" s="24">
        <v>50</v>
      </c>
      <c r="AL6" s="24">
        <v>60</v>
      </c>
      <c r="AM6" s="24">
        <v>70</v>
      </c>
      <c r="AN6" s="24">
        <v>80</v>
      </c>
      <c r="AO6" s="7"/>
      <c r="AP6" s="7"/>
      <c r="AQ6" s="7"/>
      <c r="AR6" s="7"/>
      <c r="AS6" s="7"/>
      <c r="AT6" s="7"/>
      <c r="AU6" s="7"/>
      <c r="AV6" s="7"/>
      <c r="AW6" s="7"/>
    </row>
    <row r="7" spans="1:58" ht="16" thickBot="1" x14ac:dyDescent="0.25">
      <c r="B7" s="155">
        <v>0.03</v>
      </c>
      <c r="D7" s="7">
        <v>13000</v>
      </c>
      <c r="E7" s="6">
        <v>2</v>
      </c>
      <c r="F7" s="147">
        <v>5</v>
      </c>
      <c r="G7" s="3">
        <f>'Paste Run 1'!AO3</f>
        <v>5</v>
      </c>
      <c r="H7" s="22"/>
      <c r="I7" s="6">
        <v>2</v>
      </c>
      <c r="J7" s="147">
        <v>5</v>
      </c>
      <c r="K7" s="3">
        <f>'Paste Run 2'!AO3</f>
        <v>7</v>
      </c>
      <c r="L7" s="22"/>
      <c r="M7" s="6">
        <v>2</v>
      </c>
      <c r="N7" s="152">
        <v>7</v>
      </c>
      <c r="O7" s="3">
        <f>'Paste Run 3'!AO3</f>
        <v>5</v>
      </c>
      <c r="P7" s="22"/>
      <c r="V7" s="1" t="s">
        <v>26</v>
      </c>
      <c r="W7" s="20">
        <f>AVERAGE(W11,X11,W17,W23,X23,Y23)</f>
        <v>8.8333333333333339</v>
      </c>
      <c r="X7" s="20">
        <f>AVERAGE(Y11,Z11,Y17,X17,Z23,AA23,AB23)</f>
        <v>7.8571428571428568</v>
      </c>
      <c r="Y7" s="20">
        <f>AVERAGE(AA11,AB11,Z17,AC23,AD23,AE23)</f>
        <v>8</v>
      </c>
      <c r="Z7" s="20">
        <f>AVERAGE(AC11,AA17,AB17,AF23,AG23,AH23)</f>
        <v>8</v>
      </c>
      <c r="AA7" s="20">
        <f>AVERAGE(AD11,AC17,AD17,AI23,AJ23)</f>
        <v>8</v>
      </c>
      <c r="AB7" s="20">
        <f>AVERAGE(AE11,AF11,AE17,AF17,AK23,AL23)</f>
        <v>8</v>
      </c>
      <c r="AC7" s="20">
        <f>AVERAGE(AG11,AG17,AH17,AM23)</f>
        <v>6.5</v>
      </c>
      <c r="AD7" s="20">
        <f>AVERAGE(AH11,AI11,AI17,AN23)</f>
        <v>5</v>
      </c>
      <c r="AE7" s="20">
        <f>AVERAGE(AJ11,AK11,AJ17,AK17,AO23)</f>
        <v>4.2</v>
      </c>
      <c r="AF7" s="20">
        <f>AVERAGE(AL11,AL17,AM17,AP23,AQ23)</f>
        <v>3.8</v>
      </c>
      <c r="AG7" s="20">
        <f>AVERAGE(AM11,AN11,AN17,AO17,AR23)</f>
        <v>3.4</v>
      </c>
      <c r="AH7" s="20">
        <f>AVERAGE(AO11,AP11,AP17,AS23,AT23)</f>
        <v>2.8</v>
      </c>
      <c r="AI7" s="20">
        <f>AVERAGE(AQ11,AR11,AQ17,AR17,AU23)</f>
        <v>0</v>
      </c>
      <c r="AJ7" s="20">
        <f>AVERAGE(AS11,AT11,AS17)</f>
        <v>0</v>
      </c>
      <c r="AK7" s="20">
        <f>AVERAGE(AU11,AU17,AT17,AV23)</f>
        <v>0</v>
      </c>
      <c r="AL7" s="20">
        <f>AVERAGE(AV11,AW11,AV17,AW23,AX23)</f>
        <v>0</v>
      </c>
      <c r="AM7" s="20">
        <f>AVERAGE(AX11,AY11,AW17,AY23,AZ23)</f>
        <v>0</v>
      </c>
      <c r="AN7" s="20">
        <f>AVERAGE(AZ11,AY17,AX17,AZ17)</f>
        <v>0</v>
      </c>
      <c r="AO7" s="7"/>
      <c r="AP7" s="7"/>
      <c r="AQ7" s="7"/>
      <c r="AR7" s="7"/>
      <c r="AS7" s="7"/>
      <c r="AT7" s="7"/>
      <c r="AU7" s="7"/>
      <c r="AV7" s="7"/>
      <c r="AW7" s="7"/>
    </row>
    <row r="8" spans="1:58" ht="16" thickBot="1" x14ac:dyDescent="0.25">
      <c r="B8" s="155">
        <v>0.04</v>
      </c>
      <c r="D8" s="7">
        <v>9000</v>
      </c>
      <c r="E8" s="6">
        <v>3</v>
      </c>
      <c r="F8" s="148">
        <v>50</v>
      </c>
      <c r="G8" s="3">
        <f>'Paste Run 1'!AO4</f>
        <v>0</v>
      </c>
      <c r="H8" s="22"/>
      <c r="I8" s="6">
        <v>3</v>
      </c>
      <c r="J8" s="148">
        <v>80</v>
      </c>
      <c r="K8" s="3">
        <f>'Paste Run 2'!AO4</f>
        <v>0</v>
      </c>
      <c r="L8" s="22"/>
      <c r="M8" s="6">
        <v>3</v>
      </c>
      <c r="N8" s="153">
        <v>60</v>
      </c>
      <c r="O8" s="3">
        <f>'Paste Run 3'!AO4</f>
        <v>0</v>
      </c>
      <c r="P8" s="22"/>
      <c r="V8" s="1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7"/>
      <c r="AP8" s="7"/>
      <c r="AQ8" s="7"/>
      <c r="AR8" s="7"/>
      <c r="AS8" s="7"/>
      <c r="AT8" s="7"/>
      <c r="AU8" s="7"/>
      <c r="AV8" s="7"/>
      <c r="AW8" s="7"/>
    </row>
    <row r="9" spans="1:58" ht="16" thickBot="1" x14ac:dyDescent="0.25">
      <c r="B9" s="155">
        <v>0.05</v>
      </c>
      <c r="D9" s="7">
        <v>3000</v>
      </c>
      <c r="E9" s="6">
        <v>4</v>
      </c>
      <c r="F9" s="149">
        <v>0</v>
      </c>
      <c r="G9" s="3">
        <f>'Paste Run 1'!AO5</f>
        <v>8</v>
      </c>
      <c r="H9" s="22"/>
      <c r="I9" s="6">
        <v>4</v>
      </c>
      <c r="J9" s="149">
        <v>0.01</v>
      </c>
      <c r="K9" s="3">
        <f>'Paste Run 2'!AO5</f>
        <v>8</v>
      </c>
      <c r="L9" s="22"/>
      <c r="M9" s="6">
        <v>4</v>
      </c>
      <c r="N9" s="154">
        <v>0.02</v>
      </c>
      <c r="O9" s="3">
        <f>'Paste Run 3'!AO5</f>
        <v>8</v>
      </c>
      <c r="P9" s="22"/>
      <c r="V9" s="1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58" ht="16" thickBot="1" x14ac:dyDescent="0.25">
      <c r="B10" s="11">
        <v>5</v>
      </c>
      <c r="D10" s="7">
        <v>5000</v>
      </c>
      <c r="E10" s="6">
        <v>5</v>
      </c>
      <c r="F10" s="147">
        <v>15</v>
      </c>
      <c r="G10" s="3">
        <f>'Paste Run 1'!AO6</f>
        <v>2</v>
      </c>
      <c r="H10" s="22"/>
      <c r="I10" s="6">
        <v>5</v>
      </c>
      <c r="J10" s="147">
        <v>7</v>
      </c>
      <c r="K10" s="3">
        <f>'Paste Run 2'!AO6</f>
        <v>5</v>
      </c>
      <c r="L10" s="22"/>
      <c r="M10" s="6">
        <v>5</v>
      </c>
      <c r="N10" s="152">
        <v>15</v>
      </c>
      <c r="O10" s="3">
        <f>'Paste Run 3'!AO6</f>
        <v>3</v>
      </c>
      <c r="P10" s="22"/>
      <c r="V10" s="1" t="s">
        <v>10</v>
      </c>
      <c r="W10" s="149">
        <v>0</v>
      </c>
      <c r="X10" s="149">
        <v>0</v>
      </c>
      <c r="Y10" s="149">
        <v>0.01</v>
      </c>
      <c r="Z10" s="149">
        <v>0.01</v>
      </c>
      <c r="AA10" s="149">
        <v>0.02</v>
      </c>
      <c r="AB10" s="149">
        <v>0.02</v>
      </c>
      <c r="AC10" s="149">
        <v>0.03</v>
      </c>
      <c r="AD10" s="149">
        <v>0.04</v>
      </c>
      <c r="AE10" s="149">
        <v>0.05</v>
      </c>
      <c r="AF10" s="149">
        <v>0.05</v>
      </c>
      <c r="AG10" s="147">
        <v>5</v>
      </c>
      <c r="AH10" s="147">
        <v>7</v>
      </c>
      <c r="AI10" s="147">
        <v>7</v>
      </c>
      <c r="AJ10" s="147">
        <v>9</v>
      </c>
      <c r="AK10" s="147">
        <v>9</v>
      </c>
      <c r="AL10" s="147">
        <v>11</v>
      </c>
      <c r="AM10" s="147">
        <v>13</v>
      </c>
      <c r="AN10" s="147">
        <v>13</v>
      </c>
      <c r="AO10" s="147">
        <v>15</v>
      </c>
      <c r="AP10" s="147">
        <v>15</v>
      </c>
      <c r="AQ10" s="148">
        <v>30</v>
      </c>
      <c r="AR10" s="148">
        <v>30</v>
      </c>
      <c r="AS10" s="148">
        <v>40</v>
      </c>
      <c r="AT10" s="148">
        <v>40</v>
      </c>
      <c r="AU10" s="148">
        <v>50</v>
      </c>
      <c r="AV10" s="148">
        <v>60</v>
      </c>
      <c r="AW10" s="148">
        <v>60</v>
      </c>
      <c r="AX10" s="148">
        <v>70</v>
      </c>
      <c r="AY10" s="148">
        <v>70</v>
      </c>
      <c r="AZ10" s="148">
        <v>80</v>
      </c>
    </row>
    <row r="11" spans="1:58" ht="16" thickBot="1" x14ac:dyDescent="0.25">
      <c r="B11" s="11">
        <v>7</v>
      </c>
      <c r="D11" s="7">
        <v>1000</v>
      </c>
      <c r="E11" s="6">
        <v>6</v>
      </c>
      <c r="F11" s="149">
        <v>0.05</v>
      </c>
      <c r="G11" s="3">
        <f>'Paste Run 1'!AO7</f>
        <v>8</v>
      </c>
      <c r="H11" s="22"/>
      <c r="I11" s="6">
        <v>6</v>
      </c>
      <c r="J11" s="149">
        <v>0.04</v>
      </c>
      <c r="K11" s="3">
        <f>'Paste Run 2'!AO7</f>
        <v>8</v>
      </c>
      <c r="L11" s="22"/>
      <c r="M11" s="6">
        <v>6</v>
      </c>
      <c r="N11" s="154">
        <v>0.03</v>
      </c>
      <c r="O11" s="3">
        <f>'Paste Run 3'!AO7</f>
        <v>8</v>
      </c>
      <c r="P11" s="22"/>
      <c r="V11" s="1" t="s">
        <v>8</v>
      </c>
      <c r="W11" s="20">
        <f>$G41</f>
        <v>8</v>
      </c>
      <c r="X11" s="20">
        <f>$G42</f>
        <v>9</v>
      </c>
      <c r="Y11" s="20">
        <f>$G43</f>
        <v>7</v>
      </c>
      <c r="Z11" s="20">
        <f>$G44</f>
        <v>8</v>
      </c>
      <c r="AA11" s="20">
        <f>$G45</f>
        <v>8</v>
      </c>
      <c r="AB11" s="20">
        <f>$G46</f>
        <v>8</v>
      </c>
      <c r="AC11" s="20">
        <f>$G47</f>
        <v>8</v>
      </c>
      <c r="AD11" s="20">
        <f>G48</f>
        <v>8</v>
      </c>
      <c r="AE11" s="20">
        <f>G49</f>
        <v>8</v>
      </c>
      <c r="AF11" s="20">
        <f>G50</f>
        <v>8</v>
      </c>
      <c r="AG11" s="20">
        <f>G51</f>
        <v>5</v>
      </c>
      <c r="AH11" s="20">
        <f>G52</f>
        <v>5</v>
      </c>
      <c r="AI11" s="20">
        <f>G53</f>
        <v>5</v>
      </c>
      <c r="AJ11" s="20">
        <f>G54</f>
        <v>4</v>
      </c>
      <c r="AK11" s="20">
        <f>G55</f>
        <v>4</v>
      </c>
      <c r="AL11" s="20">
        <f>G56</f>
        <v>3</v>
      </c>
      <c r="AM11" s="20">
        <f>G57</f>
        <v>3</v>
      </c>
      <c r="AN11" s="20">
        <f>G58</f>
        <v>3</v>
      </c>
      <c r="AO11" s="20">
        <f>G59</f>
        <v>2</v>
      </c>
      <c r="AP11" s="20">
        <f>G60</f>
        <v>3</v>
      </c>
      <c r="AQ11" s="20">
        <f>G61</f>
        <v>0</v>
      </c>
      <c r="AR11" s="20">
        <f>G62</f>
        <v>0</v>
      </c>
      <c r="AS11" s="20">
        <f>G63</f>
        <v>0</v>
      </c>
      <c r="AT11" s="20">
        <f>G64</f>
        <v>0</v>
      </c>
      <c r="AU11" s="20">
        <f>G65</f>
        <v>0</v>
      </c>
      <c r="AV11" s="20">
        <f>G66</f>
        <v>0</v>
      </c>
      <c r="AW11" s="20">
        <f>G67</f>
        <v>0</v>
      </c>
      <c r="AX11" s="20">
        <f>G68</f>
        <v>0</v>
      </c>
      <c r="AY11" s="20">
        <f>G69</f>
        <v>0</v>
      </c>
      <c r="AZ11" s="20">
        <f>G70</f>
        <v>0</v>
      </c>
      <c r="BD11" s="36" t="s">
        <v>29</v>
      </c>
      <c r="BE11" s="36" t="s">
        <v>116</v>
      </c>
      <c r="BF11" s="36" t="s">
        <v>30</v>
      </c>
    </row>
    <row r="12" spans="1:58" ht="16" thickBot="1" x14ac:dyDescent="0.25">
      <c r="B12" s="11">
        <v>9</v>
      </c>
      <c r="D12" s="7">
        <v>9000</v>
      </c>
      <c r="E12" s="6">
        <v>7</v>
      </c>
      <c r="F12" s="148">
        <v>40</v>
      </c>
      <c r="G12" s="3">
        <f>'Paste Run 1'!AO8</f>
        <v>0</v>
      </c>
      <c r="H12" s="22"/>
      <c r="I12" s="6">
        <v>7</v>
      </c>
      <c r="J12" s="148">
        <v>50</v>
      </c>
      <c r="K12" s="3">
        <f>'Paste Run 2'!AO8</f>
        <v>0</v>
      </c>
      <c r="L12" s="22"/>
      <c r="M12" s="6">
        <v>7</v>
      </c>
      <c r="N12" s="154">
        <v>0</v>
      </c>
      <c r="O12" s="3">
        <f>'Paste Run 3'!AO8</f>
        <v>9</v>
      </c>
      <c r="P12" s="22"/>
      <c r="V12" s="1" t="s">
        <v>27</v>
      </c>
      <c r="W12" s="20" t="s">
        <v>28</v>
      </c>
      <c r="X12" s="20" t="str">
        <f>IF(X11&lt;&gt;"?",IF(X11&gt;W11,"yes","no"),"")</f>
        <v>yes</v>
      </c>
      <c r="Y12" s="20" t="str">
        <f t="shared" ref="Y12:AW12" si="0">IF(Y11&lt;&gt;"?",IF(Y11&gt;X11,"yes","no"),"")</f>
        <v>no</v>
      </c>
      <c r="Z12" s="20" t="str">
        <f>IF(Z11&lt;&gt;"?",IF(Z11&gt;Y11,"yes","no"),"")</f>
        <v>yes</v>
      </c>
      <c r="AA12" s="20" t="str">
        <f t="shared" si="0"/>
        <v>no</v>
      </c>
      <c r="AB12" s="20" t="str">
        <f t="shared" si="0"/>
        <v>no</v>
      </c>
      <c r="AC12" s="20" t="str">
        <f t="shared" si="0"/>
        <v>no</v>
      </c>
      <c r="AD12" s="20" t="str">
        <f t="shared" si="0"/>
        <v>no</v>
      </c>
      <c r="AE12" s="20" t="str">
        <f t="shared" si="0"/>
        <v>no</v>
      </c>
      <c r="AF12" s="20" t="str">
        <f t="shared" si="0"/>
        <v>no</v>
      </c>
      <c r="AG12" s="20" t="str">
        <f t="shared" si="0"/>
        <v>no</v>
      </c>
      <c r="AH12" s="20" t="str">
        <f t="shared" si="0"/>
        <v>no</v>
      </c>
      <c r="AI12" s="20" t="str">
        <f t="shared" si="0"/>
        <v>no</v>
      </c>
      <c r="AJ12" s="20" t="str">
        <f t="shared" si="0"/>
        <v>no</v>
      </c>
      <c r="AK12" s="20" t="str">
        <f t="shared" si="0"/>
        <v>no</v>
      </c>
      <c r="AL12" s="20" t="str">
        <f t="shared" si="0"/>
        <v>no</v>
      </c>
      <c r="AM12" s="20" t="str">
        <f t="shared" si="0"/>
        <v>no</v>
      </c>
      <c r="AN12" s="20" t="str">
        <f t="shared" si="0"/>
        <v>no</v>
      </c>
      <c r="AO12" s="20" t="str">
        <f t="shared" si="0"/>
        <v>no</v>
      </c>
      <c r="AP12" s="20" t="str">
        <f t="shared" si="0"/>
        <v>yes</v>
      </c>
      <c r="AQ12" s="20" t="str">
        <f t="shared" si="0"/>
        <v>no</v>
      </c>
      <c r="AR12" s="20" t="str">
        <f t="shared" si="0"/>
        <v>no</v>
      </c>
      <c r="AS12" s="20" t="str">
        <f t="shared" si="0"/>
        <v>no</v>
      </c>
      <c r="AT12" s="20" t="str">
        <f t="shared" si="0"/>
        <v>no</v>
      </c>
      <c r="AU12" s="20" t="str">
        <f t="shared" si="0"/>
        <v>no</v>
      </c>
      <c r="AV12" s="20" t="str">
        <f t="shared" si="0"/>
        <v>no</v>
      </c>
      <c r="AW12" s="20" t="str">
        <f t="shared" si="0"/>
        <v>no</v>
      </c>
      <c r="AX12" s="20" t="str">
        <f t="shared" ref="AX12" si="1">IF(AX11&lt;&gt;"?",IF(AX11&gt;AW11,"yes","no"),"")</f>
        <v>no</v>
      </c>
      <c r="AY12" s="20" t="str">
        <f t="shared" ref="AY12" si="2">IF(AY11&lt;&gt;"?",IF(AY11&gt;AX11,"yes","no"),"")</f>
        <v>no</v>
      </c>
      <c r="AZ12" s="20" t="str">
        <f>IF(AZ11&lt;&gt;"?",IF(AZ11&gt;AY11,"yes","no"),"")</f>
        <v>no</v>
      </c>
      <c r="BD12" s="37">
        <f>COUNTIF(W12:AZ12,"yes")</f>
        <v>3</v>
      </c>
      <c r="BE12" s="134">
        <f>COUNTA(W12:AZ12)</f>
        <v>30</v>
      </c>
      <c r="BF12" s="38">
        <f>1-(BD12/BE12)</f>
        <v>0.9</v>
      </c>
    </row>
    <row r="13" spans="1:58" ht="16" thickBot="1" x14ac:dyDescent="0.25">
      <c r="B13" s="11">
        <v>11</v>
      </c>
      <c r="D13" s="7">
        <v>9000</v>
      </c>
      <c r="E13" s="6">
        <v>8</v>
      </c>
      <c r="F13" s="147">
        <v>13</v>
      </c>
      <c r="G13" s="3">
        <f>'Paste Run 1'!AO9</f>
        <v>3</v>
      </c>
      <c r="H13" s="22"/>
      <c r="I13" s="6">
        <v>8</v>
      </c>
      <c r="J13" s="147">
        <v>15</v>
      </c>
      <c r="K13" s="3">
        <f>'Paste Run 2'!AO9</f>
        <v>3</v>
      </c>
      <c r="L13" s="22"/>
      <c r="M13" s="6">
        <v>8</v>
      </c>
      <c r="N13" s="152">
        <v>11</v>
      </c>
      <c r="O13" s="3">
        <f>'Paste Run 3'!AO9</f>
        <v>4</v>
      </c>
      <c r="P13" s="22"/>
      <c r="V13" s="1" t="s">
        <v>35</v>
      </c>
      <c r="W13" s="22" t="str">
        <f>IF(W11=0,W10,"NotBP")</f>
        <v>NotBP</v>
      </c>
      <c r="X13" s="22" t="str">
        <f t="shared" ref="X13:AZ13" si="3">IF(X11=0,X10,"NotBP")</f>
        <v>NotBP</v>
      </c>
      <c r="Y13" s="22" t="str">
        <f t="shared" si="3"/>
        <v>NotBP</v>
      </c>
      <c r="Z13" s="22" t="str">
        <f t="shared" si="3"/>
        <v>NotBP</v>
      </c>
      <c r="AA13" s="22" t="str">
        <f t="shared" si="3"/>
        <v>NotBP</v>
      </c>
      <c r="AB13" s="22" t="str">
        <f t="shared" si="3"/>
        <v>NotBP</v>
      </c>
      <c r="AC13" s="22" t="str">
        <f t="shared" si="3"/>
        <v>NotBP</v>
      </c>
      <c r="AD13" s="22" t="str">
        <f t="shared" si="3"/>
        <v>NotBP</v>
      </c>
      <c r="AE13" s="22" t="str">
        <f t="shared" si="3"/>
        <v>NotBP</v>
      </c>
      <c r="AF13" s="22" t="str">
        <f t="shared" si="3"/>
        <v>NotBP</v>
      </c>
      <c r="AG13" s="22" t="str">
        <f t="shared" si="3"/>
        <v>NotBP</v>
      </c>
      <c r="AH13" s="22" t="str">
        <f t="shared" si="3"/>
        <v>NotBP</v>
      </c>
      <c r="AI13" s="22" t="str">
        <f t="shared" si="3"/>
        <v>NotBP</v>
      </c>
      <c r="AJ13" s="22" t="str">
        <f t="shared" si="3"/>
        <v>NotBP</v>
      </c>
      <c r="AK13" s="22" t="str">
        <f t="shared" si="3"/>
        <v>NotBP</v>
      </c>
      <c r="AL13" s="22" t="str">
        <f t="shared" si="3"/>
        <v>NotBP</v>
      </c>
      <c r="AM13" s="22" t="str">
        <f t="shared" si="3"/>
        <v>NotBP</v>
      </c>
      <c r="AN13" s="22" t="str">
        <f t="shared" si="3"/>
        <v>NotBP</v>
      </c>
      <c r="AO13" s="22" t="str">
        <f t="shared" si="3"/>
        <v>NotBP</v>
      </c>
      <c r="AP13" s="22" t="str">
        <f t="shared" si="3"/>
        <v>NotBP</v>
      </c>
      <c r="AQ13" s="22">
        <f t="shared" si="3"/>
        <v>30</v>
      </c>
      <c r="AR13" s="22">
        <f t="shared" si="3"/>
        <v>30</v>
      </c>
      <c r="AS13" s="22">
        <f t="shared" si="3"/>
        <v>40</v>
      </c>
      <c r="AT13" s="22">
        <f t="shared" si="3"/>
        <v>40</v>
      </c>
      <c r="AU13" s="22">
        <f t="shared" si="3"/>
        <v>50</v>
      </c>
      <c r="AV13" s="22">
        <f t="shared" si="3"/>
        <v>60</v>
      </c>
      <c r="AW13" s="22">
        <f t="shared" si="3"/>
        <v>60</v>
      </c>
      <c r="AX13" s="22">
        <f t="shared" si="3"/>
        <v>70</v>
      </c>
      <c r="AY13" s="22">
        <f t="shared" si="3"/>
        <v>70</v>
      </c>
      <c r="AZ13" s="22">
        <f t="shared" si="3"/>
        <v>80</v>
      </c>
      <c r="BF13" s="23"/>
    </row>
    <row r="14" spans="1:58" ht="16" thickBot="1" x14ac:dyDescent="0.25">
      <c r="B14" s="11">
        <v>13</v>
      </c>
      <c r="D14" s="8">
        <v>11000</v>
      </c>
      <c r="E14" s="6">
        <v>9</v>
      </c>
      <c r="F14" s="148">
        <v>80</v>
      </c>
      <c r="G14" s="3">
        <f>'Paste Run 1'!AO10</f>
        <v>0</v>
      </c>
      <c r="H14" s="22"/>
      <c r="I14" s="6">
        <v>9</v>
      </c>
      <c r="J14" s="148">
        <v>50</v>
      </c>
      <c r="K14" s="3">
        <f>'Paste Run 2'!AO10</f>
        <v>0</v>
      </c>
      <c r="L14" s="22"/>
      <c r="M14" s="6">
        <v>9</v>
      </c>
      <c r="N14" s="153">
        <v>70</v>
      </c>
      <c r="O14" s="3">
        <f>'Paste Run 3'!AO10</f>
        <v>0</v>
      </c>
      <c r="P14" s="22"/>
      <c r="V14" s="1" t="s">
        <v>34</v>
      </c>
      <c r="W14" s="22">
        <f>MIN(W13:AZ13)</f>
        <v>30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"/>
      <c r="AY14" s="2"/>
      <c r="AZ14" s="2"/>
      <c r="BF14" s="23"/>
    </row>
    <row r="15" spans="1:58" ht="16" thickBot="1" x14ac:dyDescent="0.25">
      <c r="B15" s="11">
        <v>15</v>
      </c>
      <c r="D15" s="10">
        <v>3000</v>
      </c>
      <c r="E15" s="9">
        <v>10</v>
      </c>
      <c r="F15" s="149">
        <v>0.01</v>
      </c>
      <c r="G15" s="3">
        <f>'Paste Run 1'!AO11</f>
        <v>8</v>
      </c>
      <c r="H15" s="22"/>
      <c r="I15" s="9">
        <v>10</v>
      </c>
      <c r="J15" s="149">
        <v>0.04</v>
      </c>
      <c r="K15" s="3">
        <f>'Paste Run 2'!AO11</f>
        <v>8</v>
      </c>
      <c r="L15" s="22"/>
      <c r="M15" s="9">
        <v>10</v>
      </c>
      <c r="N15" s="154">
        <v>0.04</v>
      </c>
      <c r="O15" s="3">
        <f>'Paste Run 3'!AO11</f>
        <v>8</v>
      </c>
      <c r="P15" s="22"/>
      <c r="V15" s="1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"/>
      <c r="AY15" s="2"/>
      <c r="AZ15" s="2"/>
      <c r="BF15" s="23"/>
    </row>
    <row r="16" spans="1:58" ht="16" thickBot="1" x14ac:dyDescent="0.25">
      <c r="B16" s="12">
        <v>30</v>
      </c>
      <c r="D16" s="5">
        <v>5000</v>
      </c>
      <c r="E16" s="4">
        <v>11</v>
      </c>
      <c r="F16" s="148">
        <v>30</v>
      </c>
      <c r="G16" s="3">
        <f>'Paste Run 1'!AO12</f>
        <v>0</v>
      </c>
      <c r="H16" s="49"/>
      <c r="I16" s="4">
        <v>11</v>
      </c>
      <c r="J16" s="148">
        <v>30</v>
      </c>
      <c r="K16" s="3">
        <f>'Paste Run 2'!AO12</f>
        <v>0</v>
      </c>
      <c r="L16" s="49"/>
      <c r="M16" s="4">
        <v>11</v>
      </c>
      <c r="N16" s="153">
        <v>60</v>
      </c>
      <c r="O16" s="3">
        <f>'Paste Run 3'!AO12</f>
        <v>0</v>
      </c>
      <c r="P16" s="49"/>
      <c r="V16" s="1" t="s">
        <v>11</v>
      </c>
      <c r="W16" s="149">
        <v>0</v>
      </c>
      <c r="X16" s="149">
        <v>0.01</v>
      </c>
      <c r="Y16" s="149">
        <v>0.01</v>
      </c>
      <c r="Z16" s="149">
        <v>0.02</v>
      </c>
      <c r="AA16" s="146">
        <v>0.03</v>
      </c>
      <c r="AB16" s="149">
        <v>0.03</v>
      </c>
      <c r="AC16" s="149">
        <v>0.04</v>
      </c>
      <c r="AD16" s="149">
        <v>0.04</v>
      </c>
      <c r="AE16" s="149">
        <v>0.05</v>
      </c>
      <c r="AF16" s="149">
        <v>0.05</v>
      </c>
      <c r="AG16" s="147">
        <v>5</v>
      </c>
      <c r="AH16" s="147">
        <v>5</v>
      </c>
      <c r="AI16" s="147">
        <v>7</v>
      </c>
      <c r="AJ16" s="147">
        <v>9</v>
      </c>
      <c r="AK16" s="147">
        <v>9</v>
      </c>
      <c r="AL16" s="147">
        <v>11</v>
      </c>
      <c r="AM16" s="147">
        <v>11</v>
      </c>
      <c r="AN16" s="147">
        <v>13</v>
      </c>
      <c r="AO16" s="147">
        <v>13</v>
      </c>
      <c r="AP16" s="147">
        <v>15</v>
      </c>
      <c r="AQ16" s="148">
        <v>30</v>
      </c>
      <c r="AR16" s="148">
        <v>30</v>
      </c>
      <c r="AS16" s="148">
        <v>40</v>
      </c>
      <c r="AT16" s="148">
        <v>50</v>
      </c>
      <c r="AU16" s="148">
        <v>50</v>
      </c>
      <c r="AV16" s="148">
        <v>60</v>
      </c>
      <c r="AW16" s="148">
        <v>70</v>
      </c>
      <c r="AX16" s="148">
        <v>80</v>
      </c>
      <c r="AY16" s="148">
        <v>80</v>
      </c>
      <c r="AZ16" s="156">
        <v>80</v>
      </c>
    </row>
    <row r="17" spans="2:58" ht="16" thickBot="1" x14ac:dyDescent="0.25">
      <c r="B17" s="12">
        <v>40</v>
      </c>
      <c r="D17" s="7">
        <v>1000</v>
      </c>
      <c r="E17" s="6">
        <v>12</v>
      </c>
      <c r="F17" s="149">
        <v>0.02</v>
      </c>
      <c r="G17" s="3">
        <f>'Paste Run 1'!AO13</f>
        <v>8</v>
      </c>
      <c r="H17" s="22"/>
      <c r="I17" s="6">
        <v>12</v>
      </c>
      <c r="J17" s="149">
        <v>0.01</v>
      </c>
      <c r="K17" s="3">
        <f>'Paste Run 2'!AO13</f>
        <v>8</v>
      </c>
      <c r="L17" s="22"/>
      <c r="M17" s="6">
        <v>12</v>
      </c>
      <c r="N17" s="154">
        <v>0</v>
      </c>
      <c r="O17" s="3">
        <f>'Paste Run 3'!AO13</f>
        <v>9</v>
      </c>
      <c r="P17" s="22"/>
      <c r="V17" s="1" t="s">
        <v>8</v>
      </c>
      <c r="W17" s="20">
        <f>K41</f>
        <v>9</v>
      </c>
      <c r="X17" s="20">
        <f>K42</f>
        <v>8</v>
      </c>
      <c r="Y17" s="20">
        <f>K43</f>
        <v>8</v>
      </c>
      <c r="Z17" s="20">
        <f>K44</f>
        <v>8</v>
      </c>
      <c r="AA17" s="20">
        <f>K45</f>
        <v>8</v>
      </c>
      <c r="AB17" s="20">
        <f>K46</f>
        <v>8</v>
      </c>
      <c r="AC17" s="20">
        <f>K47</f>
        <v>8</v>
      </c>
      <c r="AD17" s="20">
        <f>K48</f>
        <v>8</v>
      </c>
      <c r="AE17" s="20">
        <f>K49</f>
        <v>8</v>
      </c>
      <c r="AF17" s="20">
        <f>K50</f>
        <v>8</v>
      </c>
      <c r="AG17" s="20">
        <f>K51</f>
        <v>7</v>
      </c>
      <c r="AH17" s="20">
        <f>K52</f>
        <v>7</v>
      </c>
      <c r="AI17" s="20">
        <f>K53</f>
        <v>5</v>
      </c>
      <c r="AJ17" s="20">
        <f>K54</f>
        <v>4</v>
      </c>
      <c r="AK17" s="20">
        <f>K55</f>
        <v>4</v>
      </c>
      <c r="AL17" s="20">
        <f>K56</f>
        <v>4</v>
      </c>
      <c r="AM17" s="20">
        <f>K57</f>
        <v>4</v>
      </c>
      <c r="AN17" s="20">
        <f>K58</f>
        <v>4</v>
      </c>
      <c r="AO17" s="20">
        <f>K59</f>
        <v>3</v>
      </c>
      <c r="AP17" s="20">
        <f>K60</f>
        <v>3</v>
      </c>
      <c r="AQ17" s="20">
        <f>K61</f>
        <v>0</v>
      </c>
      <c r="AR17" s="20">
        <f>K62</f>
        <v>0</v>
      </c>
      <c r="AS17" s="20">
        <f>K63</f>
        <v>0</v>
      </c>
      <c r="AT17" s="20">
        <f>K64</f>
        <v>0</v>
      </c>
      <c r="AU17" s="20">
        <f>K65</f>
        <v>0</v>
      </c>
      <c r="AV17" s="20">
        <f>K66</f>
        <v>0</v>
      </c>
      <c r="AW17" s="20">
        <f>K67</f>
        <v>0</v>
      </c>
      <c r="AX17" s="20">
        <f>K68</f>
        <v>0</v>
      </c>
      <c r="AY17" s="20">
        <f>K69</f>
        <v>0</v>
      </c>
      <c r="AZ17" s="20">
        <f>K69</f>
        <v>0</v>
      </c>
      <c r="BD17" s="36" t="s">
        <v>29</v>
      </c>
      <c r="BE17" s="36" t="s">
        <v>116</v>
      </c>
      <c r="BF17" s="36" t="s">
        <v>30</v>
      </c>
    </row>
    <row r="18" spans="2:58" ht="16" thickBot="1" x14ac:dyDescent="0.25">
      <c r="B18" s="12">
        <v>50</v>
      </c>
      <c r="D18" s="7">
        <v>13000</v>
      </c>
      <c r="E18" s="6">
        <v>13</v>
      </c>
      <c r="F18" s="147">
        <v>9</v>
      </c>
      <c r="G18" s="3">
        <f>'Paste Run 1'!AO14</f>
        <v>4</v>
      </c>
      <c r="H18" s="22"/>
      <c r="I18" s="6">
        <v>13</v>
      </c>
      <c r="J18" s="147">
        <v>13</v>
      </c>
      <c r="K18" s="3">
        <f>'Paste Run 2'!AO14</f>
        <v>4</v>
      </c>
      <c r="L18" s="22"/>
      <c r="M18" s="6">
        <v>13</v>
      </c>
      <c r="N18" s="152">
        <v>5</v>
      </c>
      <c r="O18" s="3">
        <f>'Paste Run 3'!AO14</f>
        <v>7</v>
      </c>
      <c r="P18" s="22"/>
      <c r="V18" s="1" t="s">
        <v>27</v>
      </c>
      <c r="W18" s="20" t="s">
        <v>28</v>
      </c>
      <c r="X18" s="20" t="str">
        <f>IF(X17&lt;&gt;"?",IF(X17&gt;W17,"yes","no"),"")</f>
        <v>no</v>
      </c>
      <c r="Y18" s="20" t="str">
        <f t="shared" ref="Y18" si="4">IF(Y17&lt;&gt;"?",IF(Y17&gt;X17,"yes","no"),"")</f>
        <v>no</v>
      </c>
      <c r="Z18" s="20" t="str">
        <f t="shared" ref="Z18" si="5">IF(Z17&lt;&gt;"?",IF(Z17&gt;Y17,"yes","no"),"")</f>
        <v>no</v>
      </c>
      <c r="AA18" s="20" t="str">
        <f t="shared" ref="AA18" si="6">IF(AA17&lt;&gt;"?",IF(AA17&gt;Z17,"yes","no"),"")</f>
        <v>no</v>
      </c>
      <c r="AB18" s="20" t="str">
        <f t="shared" ref="AB18" si="7">IF(AB17&lt;&gt;"?",IF(AB17&gt;AA17,"yes","no"),"")</f>
        <v>no</v>
      </c>
      <c r="AC18" s="20" t="str">
        <f t="shared" ref="AC18" si="8">IF(AC17&lt;&gt;"?",IF(AC17&gt;AB17,"yes","no"),"")</f>
        <v>no</v>
      </c>
      <c r="AD18" s="20" t="str">
        <f t="shared" ref="AD18" si="9">IF(AD17&lt;&gt;"?",IF(AD17&gt;AC17,"yes","no"),"")</f>
        <v>no</v>
      </c>
      <c r="AE18" s="20" t="str">
        <f t="shared" ref="AE18" si="10">IF(AE17&lt;&gt;"?",IF(AE17&gt;AD17,"yes","no"),"")</f>
        <v>no</v>
      </c>
      <c r="AF18" s="20" t="str">
        <f t="shared" ref="AF18" si="11">IF(AF17&lt;&gt;"?",IF(AF17&gt;AE17,"yes","no"),"")</f>
        <v>no</v>
      </c>
      <c r="AG18" s="20" t="str">
        <f t="shared" ref="AG18" si="12">IF(AG17&lt;&gt;"?",IF(AG17&gt;AF17,"yes","no"),"")</f>
        <v>no</v>
      </c>
      <c r="AH18" s="20" t="str">
        <f t="shared" ref="AH18" si="13">IF(AH17&lt;&gt;"?",IF(AH17&gt;AG17,"yes","no"),"")</f>
        <v>no</v>
      </c>
      <c r="AI18" s="20" t="str">
        <f t="shared" ref="AI18" si="14">IF(AI17&lt;&gt;"?",IF(AI17&gt;AH17,"yes","no"),"")</f>
        <v>no</v>
      </c>
      <c r="AJ18" s="20" t="str">
        <f t="shared" ref="AJ18" si="15">IF(AJ17&lt;&gt;"?",IF(AJ17&gt;AI17,"yes","no"),"")</f>
        <v>no</v>
      </c>
      <c r="AK18" s="20" t="str">
        <f t="shared" ref="AK18" si="16">IF(AK17&lt;&gt;"?",IF(AK17&gt;AJ17,"yes","no"),"")</f>
        <v>no</v>
      </c>
      <c r="AL18" s="20" t="str">
        <f t="shared" ref="AL18" si="17">IF(AL17&lt;&gt;"?",IF(AL17&gt;AK17,"yes","no"),"")</f>
        <v>no</v>
      </c>
      <c r="AM18" s="20" t="str">
        <f t="shared" ref="AM18" si="18">IF(AM17&lt;&gt;"?",IF(AM17&gt;AL17,"yes","no"),"")</f>
        <v>no</v>
      </c>
      <c r="AN18" s="20" t="str">
        <f t="shared" ref="AN18" si="19">IF(AN17&lt;&gt;"?",IF(AN17&gt;AM17,"yes","no"),"")</f>
        <v>no</v>
      </c>
      <c r="AO18" s="20" t="str">
        <f t="shared" ref="AO18" si="20">IF(AO17&lt;&gt;"?",IF(AO17&gt;AN17,"yes","no"),"")</f>
        <v>no</v>
      </c>
      <c r="AP18" s="20" t="str">
        <f t="shared" ref="AP18" si="21">IF(AP17&lt;&gt;"?",IF(AP17&gt;AO17,"yes","no"),"")</f>
        <v>no</v>
      </c>
      <c r="AQ18" s="20" t="str">
        <f t="shared" ref="AQ18" si="22">IF(AQ17&lt;&gt;"?",IF(AQ17&gt;AP17,"yes","no"),"")</f>
        <v>no</v>
      </c>
      <c r="AR18" s="20" t="str">
        <f t="shared" ref="AR18" si="23">IF(AR17&lt;&gt;"?",IF(AR17&gt;AQ17,"yes","no"),"")</f>
        <v>no</v>
      </c>
      <c r="AS18" s="20" t="str">
        <f t="shared" ref="AS18" si="24">IF(AS17&lt;&gt;"?",IF(AS17&gt;AR17,"yes","no"),"")</f>
        <v>no</v>
      </c>
      <c r="AT18" s="20" t="str">
        <f t="shared" ref="AT18" si="25">IF(AT17&lt;&gt;"?",IF(AT17&gt;AS17,"yes","no"),"")</f>
        <v>no</v>
      </c>
      <c r="AU18" s="20" t="str">
        <f t="shared" ref="AU18" si="26">IF(AU17&lt;&gt;"?",IF(AU17&gt;AT17,"yes","no"),"")</f>
        <v>no</v>
      </c>
      <c r="AV18" s="20" t="str">
        <f t="shared" ref="AV18" si="27">IF(AV17&lt;&gt;"?",IF(AV17&gt;AU17,"yes","no"),"")</f>
        <v>no</v>
      </c>
      <c r="AW18" s="20" t="str">
        <f t="shared" ref="AW18" si="28">IF(AW17&lt;&gt;"?",IF(AW17&gt;AV17,"yes","no"),"")</f>
        <v>no</v>
      </c>
      <c r="AX18" s="20" t="str">
        <f t="shared" ref="AX18" si="29">IF(AX17&lt;&gt;"?",IF(AX17&gt;AW17,"yes","no"),"")</f>
        <v>no</v>
      </c>
      <c r="AY18" s="20" t="str">
        <f t="shared" ref="AY18" si="30">IF(AY17&lt;&gt;"?",IF(AY17&gt;AX17,"yes","no"),"")</f>
        <v>no</v>
      </c>
      <c r="AZ18" s="20" t="str">
        <f>IF(AZ17&lt;&gt;"?",IF(AZ17&gt;AY17,"yes","no"),"")</f>
        <v>no</v>
      </c>
      <c r="BD18" s="37">
        <f>COUNTIF(W18:AZ18,"yes")</f>
        <v>0</v>
      </c>
      <c r="BE18" s="134">
        <f>COUNTA(W18:AZ18)</f>
        <v>30</v>
      </c>
      <c r="BF18" s="38">
        <f>1-(BD18/BE18)</f>
        <v>1</v>
      </c>
    </row>
    <row r="19" spans="2:58" ht="16" thickBot="1" x14ac:dyDescent="0.25">
      <c r="B19" s="12">
        <v>60</v>
      </c>
      <c r="D19" s="7">
        <v>5000</v>
      </c>
      <c r="E19" s="6">
        <v>14</v>
      </c>
      <c r="F19" s="149">
        <v>0.05</v>
      </c>
      <c r="G19" s="3">
        <f>'Paste Run 1'!AO15</f>
        <v>8</v>
      </c>
      <c r="H19" s="22"/>
      <c r="I19" s="6">
        <v>14</v>
      </c>
      <c r="J19" s="149">
        <v>0.02</v>
      </c>
      <c r="K19" s="3">
        <f>'Paste Run 2'!AO15</f>
        <v>8</v>
      </c>
      <c r="L19" s="22"/>
      <c r="M19" s="6">
        <v>14</v>
      </c>
      <c r="N19" s="154">
        <v>0.05</v>
      </c>
      <c r="O19" s="3">
        <f>'Paste Run 3'!AO15</f>
        <v>8</v>
      </c>
      <c r="P19" s="22"/>
      <c r="V19" s="1" t="s">
        <v>35</v>
      </c>
      <c r="W19" s="22" t="str">
        <f>IF(W17=0,W16,"NotBP")</f>
        <v>NotBP</v>
      </c>
      <c r="X19" s="22" t="str">
        <f t="shared" ref="X19:AZ19" si="31">IF(X17=0,X16,"NotBP")</f>
        <v>NotBP</v>
      </c>
      <c r="Y19" s="22" t="str">
        <f t="shared" si="31"/>
        <v>NotBP</v>
      </c>
      <c r="Z19" s="22" t="str">
        <f t="shared" si="31"/>
        <v>NotBP</v>
      </c>
      <c r="AA19" s="22" t="str">
        <f t="shared" si="31"/>
        <v>NotBP</v>
      </c>
      <c r="AB19" s="22" t="str">
        <f t="shared" si="31"/>
        <v>NotBP</v>
      </c>
      <c r="AC19" s="22" t="str">
        <f t="shared" si="31"/>
        <v>NotBP</v>
      </c>
      <c r="AD19" s="22" t="str">
        <f t="shared" si="31"/>
        <v>NotBP</v>
      </c>
      <c r="AE19" s="22" t="str">
        <f t="shared" si="31"/>
        <v>NotBP</v>
      </c>
      <c r="AF19" s="22" t="str">
        <f t="shared" si="31"/>
        <v>NotBP</v>
      </c>
      <c r="AG19" s="22" t="str">
        <f t="shared" si="31"/>
        <v>NotBP</v>
      </c>
      <c r="AH19" s="22" t="str">
        <f t="shared" si="31"/>
        <v>NotBP</v>
      </c>
      <c r="AI19" s="22" t="str">
        <f t="shared" si="31"/>
        <v>NotBP</v>
      </c>
      <c r="AJ19" s="22" t="str">
        <f t="shared" si="31"/>
        <v>NotBP</v>
      </c>
      <c r="AK19" s="22" t="str">
        <f t="shared" si="31"/>
        <v>NotBP</v>
      </c>
      <c r="AL19" s="22" t="str">
        <f t="shared" si="31"/>
        <v>NotBP</v>
      </c>
      <c r="AM19" s="22" t="str">
        <f t="shared" si="31"/>
        <v>NotBP</v>
      </c>
      <c r="AN19" s="22" t="str">
        <f t="shared" si="31"/>
        <v>NotBP</v>
      </c>
      <c r="AO19" s="22" t="str">
        <f t="shared" si="31"/>
        <v>NotBP</v>
      </c>
      <c r="AP19" s="22" t="str">
        <f t="shared" si="31"/>
        <v>NotBP</v>
      </c>
      <c r="AQ19" s="22">
        <f t="shared" si="31"/>
        <v>30</v>
      </c>
      <c r="AR19" s="22">
        <f t="shared" si="31"/>
        <v>30</v>
      </c>
      <c r="AS19" s="22">
        <f t="shared" si="31"/>
        <v>40</v>
      </c>
      <c r="AT19" s="22">
        <f t="shared" si="31"/>
        <v>50</v>
      </c>
      <c r="AU19" s="22">
        <f t="shared" si="31"/>
        <v>50</v>
      </c>
      <c r="AV19" s="22">
        <f t="shared" si="31"/>
        <v>60</v>
      </c>
      <c r="AW19" s="22">
        <f t="shared" si="31"/>
        <v>70</v>
      </c>
      <c r="AX19" s="22">
        <f t="shared" si="31"/>
        <v>80</v>
      </c>
      <c r="AY19" s="22">
        <f t="shared" si="31"/>
        <v>80</v>
      </c>
      <c r="AZ19" s="22">
        <f t="shared" si="31"/>
        <v>80</v>
      </c>
      <c r="BF19" s="23"/>
    </row>
    <row r="20" spans="2:58" ht="16" thickBot="1" x14ac:dyDescent="0.25">
      <c r="B20" s="12">
        <v>70</v>
      </c>
      <c r="D20" s="7">
        <v>7000</v>
      </c>
      <c r="E20" s="6">
        <v>15</v>
      </c>
      <c r="F20" s="148">
        <v>70</v>
      </c>
      <c r="G20" s="3">
        <f>'Paste Run 1'!AO16</f>
        <v>0</v>
      </c>
      <c r="H20" s="22"/>
      <c r="I20" s="6">
        <v>15</v>
      </c>
      <c r="J20" s="148">
        <v>80</v>
      </c>
      <c r="K20" s="3">
        <f>'Paste Run 2'!AO16</f>
        <v>0</v>
      </c>
      <c r="L20" s="22"/>
      <c r="M20" s="6">
        <v>15</v>
      </c>
      <c r="N20" s="153">
        <v>50</v>
      </c>
      <c r="O20" s="3">
        <f>'Paste Run 3'!AO16</f>
        <v>0</v>
      </c>
      <c r="P20" s="22"/>
      <c r="V20" s="1" t="s">
        <v>34</v>
      </c>
      <c r="W20" s="22">
        <f>MIN(W19:AZ19)</f>
        <v>30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"/>
      <c r="AY20" s="2"/>
      <c r="AZ20" s="2"/>
      <c r="BF20" s="23"/>
    </row>
    <row r="21" spans="2:58" ht="16" thickBot="1" x14ac:dyDescent="0.25">
      <c r="B21" s="13">
        <v>80</v>
      </c>
      <c r="D21" s="7">
        <v>3000</v>
      </c>
      <c r="E21" s="6">
        <v>16</v>
      </c>
      <c r="F21" s="147">
        <v>13</v>
      </c>
      <c r="G21" s="3">
        <f>'Paste Run 1'!AO17</f>
        <v>3</v>
      </c>
      <c r="H21" s="22"/>
      <c r="I21" s="6">
        <v>16</v>
      </c>
      <c r="J21" s="147">
        <v>9</v>
      </c>
      <c r="K21" s="3">
        <f>'Paste Run 2'!AO17</f>
        <v>4</v>
      </c>
      <c r="L21" s="22"/>
      <c r="M21" s="6">
        <v>16</v>
      </c>
      <c r="N21" s="152">
        <v>11</v>
      </c>
      <c r="O21" s="3">
        <f>'Paste Run 3'!AO17</f>
        <v>4</v>
      </c>
      <c r="P21" s="22"/>
      <c r="V21" s="1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"/>
      <c r="AY21" s="2"/>
      <c r="AZ21" s="2"/>
      <c r="BF21" s="23"/>
    </row>
    <row r="22" spans="2:58" ht="16" thickBot="1" x14ac:dyDescent="0.25">
      <c r="D22" s="8">
        <v>11000</v>
      </c>
      <c r="E22" s="6">
        <v>17</v>
      </c>
      <c r="F22" s="149">
        <v>0.04</v>
      </c>
      <c r="G22" s="3">
        <f>'Paste Run 1'!AO18</f>
        <v>8</v>
      </c>
      <c r="H22" s="22"/>
      <c r="I22" s="6">
        <v>17</v>
      </c>
      <c r="J22" s="149">
        <v>0.05</v>
      </c>
      <c r="K22" s="3">
        <f>'Paste Run 2'!AO18</f>
        <v>8</v>
      </c>
      <c r="L22" s="22"/>
      <c r="M22" s="6">
        <v>17</v>
      </c>
      <c r="N22" s="154">
        <v>0.03</v>
      </c>
      <c r="O22" s="3">
        <f>'Paste Run 3'!AO18</f>
        <v>8</v>
      </c>
      <c r="P22" s="22"/>
      <c r="V22" s="1" t="s">
        <v>12</v>
      </c>
      <c r="W22" s="151">
        <v>0</v>
      </c>
      <c r="X22" s="154">
        <v>0</v>
      </c>
      <c r="Y22" s="154">
        <v>0</v>
      </c>
      <c r="Z22" s="154">
        <v>0.01</v>
      </c>
      <c r="AA22" s="154">
        <v>0.01</v>
      </c>
      <c r="AB22" s="154">
        <v>0.01</v>
      </c>
      <c r="AC22" s="154">
        <v>0.02</v>
      </c>
      <c r="AD22" s="154">
        <v>0.02</v>
      </c>
      <c r="AE22" s="154">
        <v>0.02</v>
      </c>
      <c r="AF22" s="154">
        <v>0.03</v>
      </c>
      <c r="AG22" s="154">
        <v>0.03</v>
      </c>
      <c r="AH22" s="154">
        <v>0.03</v>
      </c>
      <c r="AI22" s="154">
        <v>0.04</v>
      </c>
      <c r="AJ22" s="154">
        <v>0.04</v>
      </c>
      <c r="AK22" s="154">
        <v>0.05</v>
      </c>
      <c r="AL22" s="154">
        <v>0.05</v>
      </c>
      <c r="AM22" s="152">
        <v>5</v>
      </c>
      <c r="AN22" s="152">
        <v>7</v>
      </c>
      <c r="AO22" s="152">
        <v>9</v>
      </c>
      <c r="AP22" s="152">
        <v>11</v>
      </c>
      <c r="AQ22" s="152">
        <v>11</v>
      </c>
      <c r="AR22" s="152">
        <v>13</v>
      </c>
      <c r="AS22" s="152">
        <v>15</v>
      </c>
      <c r="AT22" s="152">
        <v>15</v>
      </c>
      <c r="AU22" s="153">
        <v>30</v>
      </c>
      <c r="AV22" s="153">
        <v>50</v>
      </c>
      <c r="AW22" s="153">
        <v>60</v>
      </c>
      <c r="AX22" s="153">
        <v>60</v>
      </c>
      <c r="AY22" s="153">
        <v>70</v>
      </c>
      <c r="AZ22" s="157">
        <v>70</v>
      </c>
    </row>
    <row r="23" spans="2:58" ht="16" thickBot="1" x14ac:dyDescent="0.25">
      <c r="D23" s="7">
        <v>1000</v>
      </c>
      <c r="E23" s="6">
        <v>18</v>
      </c>
      <c r="F23" s="147">
        <v>9</v>
      </c>
      <c r="G23" s="3">
        <f>'Paste Run 1'!AO19</f>
        <v>4</v>
      </c>
      <c r="H23" s="22"/>
      <c r="I23" s="6">
        <v>18</v>
      </c>
      <c r="J23" s="147">
        <v>13</v>
      </c>
      <c r="K23" s="3">
        <f>'Paste Run 2'!AO19</f>
        <v>3</v>
      </c>
      <c r="L23" s="22"/>
      <c r="M23" s="6">
        <v>18</v>
      </c>
      <c r="N23" s="154">
        <v>0.01</v>
      </c>
      <c r="O23" s="3">
        <f>'Paste Run 3'!AO19</f>
        <v>8</v>
      </c>
      <c r="P23" s="22"/>
      <c r="V23" s="1" t="s">
        <v>8</v>
      </c>
      <c r="W23" s="21">
        <f>O41</f>
        <v>9</v>
      </c>
      <c r="X23" s="21">
        <f>O42</f>
        <v>9</v>
      </c>
      <c r="Y23" s="21">
        <f>O43</f>
        <v>9</v>
      </c>
      <c r="Z23" s="21">
        <f>O44</f>
        <v>8</v>
      </c>
      <c r="AA23" s="21">
        <f>O45</f>
        <v>8</v>
      </c>
      <c r="AB23" s="21">
        <f>O46</f>
        <v>8</v>
      </c>
      <c r="AC23" s="21">
        <f>O47</f>
        <v>8</v>
      </c>
      <c r="AD23" s="21">
        <f>O48</f>
        <v>8</v>
      </c>
      <c r="AE23" s="21">
        <f>O49</f>
        <v>8</v>
      </c>
      <c r="AF23" s="21">
        <f>O50</f>
        <v>8</v>
      </c>
      <c r="AG23" s="21">
        <f>O51</f>
        <v>8</v>
      </c>
      <c r="AH23" s="21">
        <f>O52</f>
        <v>8</v>
      </c>
      <c r="AI23" s="21">
        <f>O53</f>
        <v>8</v>
      </c>
      <c r="AJ23" s="21">
        <f>O54</f>
        <v>8</v>
      </c>
      <c r="AK23" s="21">
        <f>O55</f>
        <v>8</v>
      </c>
      <c r="AL23" s="21">
        <f>O56</f>
        <v>8</v>
      </c>
      <c r="AM23" s="21">
        <f>O57</f>
        <v>7</v>
      </c>
      <c r="AN23" s="21">
        <f>O58</f>
        <v>5</v>
      </c>
      <c r="AO23" s="21">
        <f>O59</f>
        <v>5</v>
      </c>
      <c r="AP23" s="21">
        <f>O60</f>
        <v>4</v>
      </c>
      <c r="AQ23" s="21">
        <f>O61</f>
        <v>4</v>
      </c>
      <c r="AR23" s="21">
        <f>O62</f>
        <v>4</v>
      </c>
      <c r="AS23" s="21">
        <f>O63</f>
        <v>3</v>
      </c>
      <c r="AT23" s="21">
        <f>O64</f>
        <v>3</v>
      </c>
      <c r="AU23" s="21">
        <f>O65</f>
        <v>0</v>
      </c>
      <c r="AV23" s="21">
        <f>O66</f>
        <v>0</v>
      </c>
      <c r="AW23" s="21">
        <f>O67</f>
        <v>0</v>
      </c>
      <c r="AX23" s="21">
        <f>O68</f>
        <v>0</v>
      </c>
      <c r="AY23" s="21">
        <f>O69</f>
        <v>0</v>
      </c>
      <c r="AZ23" s="21">
        <f>O70</f>
        <v>0</v>
      </c>
      <c r="BD23" s="36" t="s">
        <v>29</v>
      </c>
      <c r="BE23" s="36" t="s">
        <v>116</v>
      </c>
      <c r="BF23" s="36" t="s">
        <v>30</v>
      </c>
    </row>
    <row r="24" spans="2:58" ht="16" thickBot="1" x14ac:dyDescent="0.25">
      <c r="D24" s="7">
        <v>5000</v>
      </c>
      <c r="E24" s="6">
        <v>19</v>
      </c>
      <c r="F24" s="148">
        <v>60</v>
      </c>
      <c r="G24" s="3">
        <f>'Paste Run 1'!AO20</f>
        <v>0</v>
      </c>
      <c r="H24" s="22"/>
      <c r="I24" s="6">
        <v>19</v>
      </c>
      <c r="J24" s="148">
        <v>70</v>
      </c>
      <c r="K24" s="3">
        <f>'Paste Run 2'!AO20</f>
        <v>0</v>
      </c>
      <c r="L24" s="22"/>
      <c r="M24" s="6">
        <v>19</v>
      </c>
      <c r="N24" s="154">
        <v>0.02</v>
      </c>
      <c r="O24" s="3">
        <f>'Paste Run 3'!AO20</f>
        <v>8</v>
      </c>
      <c r="P24" s="22"/>
      <c r="V24" s="1" t="s">
        <v>27</v>
      </c>
      <c r="W24" s="21" t="s">
        <v>28</v>
      </c>
      <c r="X24" s="20" t="str">
        <f>IF(X23&lt;&gt;"?",IF(X23&gt;W23,"yes","no"),"")</f>
        <v>no</v>
      </c>
      <c r="Y24" s="20" t="str">
        <f t="shared" ref="Y24" si="32">IF(Y23&lt;&gt;"?",IF(Y23&gt;X23,"yes","no"),"")</f>
        <v>no</v>
      </c>
      <c r="Z24" s="20" t="str">
        <f t="shared" ref="Z24" si="33">IF(Z23&lt;&gt;"?",IF(Z23&gt;Y23,"yes","no"),"")</f>
        <v>no</v>
      </c>
      <c r="AA24" s="20" t="str">
        <f t="shared" ref="AA24" si="34">IF(AA23&lt;&gt;"?",IF(AA23&gt;Z23,"yes","no"),"")</f>
        <v>no</v>
      </c>
      <c r="AB24" s="20" t="str">
        <f t="shared" ref="AB24" si="35">IF(AB23&lt;&gt;"?",IF(AB23&gt;AA23,"yes","no"),"")</f>
        <v>no</v>
      </c>
      <c r="AC24" s="20" t="str">
        <f t="shared" ref="AC24" si="36">IF(AC23&lt;&gt;"?",IF(AC23&gt;AB23,"yes","no"),"")</f>
        <v>no</v>
      </c>
      <c r="AD24" s="20" t="str">
        <f t="shared" ref="AD24" si="37">IF(AD23&lt;&gt;"?",IF(AD23&gt;AC23,"yes","no"),"")</f>
        <v>no</v>
      </c>
      <c r="AE24" s="20" t="str">
        <f t="shared" ref="AE24" si="38">IF(AE23&lt;&gt;"?",IF(AE23&gt;AD23,"yes","no"),"")</f>
        <v>no</v>
      </c>
      <c r="AF24" s="20" t="str">
        <f t="shared" ref="AF24" si="39">IF(AF23&lt;&gt;"?",IF(AF23&gt;AE23,"yes","no"),"")</f>
        <v>no</v>
      </c>
      <c r="AG24" s="20" t="str">
        <f t="shared" ref="AG24" si="40">IF(AG23&lt;&gt;"?",IF(AG23&gt;AF23,"yes","no"),"")</f>
        <v>no</v>
      </c>
      <c r="AH24" s="20" t="str">
        <f t="shared" ref="AH24" si="41">IF(AH23&lt;&gt;"?",IF(AH23&gt;AG23,"yes","no"),"")</f>
        <v>no</v>
      </c>
      <c r="AI24" s="20" t="str">
        <f t="shared" ref="AI24" si="42">IF(AI23&lt;&gt;"?",IF(AI23&gt;AH23,"yes","no"),"")</f>
        <v>no</v>
      </c>
      <c r="AJ24" s="20" t="str">
        <f t="shared" ref="AJ24" si="43">IF(AJ23&lt;&gt;"?",IF(AJ23&gt;AI23,"yes","no"),"")</f>
        <v>no</v>
      </c>
      <c r="AK24" s="20" t="str">
        <f t="shared" ref="AK24" si="44">IF(AK23&lt;&gt;"?",IF(AK23&gt;AJ23,"yes","no"),"")</f>
        <v>no</v>
      </c>
      <c r="AL24" s="20" t="str">
        <f t="shared" ref="AL24" si="45">IF(AL23&lt;&gt;"?",IF(AL23&gt;AK23,"yes","no"),"")</f>
        <v>no</v>
      </c>
      <c r="AM24" s="20" t="str">
        <f t="shared" ref="AM24" si="46">IF(AM23&lt;&gt;"?",IF(AM23&gt;AL23,"yes","no"),"")</f>
        <v>no</v>
      </c>
      <c r="AN24" s="20" t="str">
        <f t="shared" ref="AN24" si="47">IF(AN23&lt;&gt;"?",IF(AN23&gt;AM23,"yes","no"),"")</f>
        <v>no</v>
      </c>
      <c r="AO24" s="20" t="str">
        <f t="shared" ref="AO24" si="48">IF(AO23&lt;&gt;"?",IF(AO23&gt;AN23,"yes","no"),"")</f>
        <v>no</v>
      </c>
      <c r="AP24" s="20" t="str">
        <f t="shared" ref="AP24" si="49">IF(AP23&lt;&gt;"?",IF(AP23&gt;AO23,"yes","no"),"")</f>
        <v>no</v>
      </c>
      <c r="AQ24" s="20" t="str">
        <f t="shared" ref="AQ24" si="50">IF(AQ23&lt;&gt;"?",IF(AQ23&gt;AP23,"yes","no"),"")</f>
        <v>no</v>
      </c>
      <c r="AR24" s="20" t="str">
        <f t="shared" ref="AR24" si="51">IF(AR23&lt;&gt;"?",IF(AR23&gt;AQ23,"yes","no"),"")</f>
        <v>no</v>
      </c>
      <c r="AS24" s="20" t="str">
        <f t="shared" ref="AS24" si="52">IF(AS23&lt;&gt;"?",IF(AS23&gt;AR23,"yes","no"),"")</f>
        <v>no</v>
      </c>
      <c r="AT24" s="20" t="str">
        <f t="shared" ref="AT24" si="53">IF(AT23&lt;&gt;"?",IF(AT23&gt;AS23,"yes","no"),"")</f>
        <v>no</v>
      </c>
      <c r="AU24" s="20" t="str">
        <f t="shared" ref="AU24" si="54">IF(AU23&lt;&gt;"?",IF(AU23&gt;AT23,"yes","no"),"")</f>
        <v>no</v>
      </c>
      <c r="AV24" s="20" t="str">
        <f t="shared" ref="AV24" si="55">IF(AV23&lt;&gt;"?",IF(AV23&gt;AU23,"yes","no"),"")</f>
        <v>no</v>
      </c>
      <c r="AW24" s="20" t="str">
        <f t="shared" ref="AW24" si="56">IF(AW23&lt;&gt;"?",IF(AW23&gt;AV23,"yes","no"),"")</f>
        <v>no</v>
      </c>
      <c r="AX24" s="20" t="str">
        <f t="shared" ref="AX24" si="57">IF(AX23&lt;&gt;"?",IF(AX23&gt;AW23,"yes","no"),"")</f>
        <v>no</v>
      </c>
      <c r="AY24" s="20" t="str">
        <f t="shared" ref="AY24" si="58">IF(AY23&lt;&gt;"?",IF(AY23&gt;AX23,"yes","no"),"")</f>
        <v>no</v>
      </c>
      <c r="AZ24" s="20" t="str">
        <f>IF(AZ23&lt;&gt;"?",IF(AZ23&gt;AY23,"yes","no"),"")</f>
        <v>no</v>
      </c>
      <c r="BD24" s="37">
        <f>COUNTIF(W24:AZ24,"yes")</f>
        <v>0</v>
      </c>
      <c r="BE24" s="134">
        <f>COUNTA(W24:AZ24)</f>
        <v>30</v>
      </c>
      <c r="BF24" s="38">
        <f>1-(BD24/BE24)</f>
        <v>1</v>
      </c>
    </row>
    <row r="25" spans="2:58" ht="16" thickBot="1" x14ac:dyDescent="0.25">
      <c r="D25" s="10">
        <v>3000</v>
      </c>
      <c r="E25" s="9">
        <v>20</v>
      </c>
      <c r="F25" s="147">
        <v>7</v>
      </c>
      <c r="G25" s="3">
        <f>'Paste Run 1'!AO21</f>
        <v>5</v>
      </c>
      <c r="H25" s="22"/>
      <c r="I25" s="9">
        <v>20</v>
      </c>
      <c r="J25" s="147">
        <v>11</v>
      </c>
      <c r="K25" s="3">
        <f>'Paste Run 2'!AO21</f>
        <v>4</v>
      </c>
      <c r="L25" s="22"/>
      <c r="M25" s="9">
        <v>20</v>
      </c>
      <c r="N25" s="152">
        <v>15</v>
      </c>
      <c r="O25" s="3">
        <f>'Paste Run 3'!AO21</f>
        <v>3</v>
      </c>
      <c r="P25" s="22"/>
      <c r="V25" s="1" t="s">
        <v>35</v>
      </c>
      <c r="W25" s="22" t="str">
        <f>IF(W23=0,W22,"NotBP")</f>
        <v>NotBP</v>
      </c>
      <c r="X25" s="22" t="str">
        <f t="shared" ref="X25:AZ25" si="59">IF(X23=0,X22,"NotBP")</f>
        <v>NotBP</v>
      </c>
      <c r="Y25" s="22" t="str">
        <f t="shared" si="59"/>
        <v>NotBP</v>
      </c>
      <c r="Z25" s="22" t="str">
        <f t="shared" si="59"/>
        <v>NotBP</v>
      </c>
      <c r="AA25" s="22" t="str">
        <f t="shared" si="59"/>
        <v>NotBP</v>
      </c>
      <c r="AB25" s="22" t="str">
        <f t="shared" si="59"/>
        <v>NotBP</v>
      </c>
      <c r="AC25" s="22" t="str">
        <f t="shared" si="59"/>
        <v>NotBP</v>
      </c>
      <c r="AD25" s="22" t="str">
        <f t="shared" si="59"/>
        <v>NotBP</v>
      </c>
      <c r="AE25" s="22" t="str">
        <f t="shared" si="59"/>
        <v>NotBP</v>
      </c>
      <c r="AF25" s="22" t="str">
        <f t="shared" si="59"/>
        <v>NotBP</v>
      </c>
      <c r="AG25" s="22" t="str">
        <f t="shared" si="59"/>
        <v>NotBP</v>
      </c>
      <c r="AH25" s="22" t="str">
        <f t="shared" si="59"/>
        <v>NotBP</v>
      </c>
      <c r="AI25" s="22" t="str">
        <f t="shared" si="59"/>
        <v>NotBP</v>
      </c>
      <c r="AJ25" s="22" t="str">
        <f t="shared" si="59"/>
        <v>NotBP</v>
      </c>
      <c r="AK25" s="22" t="str">
        <f t="shared" si="59"/>
        <v>NotBP</v>
      </c>
      <c r="AL25" s="22" t="str">
        <f t="shared" si="59"/>
        <v>NotBP</v>
      </c>
      <c r="AM25" s="22" t="str">
        <f t="shared" si="59"/>
        <v>NotBP</v>
      </c>
      <c r="AN25" s="22" t="str">
        <f t="shared" si="59"/>
        <v>NotBP</v>
      </c>
      <c r="AO25" s="22" t="str">
        <f t="shared" si="59"/>
        <v>NotBP</v>
      </c>
      <c r="AP25" s="22" t="str">
        <f t="shared" si="59"/>
        <v>NotBP</v>
      </c>
      <c r="AQ25" s="22" t="str">
        <f t="shared" si="59"/>
        <v>NotBP</v>
      </c>
      <c r="AR25" s="22" t="str">
        <f t="shared" si="59"/>
        <v>NotBP</v>
      </c>
      <c r="AS25" s="22" t="str">
        <f t="shared" si="59"/>
        <v>NotBP</v>
      </c>
      <c r="AT25" s="22" t="str">
        <f t="shared" si="59"/>
        <v>NotBP</v>
      </c>
      <c r="AU25" s="22">
        <f t="shared" si="59"/>
        <v>30</v>
      </c>
      <c r="AV25" s="22">
        <f t="shared" si="59"/>
        <v>50</v>
      </c>
      <c r="AW25" s="22">
        <f t="shared" si="59"/>
        <v>60</v>
      </c>
      <c r="AX25" s="22">
        <f t="shared" si="59"/>
        <v>60</v>
      </c>
      <c r="AY25" s="22">
        <f t="shared" si="59"/>
        <v>70</v>
      </c>
      <c r="AZ25" s="22">
        <f t="shared" si="59"/>
        <v>70</v>
      </c>
      <c r="BF25" s="23"/>
    </row>
    <row r="26" spans="2:58" ht="16" thickBot="1" x14ac:dyDescent="0.25">
      <c r="D26" s="5">
        <v>1000</v>
      </c>
      <c r="E26" s="4">
        <v>21</v>
      </c>
      <c r="F26" s="148">
        <v>40</v>
      </c>
      <c r="G26" s="3">
        <f>'Paste Run 1'!AO22</f>
        <v>0</v>
      </c>
      <c r="H26" s="49"/>
      <c r="I26" s="4">
        <v>21</v>
      </c>
      <c r="J26" s="148">
        <v>30</v>
      </c>
      <c r="K26" s="3">
        <f>'Paste Run 2'!AO22</f>
        <v>0</v>
      </c>
      <c r="L26" s="49"/>
      <c r="M26" s="4">
        <v>21</v>
      </c>
      <c r="N26" s="154">
        <v>0.03</v>
      </c>
      <c r="O26" s="3">
        <f>'Paste Run 3'!AO22</f>
        <v>8</v>
      </c>
      <c r="P26" s="49"/>
      <c r="V26" s="1" t="s">
        <v>34</v>
      </c>
      <c r="W26" s="22">
        <f>MIN(W25:AZ25)</f>
        <v>30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"/>
      <c r="AY26" s="2"/>
      <c r="AZ26" s="2"/>
      <c r="BF26" s="23"/>
    </row>
    <row r="27" spans="2:58" ht="16" thickBot="1" x14ac:dyDescent="0.25">
      <c r="D27" s="8">
        <v>11000</v>
      </c>
      <c r="E27" s="6">
        <v>22</v>
      </c>
      <c r="F27" s="147">
        <v>7</v>
      </c>
      <c r="G27" s="3">
        <f>'Paste Run 1'!AO23</f>
        <v>5</v>
      </c>
      <c r="H27" s="22"/>
      <c r="I27" s="6">
        <v>22</v>
      </c>
      <c r="J27" s="147">
        <v>9</v>
      </c>
      <c r="K27" s="3">
        <f>'Paste Run 2'!AO23</f>
        <v>4</v>
      </c>
      <c r="L27" s="22"/>
      <c r="M27" s="6">
        <v>22</v>
      </c>
      <c r="N27" s="152">
        <v>9</v>
      </c>
      <c r="O27" s="3">
        <f>'Paste Run 3'!AO23</f>
        <v>5</v>
      </c>
      <c r="P27" s="22"/>
      <c r="V27" s="1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"/>
      <c r="AY27" s="2"/>
      <c r="AZ27" s="2"/>
      <c r="BF27" s="23"/>
    </row>
    <row r="28" spans="2:58" ht="16" thickBot="1" x14ac:dyDescent="0.25">
      <c r="D28" s="7">
        <v>5000</v>
      </c>
      <c r="E28" s="6">
        <v>23</v>
      </c>
      <c r="F28" s="149">
        <v>0</v>
      </c>
      <c r="G28" s="3">
        <f>'Paste Run 1'!AO24</f>
        <v>9</v>
      </c>
      <c r="H28" s="22"/>
      <c r="I28" s="6">
        <v>23</v>
      </c>
      <c r="J28" s="149">
        <v>0</v>
      </c>
      <c r="K28" s="3">
        <f>'Paste Run 2'!AO24</f>
        <v>9</v>
      </c>
      <c r="L28" s="22"/>
      <c r="M28" s="6">
        <v>23</v>
      </c>
      <c r="N28" s="154">
        <v>0.04</v>
      </c>
      <c r="O28" s="3">
        <f>'Paste Run 3'!AO24</f>
        <v>8</v>
      </c>
      <c r="P28" s="2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2:58" ht="17.25" customHeight="1" thickBot="1" x14ac:dyDescent="0.35">
      <c r="D29" s="7">
        <v>1000</v>
      </c>
      <c r="E29" s="6">
        <v>24</v>
      </c>
      <c r="F29" s="147">
        <v>11</v>
      </c>
      <c r="G29" s="3">
        <f>'Paste Run 1'!AO25</f>
        <v>3</v>
      </c>
      <c r="H29" s="22"/>
      <c r="I29" s="6">
        <v>24</v>
      </c>
      <c r="J29" s="147">
        <v>11</v>
      </c>
      <c r="K29" s="3">
        <f>'Paste Run 2'!AO25</f>
        <v>4</v>
      </c>
      <c r="L29" s="22"/>
      <c r="M29" s="6">
        <v>24</v>
      </c>
      <c r="N29" s="152">
        <v>13</v>
      </c>
      <c r="O29" s="3">
        <f>'Paste Run 3'!AO25</f>
        <v>4</v>
      </c>
      <c r="P29" s="22"/>
      <c r="S29" s="2"/>
      <c r="V29" s="26" t="s">
        <v>32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2:58" ht="16" thickBot="1" x14ac:dyDescent="0.25">
      <c r="D30" s="7">
        <v>3000</v>
      </c>
      <c r="E30" s="6">
        <v>25</v>
      </c>
      <c r="F30" s="148">
        <v>30</v>
      </c>
      <c r="G30" s="3">
        <f>'Paste Run 1'!AO26</f>
        <v>0</v>
      </c>
      <c r="H30" s="22"/>
      <c r="I30" s="6">
        <v>25</v>
      </c>
      <c r="J30" s="148">
        <v>80</v>
      </c>
      <c r="K30" s="3">
        <f>'Paste Run 2'!AO26</f>
        <v>0</v>
      </c>
      <c r="L30" s="22"/>
      <c r="M30" s="6">
        <v>25</v>
      </c>
      <c r="N30" s="154">
        <v>0.01</v>
      </c>
      <c r="O30" s="3">
        <f>'Paste Run 3'!AO26</f>
        <v>8</v>
      </c>
      <c r="P30" s="22"/>
      <c r="V30" s="1" t="s">
        <v>10</v>
      </c>
      <c r="W30" s="149">
        <v>0</v>
      </c>
      <c r="X30" s="149">
        <v>0</v>
      </c>
      <c r="Y30" s="149">
        <v>0.01</v>
      </c>
      <c r="Z30" s="149">
        <v>0.01</v>
      </c>
      <c r="AA30" s="149">
        <v>0.02</v>
      </c>
      <c r="AB30" s="149">
        <v>0.02</v>
      </c>
      <c r="AC30" s="149">
        <v>0.03</v>
      </c>
      <c r="AD30" s="149">
        <v>0.04</v>
      </c>
      <c r="AE30" s="149">
        <v>0.05</v>
      </c>
      <c r="AF30" s="149">
        <v>0.05</v>
      </c>
      <c r="AG30" s="147">
        <v>5</v>
      </c>
      <c r="AH30" s="147">
        <v>7</v>
      </c>
      <c r="AI30" s="147">
        <v>7</v>
      </c>
      <c r="AJ30" s="147">
        <v>9</v>
      </c>
      <c r="AK30" s="147">
        <v>9</v>
      </c>
      <c r="AL30" s="147">
        <v>11</v>
      </c>
      <c r="AM30" s="147">
        <v>13</v>
      </c>
      <c r="AN30" s="147">
        <v>13</v>
      </c>
      <c r="AO30" s="147">
        <v>15</v>
      </c>
      <c r="AP30" s="147">
        <v>15</v>
      </c>
      <c r="AQ30" s="148">
        <v>30</v>
      </c>
      <c r="AR30" s="148">
        <v>30</v>
      </c>
      <c r="AS30" s="148">
        <v>40</v>
      </c>
      <c r="AT30" s="148">
        <v>40</v>
      </c>
      <c r="AU30" s="148">
        <v>50</v>
      </c>
      <c r="AV30" s="148">
        <v>60</v>
      </c>
      <c r="AW30" s="148">
        <v>60</v>
      </c>
      <c r="AX30" s="148">
        <v>70</v>
      </c>
      <c r="AY30" s="148">
        <v>70</v>
      </c>
      <c r="AZ30" s="148">
        <v>80</v>
      </c>
    </row>
    <row r="31" spans="2:58" ht="16" thickBot="1" x14ac:dyDescent="0.25">
      <c r="D31" s="7">
        <v>7000</v>
      </c>
      <c r="E31" s="6">
        <v>26</v>
      </c>
      <c r="F31" s="149">
        <v>0.03</v>
      </c>
      <c r="G31" s="3">
        <f>'Paste Run 1'!AO27</f>
        <v>8</v>
      </c>
      <c r="H31" s="22"/>
      <c r="I31" s="6">
        <v>26</v>
      </c>
      <c r="J31" s="149">
        <v>0.03</v>
      </c>
      <c r="K31" s="3">
        <f>'Paste Run 2'!AO27</f>
        <v>8</v>
      </c>
      <c r="L31" s="22"/>
      <c r="M31" s="6">
        <v>26</v>
      </c>
      <c r="N31" s="154">
        <v>0.02</v>
      </c>
      <c r="O31" s="3">
        <f>'Paste Run 3'!AO27</f>
        <v>8</v>
      </c>
      <c r="P31" s="22"/>
      <c r="V31" s="1" t="s">
        <v>17</v>
      </c>
      <c r="W31" s="20">
        <f t="shared" ref="W31:AW31" si="60">IF(W11&lt;&gt;"?",W30*W11,"?")</f>
        <v>0</v>
      </c>
      <c r="X31" s="20">
        <f t="shared" si="60"/>
        <v>0</v>
      </c>
      <c r="Y31" s="20">
        <f t="shared" si="60"/>
        <v>7.0000000000000007E-2</v>
      </c>
      <c r="Z31" s="20">
        <f t="shared" si="60"/>
        <v>0.08</v>
      </c>
      <c r="AA31" s="20">
        <f t="shared" si="60"/>
        <v>0.16</v>
      </c>
      <c r="AB31" s="20">
        <f t="shared" si="60"/>
        <v>0.16</v>
      </c>
      <c r="AC31" s="20">
        <f t="shared" si="60"/>
        <v>0.24</v>
      </c>
      <c r="AD31" s="20">
        <f t="shared" si="60"/>
        <v>0.32</v>
      </c>
      <c r="AE31" s="20">
        <f t="shared" si="60"/>
        <v>0.4</v>
      </c>
      <c r="AF31" s="20">
        <f t="shared" si="60"/>
        <v>0.4</v>
      </c>
      <c r="AG31" s="20">
        <f t="shared" si="60"/>
        <v>25</v>
      </c>
      <c r="AH31" s="20">
        <f t="shared" si="60"/>
        <v>35</v>
      </c>
      <c r="AI31" s="20">
        <f t="shared" si="60"/>
        <v>35</v>
      </c>
      <c r="AJ31" s="20">
        <f t="shared" si="60"/>
        <v>36</v>
      </c>
      <c r="AK31" s="20">
        <f t="shared" si="60"/>
        <v>36</v>
      </c>
      <c r="AL31" s="20">
        <f t="shared" si="60"/>
        <v>33</v>
      </c>
      <c r="AM31" s="20">
        <f t="shared" si="60"/>
        <v>39</v>
      </c>
      <c r="AN31" s="20">
        <f t="shared" si="60"/>
        <v>39</v>
      </c>
      <c r="AO31" s="20">
        <f t="shared" si="60"/>
        <v>30</v>
      </c>
      <c r="AP31" s="20">
        <f t="shared" si="60"/>
        <v>45</v>
      </c>
      <c r="AQ31" s="20">
        <f t="shared" si="60"/>
        <v>0</v>
      </c>
      <c r="AR31" s="20">
        <f t="shared" si="60"/>
        <v>0</v>
      </c>
      <c r="AS31" s="20">
        <f t="shared" si="60"/>
        <v>0</v>
      </c>
      <c r="AT31" s="20">
        <f t="shared" si="60"/>
        <v>0</v>
      </c>
      <c r="AU31" s="20">
        <f t="shared" si="60"/>
        <v>0</v>
      </c>
      <c r="AV31" s="20">
        <f t="shared" si="60"/>
        <v>0</v>
      </c>
      <c r="AW31" s="20">
        <f t="shared" si="60"/>
        <v>0</v>
      </c>
      <c r="AX31" s="20">
        <f t="shared" ref="AX31:AZ31" si="61">IF(AX11&lt;&gt;"?",AX30*AX11,"?")</f>
        <v>0</v>
      </c>
      <c r="AY31" s="20">
        <f t="shared" si="61"/>
        <v>0</v>
      </c>
      <c r="AZ31" s="20">
        <f t="shared" si="61"/>
        <v>0</v>
      </c>
    </row>
    <row r="32" spans="2:58" ht="16" thickBot="1" x14ac:dyDescent="0.25">
      <c r="D32" s="7">
        <v>3000</v>
      </c>
      <c r="E32" s="6">
        <v>27</v>
      </c>
      <c r="F32" s="148">
        <v>60</v>
      </c>
      <c r="G32" s="3">
        <f>'Paste Run 1'!AO28</f>
        <v>0</v>
      </c>
      <c r="H32" s="22"/>
      <c r="I32" s="6">
        <v>27</v>
      </c>
      <c r="J32" s="148">
        <v>40</v>
      </c>
      <c r="K32" s="3">
        <f>'Paste Run 2'!AO28</f>
        <v>0</v>
      </c>
      <c r="L32" s="158"/>
      <c r="M32" s="7">
        <v>27</v>
      </c>
      <c r="N32" s="153">
        <v>70</v>
      </c>
      <c r="O32" s="3">
        <f>'Paste Run 3'!AO28</f>
        <v>0</v>
      </c>
      <c r="P32" s="22"/>
      <c r="V32" s="1" t="s">
        <v>33</v>
      </c>
      <c r="W32" s="163">
        <f>MAX(W31:AZ31)</f>
        <v>45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"/>
      <c r="AY32" s="2"/>
      <c r="AZ32" s="2"/>
    </row>
    <row r="33" spans="4:52" ht="16" thickBot="1" x14ac:dyDescent="0.25">
      <c r="D33" s="144">
        <v>13000</v>
      </c>
      <c r="E33" s="145">
        <v>28</v>
      </c>
      <c r="F33" s="149">
        <v>0.02</v>
      </c>
      <c r="G33" s="3">
        <f>'Paste Run 1'!AO29</f>
        <v>8</v>
      </c>
      <c r="H33" s="22"/>
      <c r="I33" s="6">
        <v>28</v>
      </c>
      <c r="J33" s="149">
        <v>0.05</v>
      </c>
      <c r="K33" s="3">
        <f>'Paste Run 2'!AO29</f>
        <v>8</v>
      </c>
      <c r="L33" s="158"/>
      <c r="M33" s="7">
        <v>28</v>
      </c>
      <c r="N33" s="154">
        <v>0.01</v>
      </c>
      <c r="O33" s="3">
        <f>'Paste Run 3'!AO29</f>
        <v>8</v>
      </c>
      <c r="P33" s="22"/>
      <c r="V33" s="1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"/>
      <c r="AY33" s="2"/>
      <c r="AZ33" s="2"/>
    </row>
    <row r="34" spans="4:52" ht="16" thickBot="1" x14ac:dyDescent="0.25">
      <c r="D34" s="144">
        <v>1000</v>
      </c>
      <c r="E34" s="145">
        <v>29</v>
      </c>
      <c r="F34" s="148">
        <v>70</v>
      </c>
      <c r="G34" s="3">
        <f>'Paste Run 1'!AO30</f>
        <v>0</v>
      </c>
      <c r="H34" s="22"/>
      <c r="I34" s="6">
        <v>29</v>
      </c>
      <c r="J34" s="148">
        <v>60</v>
      </c>
      <c r="K34" s="3">
        <f>'Paste Run 2'!AO30</f>
        <v>0</v>
      </c>
      <c r="L34" s="158"/>
      <c r="M34" s="7">
        <v>29</v>
      </c>
      <c r="N34" s="153">
        <v>30</v>
      </c>
      <c r="O34" s="3">
        <f>'Paste Run 3'!AO30</f>
        <v>0</v>
      </c>
      <c r="P34" s="22"/>
      <c r="V34" s="1" t="s">
        <v>11</v>
      </c>
      <c r="W34" s="149">
        <v>0</v>
      </c>
      <c r="X34" s="149">
        <v>0.01</v>
      </c>
      <c r="Y34" s="149">
        <v>0.01</v>
      </c>
      <c r="Z34" s="149">
        <v>0.02</v>
      </c>
      <c r="AA34" s="146">
        <v>0.03</v>
      </c>
      <c r="AB34" s="149">
        <v>0.03</v>
      </c>
      <c r="AC34" s="149">
        <v>0.04</v>
      </c>
      <c r="AD34" s="149">
        <v>0.04</v>
      </c>
      <c r="AE34" s="149">
        <v>0.05</v>
      </c>
      <c r="AF34" s="149">
        <v>0.05</v>
      </c>
      <c r="AG34" s="147">
        <v>5</v>
      </c>
      <c r="AH34" s="147">
        <v>5</v>
      </c>
      <c r="AI34" s="147">
        <v>7</v>
      </c>
      <c r="AJ34" s="147">
        <v>9</v>
      </c>
      <c r="AK34" s="147">
        <v>9</v>
      </c>
      <c r="AL34" s="147">
        <v>11</v>
      </c>
      <c r="AM34" s="147">
        <v>11</v>
      </c>
      <c r="AN34" s="147">
        <v>13</v>
      </c>
      <c r="AO34" s="147">
        <v>13</v>
      </c>
      <c r="AP34" s="147">
        <v>15</v>
      </c>
      <c r="AQ34" s="148">
        <v>30</v>
      </c>
      <c r="AR34" s="148">
        <v>30</v>
      </c>
      <c r="AS34" s="148">
        <v>40</v>
      </c>
      <c r="AT34" s="148">
        <v>50</v>
      </c>
      <c r="AU34" s="148">
        <v>50</v>
      </c>
      <c r="AV34" s="148">
        <v>60</v>
      </c>
      <c r="AW34" s="148">
        <v>70</v>
      </c>
      <c r="AX34" s="148">
        <v>80</v>
      </c>
      <c r="AY34" s="148">
        <v>80</v>
      </c>
      <c r="AZ34" s="156">
        <v>80</v>
      </c>
    </row>
    <row r="35" spans="4:52" ht="16" thickBot="1" x14ac:dyDescent="0.25">
      <c r="D35" s="144">
        <v>5000</v>
      </c>
      <c r="E35" s="145">
        <v>30</v>
      </c>
      <c r="F35" s="147">
        <v>15</v>
      </c>
      <c r="G35" s="3">
        <f>'Paste Run 1'!AO31</f>
        <v>3</v>
      </c>
      <c r="H35" s="22"/>
      <c r="I35" s="9">
        <v>30</v>
      </c>
      <c r="J35" s="150">
        <v>5</v>
      </c>
      <c r="K35" s="3">
        <f>'Paste Run 2'!AO31</f>
        <v>7</v>
      </c>
      <c r="L35" s="158"/>
      <c r="M35" s="7">
        <v>30</v>
      </c>
      <c r="N35" s="161">
        <v>0.05</v>
      </c>
      <c r="O35" s="3">
        <f>'Paste Run 3'!AO31</f>
        <v>8</v>
      </c>
      <c r="P35" s="22"/>
      <c r="V35" s="1" t="s">
        <v>17</v>
      </c>
      <c r="W35" s="20">
        <f t="shared" ref="W35:AW35" si="62">IF(W17&lt;&gt;"?",W34*W17,"?")</f>
        <v>0</v>
      </c>
      <c r="X35" s="20">
        <f t="shared" si="62"/>
        <v>0.08</v>
      </c>
      <c r="Y35" s="20">
        <f t="shared" si="62"/>
        <v>0.08</v>
      </c>
      <c r="Z35" s="20">
        <f t="shared" si="62"/>
        <v>0.16</v>
      </c>
      <c r="AA35" s="20">
        <f t="shared" si="62"/>
        <v>0.24</v>
      </c>
      <c r="AB35" s="20">
        <f t="shared" si="62"/>
        <v>0.24</v>
      </c>
      <c r="AC35" s="20">
        <f t="shared" si="62"/>
        <v>0.32</v>
      </c>
      <c r="AD35" s="20">
        <f t="shared" si="62"/>
        <v>0.32</v>
      </c>
      <c r="AE35" s="20">
        <f t="shared" si="62"/>
        <v>0.4</v>
      </c>
      <c r="AF35" s="20">
        <f t="shared" si="62"/>
        <v>0.4</v>
      </c>
      <c r="AG35" s="20">
        <f t="shared" si="62"/>
        <v>35</v>
      </c>
      <c r="AH35" s="20">
        <f t="shared" si="62"/>
        <v>35</v>
      </c>
      <c r="AI35" s="20">
        <f t="shared" si="62"/>
        <v>35</v>
      </c>
      <c r="AJ35" s="20">
        <f t="shared" si="62"/>
        <v>36</v>
      </c>
      <c r="AK35" s="20">
        <f t="shared" si="62"/>
        <v>36</v>
      </c>
      <c r="AL35" s="20">
        <f t="shared" si="62"/>
        <v>44</v>
      </c>
      <c r="AM35" s="20">
        <f t="shared" si="62"/>
        <v>44</v>
      </c>
      <c r="AN35" s="20">
        <f t="shared" si="62"/>
        <v>52</v>
      </c>
      <c r="AO35" s="20">
        <f t="shared" si="62"/>
        <v>39</v>
      </c>
      <c r="AP35" s="20">
        <f t="shared" si="62"/>
        <v>45</v>
      </c>
      <c r="AQ35" s="20">
        <f t="shared" si="62"/>
        <v>0</v>
      </c>
      <c r="AR35" s="20">
        <f t="shared" si="62"/>
        <v>0</v>
      </c>
      <c r="AS35" s="20">
        <f t="shared" si="62"/>
        <v>0</v>
      </c>
      <c r="AT35" s="20">
        <f t="shared" si="62"/>
        <v>0</v>
      </c>
      <c r="AU35" s="20">
        <f t="shared" si="62"/>
        <v>0</v>
      </c>
      <c r="AV35" s="20">
        <f t="shared" si="62"/>
        <v>0</v>
      </c>
      <c r="AW35" s="20">
        <f t="shared" si="62"/>
        <v>0</v>
      </c>
      <c r="AX35" s="20">
        <f t="shared" ref="AX35:AZ35" si="63">IF(AX17&lt;&gt;"?",AX34*AX17,"?")</f>
        <v>0</v>
      </c>
      <c r="AY35" s="20">
        <f t="shared" si="63"/>
        <v>0</v>
      </c>
      <c r="AZ35" s="20">
        <f t="shared" si="63"/>
        <v>0</v>
      </c>
    </row>
    <row r="36" spans="4:52" x14ac:dyDescent="0.2">
      <c r="D36" s="14" t="s">
        <v>19</v>
      </c>
      <c r="E36" s="14"/>
      <c r="F36" s="14"/>
      <c r="G36" s="14">
        <f>COUNTIF(G6:G35,"?")</f>
        <v>0</v>
      </c>
      <c r="H36" s="14"/>
      <c r="I36" s="14"/>
      <c r="J36" s="14"/>
      <c r="K36" s="14">
        <f>COUNTIF(K6:K35,"?")</f>
        <v>0</v>
      </c>
      <c r="L36" s="14"/>
      <c r="M36" s="14"/>
      <c r="N36" s="14"/>
      <c r="O36" s="14">
        <f>COUNTIF(O6:O35,"?")</f>
        <v>0</v>
      </c>
      <c r="P36" s="14"/>
      <c r="Q36" t="s">
        <v>21</v>
      </c>
      <c r="V36" s="1" t="s">
        <v>33</v>
      </c>
      <c r="W36" s="163">
        <f>MAX(W35:AZ35)</f>
        <v>52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"/>
      <c r="AY36" s="2"/>
      <c r="AZ36" s="2"/>
    </row>
    <row r="37" spans="4:52" ht="16" thickBot="1" x14ac:dyDescent="0.25">
      <c r="D37" s="14" t="s">
        <v>20</v>
      </c>
      <c r="E37" s="14"/>
      <c r="F37" s="14"/>
      <c r="G37" s="14">
        <f>G36+K36+O36</f>
        <v>0</v>
      </c>
      <c r="H37" s="14"/>
      <c r="I37" s="14"/>
      <c r="J37" s="14"/>
      <c r="K37" s="14"/>
      <c r="L37" s="14"/>
      <c r="M37" s="14"/>
      <c r="N37" s="14"/>
      <c r="O37" s="14"/>
      <c r="P37" s="14"/>
      <c r="V37" s="1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"/>
      <c r="AY37" s="2"/>
      <c r="AZ37" s="2"/>
    </row>
    <row r="38" spans="4:52" ht="16" thickBot="1" x14ac:dyDescent="0.25">
      <c r="V38" s="1" t="s">
        <v>12</v>
      </c>
      <c r="W38" s="151">
        <v>0</v>
      </c>
      <c r="X38" s="154">
        <v>0</v>
      </c>
      <c r="Y38" s="154">
        <v>0</v>
      </c>
      <c r="Z38" s="154">
        <v>0.01</v>
      </c>
      <c r="AA38" s="154">
        <v>0.01</v>
      </c>
      <c r="AB38" s="154">
        <v>0.01</v>
      </c>
      <c r="AC38" s="154">
        <v>0.02</v>
      </c>
      <c r="AD38" s="154">
        <v>0.02</v>
      </c>
      <c r="AE38" s="154">
        <v>0.02</v>
      </c>
      <c r="AF38" s="154">
        <v>0.03</v>
      </c>
      <c r="AG38" s="154">
        <v>0.03</v>
      </c>
      <c r="AH38" s="154">
        <v>0.03</v>
      </c>
      <c r="AI38" s="154">
        <v>0.04</v>
      </c>
      <c r="AJ38" s="154">
        <v>0.04</v>
      </c>
      <c r="AK38" s="154">
        <v>0.05</v>
      </c>
      <c r="AL38" s="154">
        <v>0.05</v>
      </c>
      <c r="AM38" s="152">
        <v>5</v>
      </c>
      <c r="AN38" s="152">
        <v>7</v>
      </c>
      <c r="AO38" s="152">
        <v>9</v>
      </c>
      <c r="AP38" s="152">
        <v>11</v>
      </c>
      <c r="AQ38" s="152">
        <v>11</v>
      </c>
      <c r="AR38" s="152">
        <v>13</v>
      </c>
      <c r="AS38" s="152">
        <v>15</v>
      </c>
      <c r="AT38" s="152">
        <v>15</v>
      </c>
      <c r="AU38" s="153">
        <v>30</v>
      </c>
      <c r="AV38" s="153">
        <v>50</v>
      </c>
      <c r="AW38" s="153">
        <v>60</v>
      </c>
      <c r="AX38" s="153">
        <v>60</v>
      </c>
      <c r="AY38" s="153">
        <v>70</v>
      </c>
      <c r="AZ38" s="157">
        <v>70</v>
      </c>
    </row>
    <row r="39" spans="4:52" x14ac:dyDescent="0.2">
      <c r="V39" s="1" t="s">
        <v>17</v>
      </c>
      <c r="W39" s="20">
        <f>IF(W23&lt;&gt;"?",W38*W23,"?")</f>
        <v>0</v>
      </c>
      <c r="X39" s="20">
        <f t="shared" ref="X39:AV39" si="64">IF(X23&lt;&gt;"?",X38*X23,"?")</f>
        <v>0</v>
      </c>
      <c r="Y39" s="20">
        <f t="shared" si="64"/>
        <v>0</v>
      </c>
      <c r="Z39" s="20">
        <f t="shared" si="64"/>
        <v>0.08</v>
      </c>
      <c r="AA39" s="20">
        <f t="shared" si="64"/>
        <v>0.08</v>
      </c>
      <c r="AB39" s="20">
        <f t="shared" si="64"/>
        <v>0.08</v>
      </c>
      <c r="AC39" s="20">
        <f t="shared" si="64"/>
        <v>0.16</v>
      </c>
      <c r="AD39" s="20">
        <f t="shared" si="64"/>
        <v>0.16</v>
      </c>
      <c r="AE39" s="20">
        <f t="shared" si="64"/>
        <v>0.16</v>
      </c>
      <c r="AF39" s="20">
        <f t="shared" si="64"/>
        <v>0.24</v>
      </c>
      <c r="AG39" s="20">
        <f t="shared" si="64"/>
        <v>0.24</v>
      </c>
      <c r="AH39" s="20">
        <f t="shared" si="64"/>
        <v>0.24</v>
      </c>
      <c r="AI39" s="20">
        <f t="shared" si="64"/>
        <v>0.32</v>
      </c>
      <c r="AJ39" s="20">
        <f t="shared" si="64"/>
        <v>0.32</v>
      </c>
      <c r="AK39" s="20">
        <f t="shared" si="64"/>
        <v>0.4</v>
      </c>
      <c r="AL39" s="20">
        <f t="shared" si="64"/>
        <v>0.4</v>
      </c>
      <c r="AM39" s="20">
        <f t="shared" si="64"/>
        <v>35</v>
      </c>
      <c r="AN39" s="20">
        <f t="shared" si="64"/>
        <v>35</v>
      </c>
      <c r="AO39" s="20">
        <f t="shared" si="64"/>
        <v>45</v>
      </c>
      <c r="AP39" s="20">
        <f t="shared" si="64"/>
        <v>44</v>
      </c>
      <c r="AQ39" s="20">
        <f t="shared" si="64"/>
        <v>44</v>
      </c>
      <c r="AR39" s="20">
        <f t="shared" si="64"/>
        <v>52</v>
      </c>
      <c r="AS39" s="20">
        <f t="shared" si="64"/>
        <v>45</v>
      </c>
      <c r="AT39" s="20">
        <f>IF(AT23&lt;&gt;"?",AT38*AT23,"?")</f>
        <v>45</v>
      </c>
      <c r="AU39" s="20">
        <f t="shared" si="64"/>
        <v>0</v>
      </c>
      <c r="AV39" s="20">
        <f t="shared" si="64"/>
        <v>0</v>
      </c>
      <c r="AW39" s="20">
        <f>IF(AW23&lt;&gt;"?",AW38*AW23,"?")</f>
        <v>0</v>
      </c>
      <c r="AX39" s="20">
        <f>IF(AX23&lt;&gt;"?",AX38*AX23,"?")</f>
        <v>0</v>
      </c>
      <c r="AY39" s="20">
        <f>IF(AY23&lt;&gt;"?",AY38*AY23,"?")</f>
        <v>0</v>
      </c>
      <c r="AZ39" s="20">
        <f>IF(AZ23&lt;&gt;"?",AZ38*AZ23,"?")</f>
        <v>0</v>
      </c>
    </row>
    <row r="40" spans="4:52" ht="16" thickBot="1" x14ac:dyDescent="0.25">
      <c r="E40" s="1" t="s">
        <v>9</v>
      </c>
      <c r="F40" s="1" t="s">
        <v>5</v>
      </c>
      <c r="G40" s="1" t="s">
        <v>8</v>
      </c>
      <c r="H40" s="1"/>
      <c r="I40" s="1" t="s">
        <v>9</v>
      </c>
      <c r="J40" s="1" t="s">
        <v>6</v>
      </c>
      <c r="K40" s="1" t="s">
        <v>8</v>
      </c>
      <c r="L40" s="1"/>
      <c r="M40" s="1" t="s">
        <v>9</v>
      </c>
      <c r="N40" s="1" t="s">
        <v>7</v>
      </c>
      <c r="O40" s="1" t="s">
        <v>8</v>
      </c>
      <c r="P40" s="1"/>
      <c r="V40" s="1" t="s">
        <v>33</v>
      </c>
      <c r="W40" s="27">
        <f>MAX(W39:AZ39)</f>
        <v>52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</row>
    <row r="41" spans="4:52" ht="16" thickBot="1" x14ac:dyDescent="0.25">
      <c r="E41" s="6">
        <v>4</v>
      </c>
      <c r="F41" s="149">
        <v>0</v>
      </c>
      <c r="G41" s="3">
        <f>G9</f>
        <v>8</v>
      </c>
      <c r="H41" s="22"/>
      <c r="I41" s="6">
        <v>23</v>
      </c>
      <c r="J41" s="149">
        <v>0</v>
      </c>
      <c r="K41" s="3">
        <f>K28</f>
        <v>9</v>
      </c>
      <c r="L41" s="22"/>
      <c r="M41" s="4">
        <v>1</v>
      </c>
      <c r="N41" s="151">
        <v>0</v>
      </c>
      <c r="O41" s="3">
        <f>O6</f>
        <v>9</v>
      </c>
      <c r="P41" s="22"/>
      <c r="V41" s="1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4:52" ht="16" thickBot="1" x14ac:dyDescent="0.25">
      <c r="E42" s="6">
        <v>23</v>
      </c>
      <c r="F42" s="149">
        <v>0</v>
      </c>
      <c r="G42" s="3">
        <f>G28</f>
        <v>9</v>
      </c>
      <c r="H42" s="22"/>
      <c r="I42" s="6">
        <v>4</v>
      </c>
      <c r="J42" s="149">
        <v>0.01</v>
      </c>
      <c r="K42" s="3">
        <f>K9</f>
        <v>8</v>
      </c>
      <c r="L42" s="22"/>
      <c r="M42" s="6">
        <v>7</v>
      </c>
      <c r="N42" s="154">
        <v>0</v>
      </c>
      <c r="O42" s="3">
        <f>O12</f>
        <v>9</v>
      </c>
      <c r="P42" s="22"/>
    </row>
    <row r="43" spans="4:52" ht="16" thickBot="1" x14ac:dyDescent="0.25">
      <c r="E43" s="4">
        <v>1</v>
      </c>
      <c r="F43" s="149">
        <v>0.01</v>
      </c>
      <c r="G43" s="3">
        <f>G6</f>
        <v>7</v>
      </c>
      <c r="H43" s="22"/>
      <c r="I43" s="6">
        <v>12</v>
      </c>
      <c r="J43" s="149">
        <v>0.01</v>
      </c>
      <c r="K43" s="3">
        <f>K17</f>
        <v>8</v>
      </c>
      <c r="L43" s="22"/>
      <c r="M43" s="6">
        <v>12</v>
      </c>
      <c r="N43" s="154">
        <v>0</v>
      </c>
      <c r="O43" s="3">
        <f>O17</f>
        <v>9</v>
      </c>
      <c r="P43" s="22"/>
    </row>
    <row r="44" spans="4:52" ht="20" thickBot="1" x14ac:dyDescent="0.3">
      <c r="E44" s="6">
        <v>10</v>
      </c>
      <c r="F44" s="149">
        <v>0.01</v>
      </c>
      <c r="G44" s="3">
        <f>G15</f>
        <v>8</v>
      </c>
      <c r="H44" s="22"/>
      <c r="I44" s="6">
        <v>14</v>
      </c>
      <c r="J44" s="149">
        <v>0.02</v>
      </c>
      <c r="K44" s="3">
        <f>K19</f>
        <v>8</v>
      </c>
      <c r="L44" s="22"/>
      <c r="M44" s="6">
        <v>18</v>
      </c>
      <c r="N44" s="154">
        <v>0.01</v>
      </c>
      <c r="O44" s="3">
        <f>O23</f>
        <v>8</v>
      </c>
      <c r="P44" s="22"/>
      <c r="V44" s="28" t="s">
        <v>36</v>
      </c>
      <c r="W44" s="29" t="s">
        <v>14</v>
      </c>
      <c r="X44" s="29" t="s">
        <v>16</v>
      </c>
      <c r="Y44" s="30" t="s">
        <v>15</v>
      </c>
      <c r="AA44" s="97" t="s">
        <v>14</v>
      </c>
      <c r="AB44" s="97" t="s">
        <v>16</v>
      </c>
      <c r="AC44" s="97" t="s">
        <v>15</v>
      </c>
    </row>
    <row r="45" spans="4:52" ht="16" thickBot="1" x14ac:dyDescent="0.25">
      <c r="E45" s="6">
        <v>12</v>
      </c>
      <c r="F45" s="149">
        <v>0.02</v>
      </c>
      <c r="G45" s="3">
        <f>G17</f>
        <v>8</v>
      </c>
      <c r="H45" s="22"/>
      <c r="I45" s="4">
        <v>1</v>
      </c>
      <c r="J45" s="146">
        <v>0.03</v>
      </c>
      <c r="K45" s="3">
        <f>K6</f>
        <v>8</v>
      </c>
      <c r="L45" s="22"/>
      <c r="M45" s="6">
        <v>25</v>
      </c>
      <c r="N45" s="154">
        <v>0.01</v>
      </c>
      <c r="O45" s="3">
        <f>O30</f>
        <v>8</v>
      </c>
      <c r="P45" s="22"/>
      <c r="V45" s="31" t="s">
        <v>10</v>
      </c>
      <c r="W45" s="22">
        <f>MAX(W11:X11)</f>
        <v>9</v>
      </c>
      <c r="X45" s="32">
        <f>W14</f>
        <v>30</v>
      </c>
      <c r="Y45" s="33">
        <f>W32</f>
        <v>45</v>
      </c>
      <c r="Z45" s="141" t="s">
        <v>123</v>
      </c>
      <c r="AA45" s="22">
        <f>AVERAGE(W45:W47)</f>
        <v>9</v>
      </c>
      <c r="AB45" s="22">
        <f>AVERAGE(X45:X47)</f>
        <v>30</v>
      </c>
      <c r="AC45" s="22">
        <f>AVERAGE(Y45:Y47)</f>
        <v>49.666666666666664</v>
      </c>
    </row>
    <row r="46" spans="4:52" ht="16" thickBot="1" x14ac:dyDescent="0.25">
      <c r="E46" s="6">
        <v>28</v>
      </c>
      <c r="F46" s="149">
        <v>0.02</v>
      </c>
      <c r="G46" s="3">
        <f>G33</f>
        <v>8</v>
      </c>
      <c r="H46" s="22"/>
      <c r="I46" s="6">
        <v>26</v>
      </c>
      <c r="J46" s="149">
        <v>0.03</v>
      </c>
      <c r="K46" s="3">
        <f>K31</f>
        <v>8</v>
      </c>
      <c r="L46" s="22"/>
      <c r="M46" s="6">
        <v>28</v>
      </c>
      <c r="N46" s="154">
        <v>0.01</v>
      </c>
      <c r="O46" s="3">
        <f>O33</f>
        <v>8</v>
      </c>
      <c r="P46" s="22"/>
      <c r="V46" s="31" t="s">
        <v>11</v>
      </c>
      <c r="W46" s="22">
        <f>MAX(W17)</f>
        <v>9</v>
      </c>
      <c r="X46" s="32">
        <f>W20</f>
        <v>30</v>
      </c>
      <c r="Y46" s="33">
        <f>W36</f>
        <v>52</v>
      </c>
    </row>
    <row r="47" spans="4:52" ht="16" thickBot="1" x14ac:dyDescent="0.25">
      <c r="E47" s="6">
        <v>26</v>
      </c>
      <c r="F47" s="149">
        <v>0.03</v>
      </c>
      <c r="G47" s="3">
        <f>G31</f>
        <v>8</v>
      </c>
      <c r="H47" s="22"/>
      <c r="I47" s="6">
        <v>6</v>
      </c>
      <c r="J47" s="149">
        <v>0.04</v>
      </c>
      <c r="K47" s="3">
        <f>K11</f>
        <v>8</v>
      </c>
      <c r="L47" s="22"/>
      <c r="M47" s="6">
        <v>4</v>
      </c>
      <c r="N47" s="154">
        <v>0.02</v>
      </c>
      <c r="O47" s="3">
        <f>O9</f>
        <v>8</v>
      </c>
      <c r="P47" s="22"/>
      <c r="V47" s="31" t="s">
        <v>12</v>
      </c>
      <c r="W47" s="22">
        <f>MAX(W23:Y23)</f>
        <v>9</v>
      </c>
      <c r="X47" s="32">
        <f>W26</f>
        <v>30</v>
      </c>
      <c r="Y47" s="33">
        <f>W40</f>
        <v>52</v>
      </c>
    </row>
    <row r="48" spans="4:52" ht="16" thickBot="1" x14ac:dyDescent="0.25">
      <c r="E48" s="6">
        <v>17</v>
      </c>
      <c r="F48" s="149">
        <v>0.04</v>
      </c>
      <c r="G48" s="3">
        <f>G22</f>
        <v>8</v>
      </c>
      <c r="H48" s="22"/>
      <c r="I48" s="6">
        <v>10</v>
      </c>
      <c r="J48" s="149">
        <v>0.04</v>
      </c>
      <c r="K48" s="3">
        <f>K15</f>
        <v>8</v>
      </c>
      <c r="L48" s="22"/>
      <c r="M48" s="6">
        <v>19</v>
      </c>
      <c r="N48" s="154">
        <v>0.02</v>
      </c>
      <c r="O48" s="3">
        <f>O24</f>
        <v>8</v>
      </c>
      <c r="P48" s="22"/>
    </row>
    <row r="49" spans="5:24" ht="20" thickBot="1" x14ac:dyDescent="0.3">
      <c r="E49" s="6">
        <v>6</v>
      </c>
      <c r="F49" s="149">
        <v>0.05</v>
      </c>
      <c r="G49" s="3">
        <f>G11</f>
        <v>8</v>
      </c>
      <c r="H49" s="22"/>
      <c r="I49" s="6">
        <v>17</v>
      </c>
      <c r="J49" s="149">
        <v>0.05</v>
      </c>
      <c r="K49" s="3">
        <f>K22</f>
        <v>8</v>
      </c>
      <c r="L49" s="22"/>
      <c r="M49" s="6">
        <v>26</v>
      </c>
      <c r="N49" s="154">
        <v>0.02</v>
      </c>
      <c r="O49" s="3">
        <f>O31</f>
        <v>8</v>
      </c>
      <c r="P49" s="22"/>
      <c r="V49" s="28" t="s">
        <v>114</v>
      </c>
      <c r="W49" s="29" t="s">
        <v>115</v>
      </c>
      <c r="X49" s="30" t="s">
        <v>30</v>
      </c>
    </row>
    <row r="50" spans="5:24" ht="16" thickBot="1" x14ac:dyDescent="0.25">
      <c r="E50" s="9">
        <v>14</v>
      </c>
      <c r="F50" s="149">
        <v>0.05</v>
      </c>
      <c r="G50" s="3">
        <f>G19</f>
        <v>8</v>
      </c>
      <c r="H50" s="22"/>
      <c r="I50" s="9">
        <v>28</v>
      </c>
      <c r="J50" s="149">
        <v>0.05</v>
      </c>
      <c r="K50" s="3">
        <f>K33</f>
        <v>8</v>
      </c>
      <c r="L50" s="22"/>
      <c r="M50" s="9">
        <v>6</v>
      </c>
      <c r="N50" s="154">
        <v>0.03</v>
      </c>
      <c r="O50" s="3">
        <f>O11</f>
        <v>8</v>
      </c>
      <c r="P50" s="22"/>
      <c r="V50" s="31" t="s">
        <v>10</v>
      </c>
      <c r="W50" s="7">
        <f>BD12</f>
        <v>3</v>
      </c>
      <c r="X50" s="132">
        <f>BF12</f>
        <v>0.9</v>
      </c>
    </row>
    <row r="51" spans="5:24" ht="16" thickBot="1" x14ac:dyDescent="0.25">
      <c r="E51" s="4">
        <v>2</v>
      </c>
      <c r="F51" s="147">
        <v>5</v>
      </c>
      <c r="G51" s="3">
        <f>G7</f>
        <v>5</v>
      </c>
      <c r="H51" s="22"/>
      <c r="I51" s="4">
        <v>2</v>
      </c>
      <c r="J51" s="147">
        <v>5</v>
      </c>
      <c r="K51" s="3">
        <f>K7</f>
        <v>7</v>
      </c>
      <c r="L51" s="22"/>
      <c r="M51" s="4">
        <v>17</v>
      </c>
      <c r="N51" s="154">
        <v>0.03</v>
      </c>
      <c r="O51" s="3">
        <f>O22</f>
        <v>8</v>
      </c>
      <c r="P51" s="22"/>
      <c r="V51" s="31" t="s">
        <v>11</v>
      </c>
      <c r="W51" s="7">
        <f>BD18</f>
        <v>0</v>
      </c>
      <c r="X51" s="132">
        <f>BF18</f>
        <v>1</v>
      </c>
    </row>
    <row r="52" spans="5:24" ht="16" thickBot="1" x14ac:dyDescent="0.25">
      <c r="E52" s="6">
        <v>20</v>
      </c>
      <c r="F52" s="147">
        <v>7</v>
      </c>
      <c r="G52" s="3">
        <f>G25</f>
        <v>5</v>
      </c>
      <c r="H52" s="22"/>
      <c r="I52" s="6">
        <v>30</v>
      </c>
      <c r="J52" s="147">
        <v>5</v>
      </c>
      <c r="K52" s="3">
        <f>K35</f>
        <v>7</v>
      </c>
      <c r="L52" s="22"/>
      <c r="M52" s="6">
        <v>21</v>
      </c>
      <c r="N52" s="154">
        <v>0.03</v>
      </c>
      <c r="O52" s="3">
        <f>O26</f>
        <v>8</v>
      </c>
      <c r="P52" s="22"/>
      <c r="V52" s="31" t="s">
        <v>12</v>
      </c>
      <c r="W52" s="7">
        <f>BD24</f>
        <v>0</v>
      </c>
      <c r="X52" s="132">
        <f>BF24</f>
        <v>1</v>
      </c>
    </row>
    <row r="53" spans="5:24" ht="16" thickBot="1" x14ac:dyDescent="0.25">
      <c r="E53" s="6">
        <v>22</v>
      </c>
      <c r="F53" s="147">
        <v>7</v>
      </c>
      <c r="G53" s="3">
        <f>G27</f>
        <v>5</v>
      </c>
      <c r="H53" s="22"/>
      <c r="I53" s="6">
        <v>5</v>
      </c>
      <c r="J53" s="147">
        <v>7</v>
      </c>
      <c r="K53" s="3">
        <f>K10</f>
        <v>5</v>
      </c>
      <c r="L53" s="22"/>
      <c r="M53" s="6">
        <v>10</v>
      </c>
      <c r="N53" s="154">
        <v>0.04</v>
      </c>
      <c r="O53" s="3">
        <f>O15</f>
        <v>8</v>
      </c>
      <c r="P53" s="22"/>
      <c r="V53" s="34" t="s">
        <v>117</v>
      </c>
      <c r="W53" s="10"/>
      <c r="X53" s="133">
        <f>AVERAGE(X50:X52)</f>
        <v>0.96666666666666667</v>
      </c>
    </row>
    <row r="54" spans="5:24" ht="16" thickBot="1" x14ac:dyDescent="0.25">
      <c r="E54" s="6">
        <v>13</v>
      </c>
      <c r="F54" s="147">
        <v>9</v>
      </c>
      <c r="G54" s="3">
        <f>G18</f>
        <v>4</v>
      </c>
      <c r="H54" s="22"/>
      <c r="I54" s="6">
        <v>16</v>
      </c>
      <c r="J54" s="147">
        <v>9</v>
      </c>
      <c r="K54" s="3">
        <f>K21</f>
        <v>4</v>
      </c>
      <c r="L54" s="22"/>
      <c r="M54" s="6">
        <v>23</v>
      </c>
      <c r="N54" s="154">
        <v>0.04</v>
      </c>
      <c r="O54" s="3">
        <f>O28</f>
        <v>8</v>
      </c>
      <c r="P54" s="22"/>
    </row>
    <row r="55" spans="5:24" ht="16" thickBot="1" x14ac:dyDescent="0.25">
      <c r="E55" s="6">
        <v>18</v>
      </c>
      <c r="F55" s="147">
        <v>9</v>
      </c>
      <c r="G55" s="3">
        <f>G23</f>
        <v>4</v>
      </c>
      <c r="H55" s="22"/>
      <c r="I55" s="6">
        <v>22</v>
      </c>
      <c r="J55" s="147">
        <v>9</v>
      </c>
      <c r="K55" s="3">
        <f>K27</f>
        <v>4</v>
      </c>
      <c r="L55" s="22"/>
      <c r="M55" s="6">
        <v>14</v>
      </c>
      <c r="N55" s="154">
        <v>0.05</v>
      </c>
      <c r="O55" s="3">
        <f>O19</f>
        <v>8</v>
      </c>
      <c r="P55" s="22"/>
    </row>
    <row r="56" spans="5:24" ht="16" thickBot="1" x14ac:dyDescent="0.25">
      <c r="E56" s="6">
        <v>24</v>
      </c>
      <c r="F56" s="147">
        <v>11</v>
      </c>
      <c r="G56" s="3">
        <f>G29</f>
        <v>3</v>
      </c>
      <c r="H56" s="22"/>
      <c r="I56" s="6">
        <v>20</v>
      </c>
      <c r="J56" s="147">
        <v>11</v>
      </c>
      <c r="K56" s="3">
        <f>K25</f>
        <v>4</v>
      </c>
      <c r="L56" s="22"/>
      <c r="M56" s="6">
        <v>30</v>
      </c>
      <c r="N56" s="154">
        <v>0.05</v>
      </c>
      <c r="O56" s="3">
        <f>O35</f>
        <v>8</v>
      </c>
      <c r="P56" s="22"/>
    </row>
    <row r="57" spans="5:24" ht="16" thickBot="1" x14ac:dyDescent="0.25">
      <c r="E57" s="6">
        <v>8</v>
      </c>
      <c r="F57" s="147">
        <v>13</v>
      </c>
      <c r="G57" s="3">
        <f>G13</f>
        <v>3</v>
      </c>
      <c r="H57" s="22"/>
      <c r="I57" s="6">
        <v>24</v>
      </c>
      <c r="J57" s="147">
        <v>11</v>
      </c>
      <c r="K57" s="3">
        <f>K29</f>
        <v>4</v>
      </c>
      <c r="L57" s="22"/>
      <c r="M57" s="6">
        <v>13</v>
      </c>
      <c r="N57" s="152">
        <v>5</v>
      </c>
      <c r="O57" s="3">
        <f>O18</f>
        <v>7</v>
      </c>
      <c r="P57" s="22"/>
    </row>
    <row r="58" spans="5:24" ht="16" thickBot="1" x14ac:dyDescent="0.25">
      <c r="E58" s="6">
        <v>16</v>
      </c>
      <c r="F58" s="147">
        <v>13</v>
      </c>
      <c r="G58" s="3">
        <f>G21</f>
        <v>3</v>
      </c>
      <c r="H58" s="22"/>
      <c r="I58" s="6">
        <v>13</v>
      </c>
      <c r="J58" s="147">
        <v>13</v>
      </c>
      <c r="K58" s="3">
        <f>K18</f>
        <v>4</v>
      </c>
      <c r="L58" s="22"/>
      <c r="M58" s="6">
        <v>2</v>
      </c>
      <c r="N58" s="152">
        <v>7</v>
      </c>
      <c r="O58" s="3">
        <f>O7</f>
        <v>5</v>
      </c>
      <c r="P58" s="22"/>
    </row>
    <row r="59" spans="5:24" ht="16" thickBot="1" x14ac:dyDescent="0.25">
      <c r="E59" s="6">
        <v>5</v>
      </c>
      <c r="F59" s="147">
        <v>15</v>
      </c>
      <c r="G59" s="3">
        <f>G10</f>
        <v>2</v>
      </c>
      <c r="H59" s="22"/>
      <c r="I59" s="6">
        <v>18</v>
      </c>
      <c r="J59" s="147">
        <v>13</v>
      </c>
      <c r="K59" s="3">
        <f>K23</f>
        <v>3</v>
      </c>
      <c r="L59" s="22"/>
      <c r="M59" s="6">
        <v>22</v>
      </c>
      <c r="N59" s="152">
        <v>9</v>
      </c>
      <c r="O59" s="3">
        <f>O27</f>
        <v>5</v>
      </c>
      <c r="P59" s="22"/>
    </row>
    <row r="60" spans="5:24" ht="16" thickBot="1" x14ac:dyDescent="0.25">
      <c r="E60" s="9">
        <v>30</v>
      </c>
      <c r="F60" s="147">
        <v>15</v>
      </c>
      <c r="G60" s="3">
        <f>G35</f>
        <v>3</v>
      </c>
      <c r="H60" s="22"/>
      <c r="I60" s="9">
        <v>8</v>
      </c>
      <c r="J60" s="147">
        <v>15</v>
      </c>
      <c r="K60" s="3">
        <f>K13</f>
        <v>3</v>
      </c>
      <c r="L60" s="22"/>
      <c r="M60" s="9">
        <v>8</v>
      </c>
      <c r="N60" s="152">
        <v>11</v>
      </c>
      <c r="O60" s="3">
        <f>O13</f>
        <v>4</v>
      </c>
      <c r="P60" s="22"/>
    </row>
    <row r="61" spans="5:24" ht="16" thickBot="1" x14ac:dyDescent="0.25">
      <c r="E61" s="4">
        <v>11</v>
      </c>
      <c r="F61" s="148">
        <v>30</v>
      </c>
      <c r="G61" s="3">
        <f>G16</f>
        <v>0</v>
      </c>
      <c r="H61" s="22"/>
      <c r="I61" s="4">
        <v>11</v>
      </c>
      <c r="J61" s="148">
        <v>30</v>
      </c>
      <c r="K61" s="3">
        <f>K16</f>
        <v>0</v>
      </c>
      <c r="L61" s="22"/>
      <c r="M61" s="4">
        <v>16</v>
      </c>
      <c r="N61" s="152">
        <v>11</v>
      </c>
      <c r="O61" s="3">
        <f>O21</f>
        <v>4</v>
      </c>
      <c r="P61" s="22"/>
    </row>
    <row r="62" spans="5:24" ht="16" thickBot="1" x14ac:dyDescent="0.25">
      <c r="E62" s="6">
        <v>25</v>
      </c>
      <c r="F62" s="148">
        <v>30</v>
      </c>
      <c r="G62" s="3">
        <f>G30</f>
        <v>0</v>
      </c>
      <c r="H62" s="22"/>
      <c r="I62" s="6">
        <v>21</v>
      </c>
      <c r="J62" s="148">
        <v>30</v>
      </c>
      <c r="K62" s="3">
        <f>K26</f>
        <v>0</v>
      </c>
      <c r="L62" s="22"/>
      <c r="M62" s="6">
        <v>24</v>
      </c>
      <c r="N62" s="152">
        <v>13</v>
      </c>
      <c r="O62" s="3">
        <f>O29</f>
        <v>4</v>
      </c>
      <c r="P62" s="22"/>
    </row>
    <row r="63" spans="5:24" ht="16" thickBot="1" x14ac:dyDescent="0.25">
      <c r="E63" s="6">
        <v>7</v>
      </c>
      <c r="F63" s="148">
        <v>40</v>
      </c>
      <c r="G63" s="3">
        <f>G12</f>
        <v>0</v>
      </c>
      <c r="H63" s="22"/>
      <c r="I63" s="6">
        <v>27</v>
      </c>
      <c r="J63" s="148">
        <v>40</v>
      </c>
      <c r="K63" s="3">
        <f>K32</f>
        <v>0</v>
      </c>
      <c r="L63" s="22"/>
      <c r="M63" s="6">
        <v>5</v>
      </c>
      <c r="N63" s="152">
        <v>15</v>
      </c>
      <c r="O63" s="3">
        <f>O10</f>
        <v>3</v>
      </c>
      <c r="P63" s="22"/>
    </row>
    <row r="64" spans="5:24" ht="16" thickBot="1" x14ac:dyDescent="0.25">
      <c r="E64" s="6">
        <v>21</v>
      </c>
      <c r="F64" s="148">
        <v>40</v>
      </c>
      <c r="G64" s="3">
        <f>G26</f>
        <v>0</v>
      </c>
      <c r="H64" s="22"/>
      <c r="I64" s="6">
        <v>7</v>
      </c>
      <c r="J64" s="148">
        <v>50</v>
      </c>
      <c r="K64" s="3">
        <f>K12</f>
        <v>0</v>
      </c>
      <c r="L64" s="22"/>
      <c r="M64" s="6">
        <v>20</v>
      </c>
      <c r="N64" s="152">
        <v>15</v>
      </c>
      <c r="O64" s="3">
        <f>O25</f>
        <v>3</v>
      </c>
      <c r="P64" s="22"/>
    </row>
    <row r="65" spans="5:16" ht="16" thickBot="1" x14ac:dyDescent="0.25">
      <c r="E65" s="6">
        <v>3</v>
      </c>
      <c r="F65" s="148">
        <v>50</v>
      </c>
      <c r="G65" s="3">
        <f>G8</f>
        <v>0</v>
      </c>
      <c r="H65" s="22"/>
      <c r="I65" s="6">
        <v>9</v>
      </c>
      <c r="J65" s="148">
        <v>50</v>
      </c>
      <c r="K65" s="3">
        <f>K14</f>
        <v>0</v>
      </c>
      <c r="L65" s="22"/>
      <c r="M65" s="6">
        <v>29</v>
      </c>
      <c r="N65" s="153">
        <v>30</v>
      </c>
      <c r="O65" s="3">
        <f>O34</f>
        <v>0</v>
      </c>
      <c r="P65" s="22"/>
    </row>
    <row r="66" spans="5:16" ht="16" thickBot="1" x14ac:dyDescent="0.25">
      <c r="E66" s="6">
        <v>19</v>
      </c>
      <c r="F66" s="148">
        <v>60</v>
      </c>
      <c r="G66" s="3">
        <f>G24</f>
        <v>0</v>
      </c>
      <c r="H66" s="22"/>
      <c r="I66" s="6">
        <v>29</v>
      </c>
      <c r="J66" s="148">
        <v>60</v>
      </c>
      <c r="K66" s="3">
        <f>K34</f>
        <v>0</v>
      </c>
      <c r="L66" s="22"/>
      <c r="M66" s="6">
        <v>15</v>
      </c>
      <c r="N66" s="153">
        <v>50</v>
      </c>
      <c r="O66" s="3">
        <f>O20</f>
        <v>0</v>
      </c>
      <c r="P66" s="22"/>
    </row>
    <row r="67" spans="5:16" ht="16" thickBot="1" x14ac:dyDescent="0.25">
      <c r="E67" s="6">
        <v>27</v>
      </c>
      <c r="F67" s="148">
        <v>60</v>
      </c>
      <c r="G67" s="3">
        <f>G32</f>
        <v>0</v>
      </c>
      <c r="H67" s="22"/>
      <c r="I67" s="6">
        <v>19</v>
      </c>
      <c r="J67" s="148">
        <v>70</v>
      </c>
      <c r="K67" s="3">
        <f>K24</f>
        <v>0</v>
      </c>
      <c r="L67" s="22"/>
      <c r="M67" s="6">
        <v>3</v>
      </c>
      <c r="N67" s="153">
        <v>60</v>
      </c>
      <c r="O67" s="3">
        <f>O8</f>
        <v>0</v>
      </c>
      <c r="P67" s="22"/>
    </row>
    <row r="68" spans="5:16" ht="16" thickBot="1" x14ac:dyDescent="0.25">
      <c r="E68" s="6">
        <v>15</v>
      </c>
      <c r="F68" s="165">
        <v>70</v>
      </c>
      <c r="G68" s="169">
        <f>G20</f>
        <v>0</v>
      </c>
      <c r="I68" s="6">
        <v>3</v>
      </c>
      <c r="J68" s="165">
        <v>80</v>
      </c>
      <c r="K68" s="169">
        <f>K8</f>
        <v>0</v>
      </c>
      <c r="L68" s="22"/>
      <c r="M68" s="6">
        <v>11</v>
      </c>
      <c r="N68" s="153">
        <v>60</v>
      </c>
      <c r="O68" s="3">
        <f>O16</f>
        <v>0</v>
      </c>
    </row>
    <row r="69" spans="5:16" ht="16" thickBot="1" x14ac:dyDescent="0.25">
      <c r="E69" s="6">
        <v>29</v>
      </c>
      <c r="F69" s="165">
        <v>70</v>
      </c>
      <c r="G69" s="169">
        <f>G34</f>
        <v>0</v>
      </c>
      <c r="I69" s="6">
        <v>15</v>
      </c>
      <c r="J69" s="165">
        <v>80</v>
      </c>
      <c r="K69" s="169">
        <f>K20</f>
        <v>0</v>
      </c>
      <c r="L69" s="22"/>
      <c r="M69" s="6">
        <v>9</v>
      </c>
      <c r="N69" s="153">
        <v>70</v>
      </c>
      <c r="O69" s="3">
        <f>O14</f>
        <v>0</v>
      </c>
    </row>
    <row r="70" spans="5:16" ht="16" thickBot="1" x14ac:dyDescent="0.25">
      <c r="E70" s="9">
        <v>9</v>
      </c>
      <c r="F70" s="167">
        <v>80</v>
      </c>
      <c r="G70" s="168">
        <f>G14</f>
        <v>0</v>
      </c>
      <c r="I70" s="9">
        <v>25</v>
      </c>
      <c r="J70" s="166">
        <v>80</v>
      </c>
      <c r="K70" s="164">
        <f>K30</f>
        <v>0</v>
      </c>
      <c r="L70" s="22"/>
      <c r="M70" s="9">
        <v>27</v>
      </c>
      <c r="N70" s="157">
        <v>70</v>
      </c>
      <c r="O70" s="3">
        <f>O32</f>
        <v>0</v>
      </c>
    </row>
  </sheetData>
  <phoneticPr fontId="17" type="noConversion"/>
  <conditionalFormatting sqref="G36:H36 K36:L36 O36:P36">
    <cfRule type="cellIs" dxfId="3" priority="1" operator="greaterThan">
      <formula>2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02"/>
  <sheetViews>
    <sheetView workbookViewId="0">
      <selection activeCell="E5" sqref="E5"/>
    </sheetView>
  </sheetViews>
  <sheetFormatPr baseColWidth="10" defaultColWidth="8.83203125" defaultRowHeight="15" x14ac:dyDescent="0.2"/>
  <cols>
    <col min="6" max="6" width="11.33203125" bestFit="1" customWidth="1"/>
  </cols>
  <sheetData>
    <row r="1" spans="1:6" x14ac:dyDescent="0.2">
      <c r="A1" t="s">
        <v>5</v>
      </c>
    </row>
    <row r="2" spans="1:6" x14ac:dyDescent="0.2">
      <c r="A2" t="s">
        <v>37</v>
      </c>
      <c r="B2" t="s">
        <v>13</v>
      </c>
      <c r="C2" t="s">
        <v>38</v>
      </c>
      <c r="D2" t="s">
        <v>39</v>
      </c>
      <c r="E2" t="s">
        <v>2</v>
      </c>
      <c r="F2" t="s">
        <v>40</v>
      </c>
    </row>
    <row r="3" spans="1:6" x14ac:dyDescent="0.2">
      <c r="A3" t="s">
        <v>41</v>
      </c>
      <c r="C3">
        <v>6000</v>
      </c>
      <c r="D3" t="s">
        <v>42</v>
      </c>
      <c r="E3" t="s">
        <v>42</v>
      </c>
      <c r="F3">
        <f>SUM(C3:E3)</f>
        <v>6000</v>
      </c>
    </row>
    <row r="4" spans="1:6" x14ac:dyDescent="0.2">
      <c r="A4">
        <v>1</v>
      </c>
      <c r="B4" s="149">
        <v>0.01</v>
      </c>
      <c r="C4">
        <v>4000</v>
      </c>
      <c r="D4">
        <v>7000</v>
      </c>
      <c r="E4">
        <v>6000</v>
      </c>
      <c r="F4">
        <f>F3+C4+D4+E4</f>
        <v>23000</v>
      </c>
    </row>
    <row r="5" spans="1:6" x14ac:dyDescent="0.2">
      <c r="A5">
        <v>2</v>
      </c>
      <c r="B5" s="42">
        <v>5</v>
      </c>
      <c r="C5">
        <v>4000</v>
      </c>
      <c r="D5">
        <v>7000</v>
      </c>
      <c r="E5">
        <f>'Paste Run 1'!CA3</f>
        <v>12000</v>
      </c>
      <c r="F5">
        <f t="shared" ref="F5:F33" si="0">F4+C5+D5+E5</f>
        <v>46000</v>
      </c>
    </row>
    <row r="6" spans="1:6" x14ac:dyDescent="0.2">
      <c r="A6">
        <v>3</v>
      </c>
      <c r="B6" s="159">
        <v>50</v>
      </c>
      <c r="C6">
        <v>4000</v>
      </c>
      <c r="D6">
        <v>7000</v>
      </c>
      <c r="E6">
        <f>'Paste Run 1'!CA4</f>
        <v>8000</v>
      </c>
      <c r="F6">
        <f t="shared" si="0"/>
        <v>65000</v>
      </c>
    </row>
    <row r="7" spans="1:6" x14ac:dyDescent="0.2">
      <c r="A7">
        <v>4</v>
      </c>
      <c r="B7" s="149">
        <v>0</v>
      </c>
      <c r="C7">
        <v>4000</v>
      </c>
      <c r="D7">
        <v>7000</v>
      </c>
      <c r="E7">
        <f>'Paste Run 1'!CA5</f>
        <v>4000</v>
      </c>
      <c r="F7">
        <f t="shared" si="0"/>
        <v>80000</v>
      </c>
    </row>
    <row r="8" spans="1:6" x14ac:dyDescent="0.2">
      <c r="A8">
        <v>5</v>
      </c>
      <c r="B8" s="147">
        <v>15</v>
      </c>
      <c r="C8">
        <v>4000</v>
      </c>
      <c r="D8">
        <v>7000</v>
      </c>
      <c r="E8">
        <f>'Paste Run 1'!CA6</f>
        <v>4000</v>
      </c>
      <c r="F8">
        <f t="shared" si="0"/>
        <v>95000</v>
      </c>
    </row>
    <row r="9" spans="1:6" x14ac:dyDescent="0.2">
      <c r="A9">
        <v>6</v>
      </c>
      <c r="B9" s="149">
        <v>0.05</v>
      </c>
      <c r="C9">
        <v>4000</v>
      </c>
      <c r="D9">
        <v>7000</v>
      </c>
      <c r="E9">
        <f>'Paste Run 1'!CA7</f>
        <v>2000</v>
      </c>
      <c r="F9">
        <f t="shared" si="0"/>
        <v>108000</v>
      </c>
    </row>
    <row r="10" spans="1:6" x14ac:dyDescent="0.2">
      <c r="A10">
        <v>7</v>
      </c>
      <c r="B10" s="160">
        <v>40</v>
      </c>
      <c r="C10">
        <v>4000</v>
      </c>
      <c r="D10">
        <v>7000</v>
      </c>
      <c r="E10">
        <f>'Paste Run 1'!CA8</f>
        <v>8000</v>
      </c>
      <c r="F10">
        <f t="shared" si="0"/>
        <v>127000</v>
      </c>
    </row>
    <row r="11" spans="1:6" x14ac:dyDescent="0.2">
      <c r="A11">
        <v>8</v>
      </c>
      <c r="B11" s="147">
        <v>13</v>
      </c>
      <c r="C11">
        <v>4000</v>
      </c>
      <c r="D11">
        <v>7000</v>
      </c>
      <c r="E11">
        <f>'Paste Run 1'!CA9</f>
        <v>8000</v>
      </c>
      <c r="F11">
        <f t="shared" si="0"/>
        <v>146000</v>
      </c>
    </row>
    <row r="12" spans="1:6" x14ac:dyDescent="0.2">
      <c r="A12">
        <v>9</v>
      </c>
      <c r="B12" s="159">
        <v>80</v>
      </c>
      <c r="C12">
        <v>4000</v>
      </c>
      <c r="D12">
        <v>7000</v>
      </c>
      <c r="E12">
        <f>'Paste Run 1'!CA10</f>
        <v>10000</v>
      </c>
      <c r="F12">
        <f t="shared" si="0"/>
        <v>167000</v>
      </c>
    </row>
    <row r="13" spans="1:6" x14ac:dyDescent="0.2">
      <c r="A13">
        <v>10</v>
      </c>
      <c r="B13" s="149">
        <v>0.01</v>
      </c>
      <c r="C13">
        <v>4000</v>
      </c>
      <c r="D13">
        <v>7000</v>
      </c>
      <c r="E13">
        <f>'Paste Run 1'!CA11</f>
        <v>4000</v>
      </c>
      <c r="F13">
        <f t="shared" si="0"/>
        <v>182000</v>
      </c>
    </row>
    <row r="14" spans="1:6" x14ac:dyDescent="0.2">
      <c r="A14">
        <v>11</v>
      </c>
      <c r="B14" s="159">
        <v>30</v>
      </c>
      <c r="C14">
        <v>4000</v>
      </c>
      <c r="D14">
        <v>7000</v>
      </c>
      <c r="E14">
        <f>'Paste Run 1'!CA12</f>
        <v>4000</v>
      </c>
      <c r="F14">
        <f t="shared" si="0"/>
        <v>197000</v>
      </c>
    </row>
    <row r="15" spans="1:6" x14ac:dyDescent="0.2">
      <c r="A15">
        <v>12</v>
      </c>
      <c r="B15" s="149">
        <v>0.02</v>
      </c>
      <c r="C15">
        <v>4000</v>
      </c>
      <c r="D15">
        <v>7000</v>
      </c>
      <c r="E15">
        <f>'Paste Run 1'!CA13</f>
        <v>2000</v>
      </c>
      <c r="F15">
        <f t="shared" si="0"/>
        <v>210000</v>
      </c>
    </row>
    <row r="16" spans="1:6" x14ac:dyDescent="0.2">
      <c r="A16">
        <v>13</v>
      </c>
      <c r="B16" s="147">
        <v>9</v>
      </c>
      <c r="C16">
        <v>4000</v>
      </c>
      <c r="D16">
        <v>7000</v>
      </c>
      <c r="E16">
        <f>'Paste Run 1'!CA14</f>
        <v>12000</v>
      </c>
      <c r="F16">
        <f t="shared" si="0"/>
        <v>233000</v>
      </c>
    </row>
    <row r="17" spans="1:6" x14ac:dyDescent="0.2">
      <c r="A17">
        <v>14</v>
      </c>
      <c r="B17" s="149">
        <v>0.05</v>
      </c>
      <c r="C17">
        <v>4000</v>
      </c>
      <c r="D17">
        <v>7000</v>
      </c>
      <c r="E17">
        <f>'Paste Run 1'!CA15</f>
        <v>4000</v>
      </c>
      <c r="F17">
        <f t="shared" si="0"/>
        <v>248000</v>
      </c>
    </row>
    <row r="18" spans="1:6" x14ac:dyDescent="0.2">
      <c r="A18">
        <v>15</v>
      </c>
      <c r="B18" s="159">
        <v>70</v>
      </c>
      <c r="C18">
        <v>4000</v>
      </c>
      <c r="D18">
        <v>7000</v>
      </c>
      <c r="E18">
        <f>'Paste Run 1'!CA16</f>
        <v>6000</v>
      </c>
      <c r="F18">
        <f t="shared" si="0"/>
        <v>265000</v>
      </c>
    </row>
    <row r="19" spans="1:6" x14ac:dyDescent="0.2">
      <c r="A19">
        <v>16</v>
      </c>
      <c r="B19" s="147">
        <v>13</v>
      </c>
      <c r="C19">
        <v>4000</v>
      </c>
      <c r="D19">
        <v>7000</v>
      </c>
      <c r="E19">
        <f>'Paste Run 1'!CA17</f>
        <v>4000</v>
      </c>
      <c r="F19">
        <f t="shared" si="0"/>
        <v>280000</v>
      </c>
    </row>
    <row r="20" spans="1:6" x14ac:dyDescent="0.2">
      <c r="A20">
        <v>17</v>
      </c>
      <c r="B20" s="149">
        <v>0.04</v>
      </c>
      <c r="C20">
        <v>4000</v>
      </c>
      <c r="D20">
        <v>7000</v>
      </c>
      <c r="E20">
        <f>'Paste Run 1'!CA18</f>
        <v>10000</v>
      </c>
      <c r="F20">
        <f t="shared" si="0"/>
        <v>301000</v>
      </c>
    </row>
    <row r="21" spans="1:6" x14ac:dyDescent="0.2">
      <c r="A21">
        <v>18</v>
      </c>
      <c r="B21" s="147">
        <v>9</v>
      </c>
      <c r="C21">
        <v>4000</v>
      </c>
      <c r="D21">
        <v>7000</v>
      </c>
      <c r="E21">
        <f>'Paste Run 1'!CA19</f>
        <v>2000</v>
      </c>
      <c r="F21">
        <f t="shared" si="0"/>
        <v>314000</v>
      </c>
    </row>
    <row r="22" spans="1:6" x14ac:dyDescent="0.2">
      <c r="A22">
        <v>19</v>
      </c>
      <c r="B22" s="159">
        <v>60</v>
      </c>
      <c r="C22">
        <v>4000</v>
      </c>
      <c r="D22">
        <v>7000</v>
      </c>
      <c r="E22">
        <f>'Paste Run 1'!CA20</f>
        <v>4000</v>
      </c>
      <c r="F22">
        <f t="shared" si="0"/>
        <v>329000</v>
      </c>
    </row>
    <row r="23" spans="1:6" x14ac:dyDescent="0.2">
      <c r="A23">
        <v>20</v>
      </c>
      <c r="B23" s="147">
        <v>7</v>
      </c>
      <c r="C23">
        <v>4000</v>
      </c>
      <c r="D23">
        <v>7000</v>
      </c>
      <c r="E23">
        <f>'Paste Run 1'!CA21</f>
        <v>4000</v>
      </c>
      <c r="F23">
        <f t="shared" si="0"/>
        <v>344000</v>
      </c>
    </row>
    <row r="24" spans="1:6" x14ac:dyDescent="0.2">
      <c r="A24">
        <v>21</v>
      </c>
      <c r="B24" s="160">
        <v>40</v>
      </c>
      <c r="C24">
        <v>4000</v>
      </c>
      <c r="D24">
        <v>7000</v>
      </c>
      <c r="E24">
        <f>'Paste Run 1'!CA22</f>
        <v>2000</v>
      </c>
      <c r="F24">
        <f t="shared" si="0"/>
        <v>357000</v>
      </c>
    </row>
    <row r="25" spans="1:6" x14ac:dyDescent="0.2">
      <c r="A25">
        <v>22</v>
      </c>
      <c r="B25" s="147">
        <v>7</v>
      </c>
      <c r="C25">
        <v>4000</v>
      </c>
      <c r="D25">
        <v>7000</v>
      </c>
      <c r="E25">
        <f>'Paste Run 1'!CA23</f>
        <v>10000</v>
      </c>
      <c r="F25">
        <f t="shared" si="0"/>
        <v>378000</v>
      </c>
    </row>
    <row r="26" spans="1:6" x14ac:dyDescent="0.2">
      <c r="A26">
        <v>23</v>
      </c>
      <c r="B26" s="149">
        <v>0</v>
      </c>
      <c r="C26">
        <v>4000</v>
      </c>
      <c r="D26">
        <v>7000</v>
      </c>
      <c r="E26">
        <f>'Paste Run 1'!CA24</f>
        <v>4000</v>
      </c>
      <c r="F26">
        <f t="shared" si="0"/>
        <v>393000</v>
      </c>
    </row>
    <row r="27" spans="1:6" x14ac:dyDescent="0.2">
      <c r="A27">
        <v>24</v>
      </c>
      <c r="B27" s="147">
        <v>11</v>
      </c>
      <c r="C27">
        <v>4000</v>
      </c>
      <c r="D27">
        <v>7000</v>
      </c>
      <c r="E27">
        <f>'Paste Run 1'!CA25</f>
        <v>2000</v>
      </c>
      <c r="F27">
        <f t="shared" si="0"/>
        <v>406000</v>
      </c>
    </row>
    <row r="28" spans="1:6" x14ac:dyDescent="0.2">
      <c r="A28">
        <v>25</v>
      </c>
      <c r="B28" s="159">
        <v>30</v>
      </c>
      <c r="C28">
        <v>4000</v>
      </c>
      <c r="D28">
        <v>7000</v>
      </c>
      <c r="E28">
        <f>'Paste Run 1'!CA26</f>
        <v>4000</v>
      </c>
      <c r="F28">
        <f t="shared" si="0"/>
        <v>421000</v>
      </c>
    </row>
    <row r="29" spans="1:6" x14ac:dyDescent="0.2">
      <c r="A29">
        <v>26</v>
      </c>
      <c r="B29" s="149">
        <v>0.03</v>
      </c>
      <c r="C29">
        <v>4000</v>
      </c>
      <c r="D29">
        <v>7000</v>
      </c>
      <c r="E29">
        <f>'Paste Run 1'!CA27</f>
        <v>6000</v>
      </c>
      <c r="F29">
        <f t="shared" si="0"/>
        <v>438000</v>
      </c>
    </row>
    <row r="30" spans="1:6" x14ac:dyDescent="0.2">
      <c r="A30">
        <v>27</v>
      </c>
      <c r="B30" s="159">
        <v>60</v>
      </c>
      <c r="C30">
        <v>4000</v>
      </c>
      <c r="D30">
        <v>7000</v>
      </c>
      <c r="E30">
        <f>'Paste Run 1'!CA28</f>
        <v>4000</v>
      </c>
      <c r="F30">
        <f t="shared" si="0"/>
        <v>453000</v>
      </c>
    </row>
    <row r="31" spans="1:6" x14ac:dyDescent="0.2">
      <c r="A31">
        <v>28</v>
      </c>
      <c r="B31" s="149">
        <v>0.02</v>
      </c>
      <c r="C31">
        <v>4000</v>
      </c>
      <c r="D31">
        <v>7000</v>
      </c>
      <c r="E31">
        <f>'Paste Run 1'!CA29</f>
        <v>12000</v>
      </c>
      <c r="F31">
        <f t="shared" si="0"/>
        <v>476000</v>
      </c>
    </row>
    <row r="32" spans="1:6" x14ac:dyDescent="0.2">
      <c r="A32">
        <v>29</v>
      </c>
      <c r="B32" s="159">
        <v>70</v>
      </c>
      <c r="C32">
        <v>4000</v>
      </c>
      <c r="D32">
        <v>7000</v>
      </c>
      <c r="E32">
        <f>'Paste Run 1'!CA30</f>
        <v>2000</v>
      </c>
      <c r="F32">
        <f t="shared" si="0"/>
        <v>489000</v>
      </c>
    </row>
    <row r="33" spans="1:6" x14ac:dyDescent="0.2">
      <c r="A33">
        <v>30</v>
      </c>
      <c r="B33" s="147">
        <v>15</v>
      </c>
      <c r="C33">
        <v>4000</v>
      </c>
      <c r="D33">
        <v>7000</v>
      </c>
      <c r="E33">
        <f>'Paste Run 1'!CA31</f>
        <v>4000</v>
      </c>
      <c r="F33">
        <f t="shared" si="0"/>
        <v>504000</v>
      </c>
    </row>
    <row r="36" spans="1:6" x14ac:dyDescent="0.2">
      <c r="A36" t="s">
        <v>6</v>
      </c>
    </row>
    <row r="37" spans="1:6" x14ac:dyDescent="0.2">
      <c r="A37" t="s">
        <v>37</v>
      </c>
      <c r="B37" t="s">
        <v>13</v>
      </c>
      <c r="C37" t="s">
        <v>38</v>
      </c>
      <c r="D37" t="s">
        <v>39</v>
      </c>
      <c r="E37" t="s">
        <v>2</v>
      </c>
    </row>
    <row r="38" spans="1:6" ht="16" thickBot="1" x14ac:dyDescent="0.25">
      <c r="A38" t="s">
        <v>41</v>
      </c>
      <c r="C38">
        <v>6000</v>
      </c>
      <c r="D38" t="s">
        <v>42</v>
      </c>
      <c r="E38" t="s">
        <v>42</v>
      </c>
      <c r="F38">
        <f>SUM(C38:E38)</f>
        <v>6000</v>
      </c>
    </row>
    <row r="39" spans="1:6" x14ac:dyDescent="0.2">
      <c r="A39">
        <v>1</v>
      </c>
      <c r="B39" s="146">
        <v>0.03</v>
      </c>
      <c r="C39">
        <v>4000</v>
      </c>
      <c r="D39">
        <v>7000</v>
      </c>
      <c r="E39" s="39">
        <f>'Paste Run 2'!CA2</f>
        <v>6000</v>
      </c>
      <c r="F39">
        <f>F38+C39+D39+E39</f>
        <v>23000</v>
      </c>
    </row>
    <row r="40" spans="1:6" x14ac:dyDescent="0.2">
      <c r="A40">
        <v>2</v>
      </c>
      <c r="B40" s="147">
        <v>5</v>
      </c>
      <c r="C40">
        <v>4000</v>
      </c>
      <c r="D40">
        <v>7000</v>
      </c>
      <c r="E40" s="39">
        <f>'Paste Run 2'!CA3</f>
        <v>12000</v>
      </c>
      <c r="F40">
        <f t="shared" ref="F40:F68" si="1">F39+C40+D40+E40</f>
        <v>46000</v>
      </c>
    </row>
    <row r="41" spans="1:6" x14ac:dyDescent="0.2">
      <c r="A41">
        <v>3</v>
      </c>
      <c r="B41" s="148">
        <v>80</v>
      </c>
      <c r="C41">
        <v>4000</v>
      </c>
      <c r="D41">
        <v>7000</v>
      </c>
      <c r="E41" s="39">
        <f>'Paste Run 2'!CA4</f>
        <v>8000</v>
      </c>
      <c r="F41">
        <f t="shared" si="1"/>
        <v>65000</v>
      </c>
    </row>
    <row r="42" spans="1:6" x14ac:dyDescent="0.2">
      <c r="A42">
        <v>4</v>
      </c>
      <c r="B42" s="149">
        <v>0.01</v>
      </c>
      <c r="C42">
        <v>4000</v>
      </c>
      <c r="D42">
        <v>7000</v>
      </c>
      <c r="E42" s="39">
        <f>'Paste Run 2'!CA5</f>
        <v>4000</v>
      </c>
      <c r="F42">
        <f t="shared" si="1"/>
        <v>80000</v>
      </c>
    </row>
    <row r="43" spans="1:6" x14ac:dyDescent="0.2">
      <c r="A43">
        <v>5</v>
      </c>
      <c r="B43" s="147">
        <v>7</v>
      </c>
      <c r="C43">
        <v>4000</v>
      </c>
      <c r="D43">
        <v>7000</v>
      </c>
      <c r="E43" s="39">
        <f>'Paste Run 2'!CA6</f>
        <v>4000</v>
      </c>
      <c r="F43">
        <f t="shared" si="1"/>
        <v>95000</v>
      </c>
    </row>
    <row r="44" spans="1:6" x14ac:dyDescent="0.2">
      <c r="A44">
        <v>6</v>
      </c>
      <c r="B44" s="149">
        <v>0.04</v>
      </c>
      <c r="C44">
        <v>4000</v>
      </c>
      <c r="D44">
        <v>7000</v>
      </c>
      <c r="E44" s="39">
        <f>'Paste Run 2'!CA7</f>
        <v>2000</v>
      </c>
      <c r="F44">
        <f t="shared" si="1"/>
        <v>108000</v>
      </c>
    </row>
    <row r="45" spans="1:6" x14ac:dyDescent="0.2">
      <c r="A45">
        <v>7</v>
      </c>
      <c r="B45" s="148">
        <v>50</v>
      </c>
      <c r="C45">
        <v>4000</v>
      </c>
      <c r="D45">
        <v>7000</v>
      </c>
      <c r="E45" s="39">
        <f>'Paste Run 2'!CA8</f>
        <v>8000</v>
      </c>
      <c r="F45">
        <f t="shared" si="1"/>
        <v>127000</v>
      </c>
    </row>
    <row r="46" spans="1:6" x14ac:dyDescent="0.2">
      <c r="A46">
        <v>8</v>
      </c>
      <c r="B46" s="147">
        <v>15</v>
      </c>
      <c r="C46">
        <v>4000</v>
      </c>
      <c r="D46">
        <v>7000</v>
      </c>
      <c r="E46" s="39">
        <f>'Paste Run 2'!CA9</f>
        <v>8000</v>
      </c>
      <c r="F46">
        <f t="shared" si="1"/>
        <v>146000</v>
      </c>
    </row>
    <row r="47" spans="1:6" x14ac:dyDescent="0.2">
      <c r="A47">
        <v>9</v>
      </c>
      <c r="B47" s="148">
        <v>50</v>
      </c>
      <c r="C47">
        <v>4000</v>
      </c>
      <c r="D47">
        <v>7000</v>
      </c>
      <c r="E47" s="39">
        <f>'Paste Run 2'!CA10</f>
        <v>10000</v>
      </c>
      <c r="F47">
        <f t="shared" si="1"/>
        <v>167000</v>
      </c>
    </row>
    <row r="48" spans="1:6" x14ac:dyDescent="0.2">
      <c r="A48">
        <v>10</v>
      </c>
      <c r="B48" s="149">
        <v>0.04</v>
      </c>
      <c r="C48">
        <v>4000</v>
      </c>
      <c r="D48">
        <v>7000</v>
      </c>
      <c r="E48" s="39">
        <f>'Paste Run 2'!CA11</f>
        <v>4000</v>
      </c>
      <c r="F48">
        <f t="shared" si="1"/>
        <v>182000</v>
      </c>
    </row>
    <row r="49" spans="1:6" x14ac:dyDescent="0.2">
      <c r="A49">
        <v>11</v>
      </c>
      <c r="B49" s="148">
        <v>30</v>
      </c>
      <c r="C49">
        <v>4000</v>
      </c>
      <c r="D49">
        <v>7000</v>
      </c>
      <c r="E49" s="39">
        <f>'Paste Run 2'!CA12</f>
        <v>4000</v>
      </c>
      <c r="F49">
        <f t="shared" si="1"/>
        <v>197000</v>
      </c>
    </row>
    <row r="50" spans="1:6" x14ac:dyDescent="0.2">
      <c r="A50">
        <v>12</v>
      </c>
      <c r="B50" s="149">
        <v>0.01</v>
      </c>
      <c r="C50">
        <v>4000</v>
      </c>
      <c r="D50">
        <v>7000</v>
      </c>
      <c r="E50" s="39">
        <f>'Paste Run 2'!CA13</f>
        <v>2000</v>
      </c>
      <c r="F50">
        <f t="shared" si="1"/>
        <v>210000</v>
      </c>
    </row>
    <row r="51" spans="1:6" x14ac:dyDescent="0.2">
      <c r="A51">
        <v>13</v>
      </c>
      <c r="B51" s="147">
        <v>13</v>
      </c>
      <c r="C51">
        <v>4000</v>
      </c>
      <c r="D51">
        <v>7000</v>
      </c>
      <c r="E51" s="39">
        <f>'Paste Run 2'!CA14</f>
        <v>12000</v>
      </c>
      <c r="F51">
        <f t="shared" si="1"/>
        <v>233000</v>
      </c>
    </row>
    <row r="52" spans="1:6" x14ac:dyDescent="0.2">
      <c r="A52">
        <v>14</v>
      </c>
      <c r="B52" s="149">
        <v>0.02</v>
      </c>
      <c r="C52">
        <v>4000</v>
      </c>
      <c r="D52">
        <v>7000</v>
      </c>
      <c r="E52" s="39">
        <f>'Paste Run 2'!CA15</f>
        <v>4000</v>
      </c>
      <c r="F52">
        <f t="shared" si="1"/>
        <v>248000</v>
      </c>
    </row>
    <row r="53" spans="1:6" x14ac:dyDescent="0.2">
      <c r="A53">
        <v>15</v>
      </c>
      <c r="B53" s="148">
        <v>80</v>
      </c>
      <c r="C53">
        <v>4000</v>
      </c>
      <c r="D53">
        <v>7000</v>
      </c>
      <c r="E53" s="39">
        <f>'Paste Run 2'!CA16</f>
        <v>6000</v>
      </c>
      <c r="F53">
        <f t="shared" si="1"/>
        <v>265000</v>
      </c>
    </row>
    <row r="54" spans="1:6" x14ac:dyDescent="0.2">
      <c r="A54">
        <v>16</v>
      </c>
      <c r="B54" s="147">
        <v>9</v>
      </c>
      <c r="C54">
        <v>4000</v>
      </c>
      <c r="D54">
        <v>7000</v>
      </c>
      <c r="E54" s="39">
        <f>'Paste Run 2'!CA17</f>
        <v>4000</v>
      </c>
      <c r="F54">
        <f t="shared" si="1"/>
        <v>280000</v>
      </c>
    </row>
    <row r="55" spans="1:6" x14ac:dyDescent="0.2">
      <c r="A55">
        <v>17</v>
      </c>
      <c r="B55" s="149">
        <v>0.05</v>
      </c>
      <c r="C55">
        <v>4000</v>
      </c>
      <c r="D55">
        <v>7000</v>
      </c>
      <c r="E55" s="39">
        <f>'Paste Run 2'!CA18</f>
        <v>10000</v>
      </c>
      <c r="F55">
        <f t="shared" si="1"/>
        <v>301000</v>
      </c>
    </row>
    <row r="56" spans="1:6" x14ac:dyDescent="0.2">
      <c r="A56">
        <v>18</v>
      </c>
      <c r="B56" s="147">
        <v>13</v>
      </c>
      <c r="C56">
        <v>4000</v>
      </c>
      <c r="D56">
        <v>7000</v>
      </c>
      <c r="E56" s="39">
        <f>'Paste Run 2'!CA19</f>
        <v>2000</v>
      </c>
      <c r="F56">
        <f t="shared" si="1"/>
        <v>314000</v>
      </c>
    </row>
    <row r="57" spans="1:6" x14ac:dyDescent="0.2">
      <c r="A57">
        <v>19</v>
      </c>
      <c r="B57" s="148">
        <v>70</v>
      </c>
      <c r="C57">
        <v>4000</v>
      </c>
      <c r="D57">
        <v>7000</v>
      </c>
      <c r="E57" s="39">
        <f>'Paste Run 2'!CA20</f>
        <v>4000</v>
      </c>
      <c r="F57">
        <f t="shared" si="1"/>
        <v>329000</v>
      </c>
    </row>
    <row r="58" spans="1:6" x14ac:dyDescent="0.2">
      <c r="A58">
        <v>20</v>
      </c>
      <c r="B58" s="147">
        <v>11</v>
      </c>
      <c r="C58">
        <v>4000</v>
      </c>
      <c r="D58">
        <v>7000</v>
      </c>
      <c r="E58" s="39">
        <f>'Paste Run 2'!CA21</f>
        <v>4000</v>
      </c>
      <c r="F58">
        <f t="shared" si="1"/>
        <v>344000</v>
      </c>
    </row>
    <row r="59" spans="1:6" x14ac:dyDescent="0.2">
      <c r="A59">
        <v>21</v>
      </c>
      <c r="B59" s="148">
        <v>30</v>
      </c>
      <c r="C59">
        <v>4000</v>
      </c>
      <c r="D59">
        <v>7000</v>
      </c>
      <c r="E59" s="39">
        <f>'Paste Run 2'!CA22</f>
        <v>2000</v>
      </c>
      <c r="F59">
        <f t="shared" si="1"/>
        <v>357000</v>
      </c>
    </row>
    <row r="60" spans="1:6" x14ac:dyDescent="0.2">
      <c r="A60">
        <v>22</v>
      </c>
      <c r="B60" s="147">
        <v>9</v>
      </c>
      <c r="C60">
        <v>4000</v>
      </c>
      <c r="D60">
        <v>7000</v>
      </c>
      <c r="E60" s="39">
        <f>'Paste Run 2'!CA23</f>
        <v>10000</v>
      </c>
      <c r="F60">
        <f t="shared" si="1"/>
        <v>378000</v>
      </c>
    </row>
    <row r="61" spans="1:6" x14ac:dyDescent="0.2">
      <c r="A61">
        <v>23</v>
      </c>
      <c r="B61" s="149">
        <v>0</v>
      </c>
      <c r="C61">
        <v>4000</v>
      </c>
      <c r="D61">
        <v>7000</v>
      </c>
      <c r="E61" s="39">
        <f>'Paste Run 2'!CA24</f>
        <v>4000</v>
      </c>
      <c r="F61">
        <f t="shared" si="1"/>
        <v>393000</v>
      </c>
    </row>
    <row r="62" spans="1:6" x14ac:dyDescent="0.2">
      <c r="A62">
        <v>24</v>
      </c>
      <c r="B62" s="147">
        <v>11</v>
      </c>
      <c r="C62">
        <v>4000</v>
      </c>
      <c r="D62">
        <v>7000</v>
      </c>
      <c r="E62" s="39">
        <f>'Paste Run 2'!CA25</f>
        <v>2000</v>
      </c>
      <c r="F62">
        <f t="shared" si="1"/>
        <v>406000</v>
      </c>
    </row>
    <row r="63" spans="1:6" x14ac:dyDescent="0.2">
      <c r="A63">
        <v>25</v>
      </c>
      <c r="B63" s="148">
        <v>80</v>
      </c>
      <c r="C63">
        <v>4000</v>
      </c>
      <c r="D63">
        <v>7000</v>
      </c>
      <c r="E63" s="39">
        <f>'Paste Run 2'!CA26</f>
        <v>4000</v>
      </c>
      <c r="F63">
        <f t="shared" si="1"/>
        <v>421000</v>
      </c>
    </row>
    <row r="64" spans="1:6" x14ac:dyDescent="0.2">
      <c r="A64">
        <v>26</v>
      </c>
      <c r="B64" s="149">
        <v>0.03</v>
      </c>
      <c r="C64">
        <v>4000</v>
      </c>
      <c r="D64">
        <v>7000</v>
      </c>
      <c r="E64" s="39">
        <f>'Paste Run 2'!CA27</f>
        <v>6000</v>
      </c>
      <c r="F64">
        <f t="shared" si="1"/>
        <v>438000</v>
      </c>
    </row>
    <row r="65" spans="1:6" x14ac:dyDescent="0.2">
      <c r="A65">
        <v>27</v>
      </c>
      <c r="B65" s="148">
        <v>40</v>
      </c>
      <c r="C65">
        <v>4000</v>
      </c>
      <c r="D65">
        <v>7000</v>
      </c>
      <c r="E65" s="39">
        <f>'Paste Run 2'!CA28</f>
        <v>4000</v>
      </c>
      <c r="F65">
        <f t="shared" si="1"/>
        <v>453000</v>
      </c>
    </row>
    <row r="66" spans="1:6" x14ac:dyDescent="0.2">
      <c r="A66">
        <v>28</v>
      </c>
      <c r="B66" s="149">
        <v>0.05</v>
      </c>
      <c r="C66">
        <v>4000</v>
      </c>
      <c r="D66">
        <v>7000</v>
      </c>
      <c r="E66" s="39">
        <f>'Paste Run 2'!CA29</f>
        <v>12000</v>
      </c>
      <c r="F66">
        <f t="shared" si="1"/>
        <v>476000</v>
      </c>
    </row>
    <row r="67" spans="1:6" x14ac:dyDescent="0.2">
      <c r="A67">
        <v>29</v>
      </c>
      <c r="B67" s="148">
        <v>60</v>
      </c>
      <c r="C67">
        <v>4000</v>
      </c>
      <c r="D67">
        <v>7000</v>
      </c>
      <c r="E67" s="39">
        <f>'Paste Run 2'!CA30</f>
        <v>2000</v>
      </c>
      <c r="F67">
        <f t="shared" si="1"/>
        <v>489000</v>
      </c>
    </row>
    <row r="68" spans="1:6" ht="16" thickBot="1" x14ac:dyDescent="0.25">
      <c r="A68">
        <v>30</v>
      </c>
      <c r="B68" s="150">
        <v>5</v>
      </c>
      <c r="C68">
        <v>4000</v>
      </c>
      <c r="D68">
        <v>7000</v>
      </c>
      <c r="E68" s="39">
        <f>'Paste Run 2'!CA31</f>
        <v>4000</v>
      </c>
      <c r="F68">
        <f t="shared" si="1"/>
        <v>504000</v>
      </c>
    </row>
    <row r="70" spans="1:6" x14ac:dyDescent="0.2">
      <c r="A70" t="s">
        <v>7</v>
      </c>
    </row>
    <row r="71" spans="1:6" x14ac:dyDescent="0.2">
      <c r="A71" t="s">
        <v>37</v>
      </c>
      <c r="B71" t="s">
        <v>13</v>
      </c>
      <c r="C71" t="s">
        <v>38</v>
      </c>
      <c r="D71" t="s">
        <v>39</v>
      </c>
      <c r="E71" t="s">
        <v>2</v>
      </c>
    </row>
    <row r="72" spans="1:6" ht="16" thickBot="1" x14ac:dyDescent="0.25">
      <c r="A72" t="s">
        <v>41</v>
      </c>
      <c r="C72">
        <v>6000</v>
      </c>
      <c r="D72" t="s">
        <v>42</v>
      </c>
      <c r="E72" t="s">
        <v>42</v>
      </c>
      <c r="F72">
        <f>SUM(C72:E72)</f>
        <v>6000</v>
      </c>
    </row>
    <row r="73" spans="1:6" x14ac:dyDescent="0.2">
      <c r="A73">
        <v>1</v>
      </c>
      <c r="B73" s="151">
        <v>0</v>
      </c>
      <c r="C73">
        <v>4000</v>
      </c>
      <c r="D73">
        <v>7000</v>
      </c>
      <c r="E73" s="39">
        <f>'Paste Run 3'!CA2</f>
        <v>6000</v>
      </c>
      <c r="F73">
        <f>F72+C73+D73+E73</f>
        <v>23000</v>
      </c>
    </row>
    <row r="74" spans="1:6" x14ac:dyDescent="0.2">
      <c r="A74">
        <v>2</v>
      </c>
      <c r="B74" s="152">
        <v>7</v>
      </c>
      <c r="C74">
        <v>4000</v>
      </c>
      <c r="D74">
        <v>7000</v>
      </c>
      <c r="E74" s="39">
        <f>'Paste Run 3'!CA3</f>
        <v>12000</v>
      </c>
      <c r="F74">
        <f t="shared" ref="F74:F102" si="2">F73+C74+D74+E74</f>
        <v>46000</v>
      </c>
    </row>
    <row r="75" spans="1:6" x14ac:dyDescent="0.2">
      <c r="A75">
        <v>3</v>
      </c>
      <c r="B75" s="153">
        <v>60</v>
      </c>
      <c r="C75">
        <v>4000</v>
      </c>
      <c r="D75">
        <v>7000</v>
      </c>
      <c r="E75" s="39">
        <f>'Paste Run 3'!CA4</f>
        <v>8000</v>
      </c>
      <c r="F75">
        <f t="shared" si="2"/>
        <v>65000</v>
      </c>
    </row>
    <row r="76" spans="1:6" x14ac:dyDescent="0.2">
      <c r="A76">
        <v>4</v>
      </c>
      <c r="B76" s="154">
        <v>0.02</v>
      </c>
      <c r="C76">
        <v>4000</v>
      </c>
      <c r="D76">
        <v>7000</v>
      </c>
      <c r="E76" s="39">
        <f>'Paste Run 3'!CA5</f>
        <v>4000</v>
      </c>
      <c r="F76">
        <f t="shared" si="2"/>
        <v>80000</v>
      </c>
    </row>
    <row r="77" spans="1:6" x14ac:dyDescent="0.2">
      <c r="A77">
        <v>5</v>
      </c>
      <c r="B77" s="152">
        <v>15</v>
      </c>
      <c r="C77">
        <v>4000</v>
      </c>
      <c r="D77">
        <v>7000</v>
      </c>
      <c r="E77" s="39">
        <f>'Paste Run 3'!CA6</f>
        <v>4000</v>
      </c>
      <c r="F77">
        <f t="shared" si="2"/>
        <v>95000</v>
      </c>
    </row>
    <row r="78" spans="1:6" x14ac:dyDescent="0.2">
      <c r="A78">
        <v>6</v>
      </c>
      <c r="B78" s="154">
        <v>0.03</v>
      </c>
      <c r="C78">
        <v>4000</v>
      </c>
      <c r="D78">
        <v>7000</v>
      </c>
      <c r="E78" s="39">
        <f>'Paste Run 3'!CA7</f>
        <v>2000</v>
      </c>
      <c r="F78">
        <f t="shared" si="2"/>
        <v>108000</v>
      </c>
    </row>
    <row r="79" spans="1:6" x14ac:dyDescent="0.2">
      <c r="A79">
        <v>7</v>
      </c>
      <c r="B79" s="154">
        <v>0</v>
      </c>
      <c r="C79">
        <v>4000</v>
      </c>
      <c r="D79">
        <v>7000</v>
      </c>
      <c r="E79" s="39">
        <f>'Paste Run 3'!CA8</f>
        <v>8000</v>
      </c>
      <c r="F79">
        <f t="shared" si="2"/>
        <v>127000</v>
      </c>
    </row>
    <row r="80" spans="1:6" x14ac:dyDescent="0.2">
      <c r="A80">
        <v>8</v>
      </c>
      <c r="B80" s="152">
        <v>11</v>
      </c>
      <c r="C80">
        <v>4000</v>
      </c>
      <c r="D80">
        <v>7000</v>
      </c>
      <c r="E80" s="39">
        <f>'Paste Run 3'!CA9</f>
        <v>8000</v>
      </c>
      <c r="F80">
        <f t="shared" si="2"/>
        <v>146000</v>
      </c>
    </row>
    <row r="81" spans="1:6" x14ac:dyDescent="0.2">
      <c r="A81">
        <v>9</v>
      </c>
      <c r="B81" s="153">
        <v>70</v>
      </c>
      <c r="C81">
        <v>4000</v>
      </c>
      <c r="D81">
        <v>7000</v>
      </c>
      <c r="E81" s="39">
        <f>'Paste Run 3'!CA10</f>
        <v>10000</v>
      </c>
      <c r="F81">
        <f t="shared" si="2"/>
        <v>167000</v>
      </c>
    </row>
    <row r="82" spans="1:6" x14ac:dyDescent="0.2">
      <c r="A82">
        <v>10</v>
      </c>
      <c r="B82" s="154">
        <v>0.04</v>
      </c>
      <c r="C82">
        <v>4000</v>
      </c>
      <c r="D82">
        <v>7000</v>
      </c>
      <c r="E82" s="39">
        <f>'Paste Run 3'!CA11</f>
        <v>4000</v>
      </c>
      <c r="F82">
        <f t="shared" si="2"/>
        <v>182000</v>
      </c>
    </row>
    <row r="83" spans="1:6" x14ac:dyDescent="0.2">
      <c r="A83">
        <v>11</v>
      </c>
      <c r="B83" s="153">
        <v>60</v>
      </c>
      <c r="C83">
        <v>4000</v>
      </c>
      <c r="D83">
        <v>7000</v>
      </c>
      <c r="E83" s="39">
        <f>'Paste Run 3'!CA12</f>
        <v>4000</v>
      </c>
      <c r="F83">
        <f t="shared" si="2"/>
        <v>197000</v>
      </c>
    </row>
    <row r="84" spans="1:6" x14ac:dyDescent="0.2">
      <c r="A84">
        <v>12</v>
      </c>
      <c r="B84" s="154">
        <v>0</v>
      </c>
      <c r="C84">
        <v>4000</v>
      </c>
      <c r="D84">
        <v>7000</v>
      </c>
      <c r="E84" s="39">
        <f>'Paste Run 3'!CA13</f>
        <v>2000</v>
      </c>
      <c r="F84">
        <f t="shared" si="2"/>
        <v>210000</v>
      </c>
    </row>
    <row r="85" spans="1:6" x14ac:dyDescent="0.2">
      <c r="A85">
        <v>13</v>
      </c>
      <c r="B85" s="152">
        <v>5</v>
      </c>
      <c r="C85">
        <v>4000</v>
      </c>
      <c r="D85">
        <v>7000</v>
      </c>
      <c r="E85" s="39">
        <f>'Paste Run 3'!CA14</f>
        <v>12000</v>
      </c>
      <c r="F85">
        <f t="shared" si="2"/>
        <v>233000</v>
      </c>
    </row>
    <row r="86" spans="1:6" x14ac:dyDescent="0.2">
      <c r="A86">
        <v>14</v>
      </c>
      <c r="B86" s="154">
        <v>0.05</v>
      </c>
      <c r="C86">
        <v>4000</v>
      </c>
      <c r="D86">
        <v>7000</v>
      </c>
      <c r="E86" s="39">
        <f>'Paste Run 3'!CA15</f>
        <v>4000</v>
      </c>
      <c r="F86">
        <f t="shared" si="2"/>
        <v>248000</v>
      </c>
    </row>
    <row r="87" spans="1:6" x14ac:dyDescent="0.2">
      <c r="A87">
        <v>15</v>
      </c>
      <c r="B87" s="153">
        <v>50</v>
      </c>
      <c r="C87">
        <v>4000</v>
      </c>
      <c r="D87">
        <v>7000</v>
      </c>
      <c r="E87" s="39">
        <f>'Paste Run 3'!CA16</f>
        <v>6000</v>
      </c>
      <c r="F87">
        <f t="shared" si="2"/>
        <v>265000</v>
      </c>
    </row>
    <row r="88" spans="1:6" x14ac:dyDescent="0.2">
      <c r="A88">
        <v>16</v>
      </c>
      <c r="B88" s="152">
        <v>11</v>
      </c>
      <c r="C88">
        <v>4000</v>
      </c>
      <c r="D88">
        <v>7000</v>
      </c>
      <c r="E88" s="39">
        <f>'Paste Run 3'!CA17</f>
        <v>4000</v>
      </c>
      <c r="F88">
        <f t="shared" si="2"/>
        <v>280000</v>
      </c>
    </row>
    <row r="89" spans="1:6" x14ac:dyDescent="0.2">
      <c r="A89">
        <v>17</v>
      </c>
      <c r="B89" s="154">
        <v>0.03</v>
      </c>
      <c r="C89">
        <v>4000</v>
      </c>
      <c r="D89">
        <v>7000</v>
      </c>
      <c r="E89" s="39">
        <f>'Paste Run 3'!CA18</f>
        <v>10000</v>
      </c>
      <c r="F89">
        <f t="shared" si="2"/>
        <v>301000</v>
      </c>
    </row>
    <row r="90" spans="1:6" x14ac:dyDescent="0.2">
      <c r="A90">
        <v>18</v>
      </c>
      <c r="B90" s="154">
        <v>0.01</v>
      </c>
      <c r="C90">
        <v>4000</v>
      </c>
      <c r="D90">
        <v>7000</v>
      </c>
      <c r="E90" s="39">
        <f>'Paste Run 3'!CA19</f>
        <v>2000</v>
      </c>
      <c r="F90">
        <f t="shared" si="2"/>
        <v>314000</v>
      </c>
    </row>
    <row r="91" spans="1:6" x14ac:dyDescent="0.2">
      <c r="A91">
        <v>19</v>
      </c>
      <c r="B91" s="154">
        <v>0.02</v>
      </c>
      <c r="C91">
        <v>4000</v>
      </c>
      <c r="D91">
        <v>7000</v>
      </c>
      <c r="E91" s="39">
        <f>'Paste Run 3'!CA20</f>
        <v>4000</v>
      </c>
      <c r="F91">
        <f t="shared" si="2"/>
        <v>329000</v>
      </c>
    </row>
    <row r="92" spans="1:6" x14ac:dyDescent="0.2">
      <c r="A92">
        <v>20</v>
      </c>
      <c r="B92" s="152">
        <v>15</v>
      </c>
      <c r="C92">
        <v>4000</v>
      </c>
      <c r="D92">
        <v>7000</v>
      </c>
      <c r="E92" s="39">
        <f>'Paste Run 3'!CA21</f>
        <v>4000</v>
      </c>
      <c r="F92">
        <f t="shared" si="2"/>
        <v>344000</v>
      </c>
    </row>
    <row r="93" spans="1:6" x14ac:dyDescent="0.2">
      <c r="A93">
        <v>21</v>
      </c>
      <c r="B93" s="154">
        <v>0.03</v>
      </c>
      <c r="C93">
        <v>4000</v>
      </c>
      <c r="D93">
        <v>7000</v>
      </c>
      <c r="E93" s="39">
        <f>'Paste Run 3'!CA22</f>
        <v>2000</v>
      </c>
      <c r="F93">
        <f t="shared" si="2"/>
        <v>357000</v>
      </c>
    </row>
    <row r="94" spans="1:6" x14ac:dyDescent="0.2">
      <c r="A94">
        <v>22</v>
      </c>
      <c r="B94" s="152">
        <v>9</v>
      </c>
      <c r="C94">
        <v>4000</v>
      </c>
      <c r="D94">
        <v>7000</v>
      </c>
      <c r="E94" s="39">
        <f>'Paste Run 3'!CA23</f>
        <v>10000</v>
      </c>
      <c r="F94">
        <f t="shared" si="2"/>
        <v>378000</v>
      </c>
    </row>
    <row r="95" spans="1:6" x14ac:dyDescent="0.2">
      <c r="A95">
        <v>23</v>
      </c>
      <c r="B95" s="154">
        <v>0.04</v>
      </c>
      <c r="C95">
        <v>4000</v>
      </c>
      <c r="D95">
        <v>7000</v>
      </c>
      <c r="E95" s="39">
        <f>'Paste Run 3'!CA24</f>
        <v>4000</v>
      </c>
      <c r="F95">
        <f t="shared" si="2"/>
        <v>393000</v>
      </c>
    </row>
    <row r="96" spans="1:6" x14ac:dyDescent="0.2">
      <c r="A96">
        <v>24</v>
      </c>
      <c r="B96" s="152">
        <v>13</v>
      </c>
      <c r="C96">
        <v>4000</v>
      </c>
      <c r="D96">
        <v>7000</v>
      </c>
      <c r="E96" s="39">
        <f>'Paste Run 3'!CA25</f>
        <v>2000</v>
      </c>
      <c r="F96">
        <f t="shared" si="2"/>
        <v>406000</v>
      </c>
    </row>
    <row r="97" spans="1:6" x14ac:dyDescent="0.2">
      <c r="A97">
        <v>25</v>
      </c>
      <c r="B97" s="154">
        <v>0.01</v>
      </c>
      <c r="C97">
        <v>4000</v>
      </c>
      <c r="D97">
        <v>7000</v>
      </c>
      <c r="E97" s="39">
        <f>'Paste Run 3'!CA26</f>
        <v>4000</v>
      </c>
      <c r="F97">
        <f t="shared" si="2"/>
        <v>421000</v>
      </c>
    </row>
    <row r="98" spans="1:6" x14ac:dyDescent="0.2">
      <c r="A98">
        <v>26</v>
      </c>
      <c r="B98" s="154">
        <v>0.02</v>
      </c>
      <c r="C98">
        <v>4000</v>
      </c>
      <c r="D98">
        <v>7000</v>
      </c>
      <c r="E98" s="39">
        <f>'Paste Run 3'!CA27</f>
        <v>6000</v>
      </c>
      <c r="F98">
        <f t="shared" si="2"/>
        <v>438000</v>
      </c>
    </row>
    <row r="99" spans="1:6" x14ac:dyDescent="0.2">
      <c r="A99">
        <v>27</v>
      </c>
      <c r="B99" s="153">
        <v>70</v>
      </c>
      <c r="C99">
        <v>4000</v>
      </c>
      <c r="D99">
        <v>7000</v>
      </c>
      <c r="E99" s="39">
        <f>'Paste Run 3'!CA28</f>
        <v>4000</v>
      </c>
      <c r="F99">
        <f t="shared" si="2"/>
        <v>453000</v>
      </c>
    </row>
    <row r="100" spans="1:6" x14ac:dyDescent="0.2">
      <c r="A100">
        <v>28</v>
      </c>
      <c r="B100" s="154">
        <v>0.01</v>
      </c>
      <c r="C100">
        <v>4000</v>
      </c>
      <c r="D100">
        <v>7000</v>
      </c>
      <c r="E100" s="39">
        <f>'Paste Run 3'!CA29</f>
        <v>12000</v>
      </c>
      <c r="F100">
        <f t="shared" si="2"/>
        <v>476000</v>
      </c>
    </row>
    <row r="101" spans="1:6" x14ac:dyDescent="0.2">
      <c r="A101">
        <v>29</v>
      </c>
      <c r="B101" s="153">
        <v>30</v>
      </c>
      <c r="C101">
        <v>4000</v>
      </c>
      <c r="D101">
        <v>7000</v>
      </c>
      <c r="E101" s="39">
        <f>'Paste Run 3'!CA30</f>
        <v>2000</v>
      </c>
      <c r="F101">
        <f t="shared" si="2"/>
        <v>489000</v>
      </c>
    </row>
    <row r="102" spans="1:6" ht="16" thickBot="1" x14ac:dyDescent="0.25">
      <c r="A102">
        <v>30</v>
      </c>
      <c r="B102" s="161">
        <v>0.05</v>
      </c>
      <c r="C102">
        <v>4000</v>
      </c>
      <c r="D102">
        <v>7000</v>
      </c>
      <c r="E102" s="39">
        <f>'Paste Run 3'!CA31</f>
        <v>4000</v>
      </c>
      <c r="F102">
        <f t="shared" si="2"/>
        <v>504000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0"/>
  <sheetViews>
    <sheetView zoomScale="90" zoomScaleNormal="90" zoomScalePageLayoutView="90" workbookViewId="0">
      <selection activeCell="X2" sqref="X2:Z32"/>
    </sheetView>
  </sheetViews>
  <sheetFormatPr baseColWidth="10" defaultColWidth="8.83203125" defaultRowHeight="15" x14ac:dyDescent="0.2"/>
  <cols>
    <col min="1" max="1" width="16.83203125" customWidth="1"/>
    <col min="3" max="3" width="12.5" customWidth="1"/>
    <col min="4" max="4" width="16.6640625" customWidth="1"/>
    <col min="6" max="8" width="8.83203125" style="50"/>
    <col min="9" max="9" width="8.83203125" style="47"/>
    <col min="10" max="10" width="18.6640625" bestFit="1" customWidth="1"/>
    <col min="15" max="17" width="8.83203125" style="50"/>
    <col min="18" max="18" width="8.83203125" style="47"/>
    <col min="19" max="19" width="14.6640625" bestFit="1" customWidth="1"/>
    <col min="24" max="26" width="8.83203125" style="50"/>
  </cols>
  <sheetData>
    <row r="1" spans="1:26" x14ac:dyDescent="0.2">
      <c r="A1" s="40" t="s">
        <v>10</v>
      </c>
      <c r="B1" s="40"/>
      <c r="C1" s="40"/>
      <c r="D1" s="40"/>
      <c r="E1" s="40"/>
      <c r="J1" s="48" t="s">
        <v>11</v>
      </c>
      <c r="K1" s="48"/>
      <c r="L1" s="48"/>
      <c r="M1" s="48"/>
      <c r="N1" s="48"/>
      <c r="S1" s="42" t="s">
        <v>12</v>
      </c>
      <c r="T1" s="42"/>
      <c r="U1" s="42"/>
      <c r="V1" s="42"/>
      <c r="W1" s="42"/>
    </row>
    <row r="2" spans="1:26" ht="16" thickBot="1" x14ac:dyDescent="0.25">
      <c r="A2" t="s">
        <v>44</v>
      </c>
      <c r="B2" t="s">
        <v>3</v>
      </c>
      <c r="C2" t="s">
        <v>45</v>
      </c>
      <c r="D2" t="s">
        <v>46</v>
      </c>
      <c r="E2" t="s">
        <v>47</v>
      </c>
      <c r="F2" s="50" t="s">
        <v>48</v>
      </c>
      <c r="G2" s="50" t="s">
        <v>49</v>
      </c>
      <c r="H2" s="50" t="s">
        <v>126</v>
      </c>
      <c r="I2" s="47" t="s">
        <v>48</v>
      </c>
      <c r="J2" t="s">
        <v>44</v>
      </c>
      <c r="K2" t="s">
        <v>3</v>
      </c>
      <c r="L2" t="s">
        <v>45</v>
      </c>
      <c r="M2" t="s">
        <v>46</v>
      </c>
      <c r="N2" t="s">
        <v>47</v>
      </c>
      <c r="O2" s="50" t="s">
        <v>48</v>
      </c>
      <c r="P2" s="50" t="s">
        <v>49</v>
      </c>
      <c r="Q2" s="50" t="s">
        <v>126</v>
      </c>
      <c r="S2" t="s">
        <v>44</v>
      </c>
      <c r="T2" t="s">
        <v>3</v>
      </c>
      <c r="U2" t="s">
        <v>45</v>
      </c>
      <c r="V2" t="s">
        <v>46</v>
      </c>
      <c r="W2" t="s">
        <v>47</v>
      </c>
      <c r="X2" s="50" t="s">
        <v>48</v>
      </c>
      <c r="Y2" s="50" t="s">
        <v>49</v>
      </c>
      <c r="Z2" s="50" t="s">
        <v>126</v>
      </c>
    </row>
    <row r="3" spans="1:26" x14ac:dyDescent="0.2">
      <c r="A3">
        <f>'Combined R1-R3'!E6</f>
        <v>1</v>
      </c>
      <c r="B3" s="142">
        <v>0.01</v>
      </c>
      <c r="C3">
        <f>'Paste Run 1'!DK2</f>
        <v>28114</v>
      </c>
      <c r="D3">
        <f>'Paste Run 1'!BP2</f>
        <v>32874</v>
      </c>
      <c r="E3">
        <f>IF('Combined R1-R3'!G6&lt;&gt;"?",D3-C3,"xxx")</f>
        <v>4760</v>
      </c>
      <c r="F3" s="50">
        <f>7000-E3</f>
        <v>2240</v>
      </c>
      <c r="G3" s="50" t="str">
        <f>IF(E3&lt;5000,"Yes","No")</f>
        <v>Yes</v>
      </c>
      <c r="H3" s="50" t="str">
        <f>IF(E3&lt;&gt;"xxx",IF(E3&gt;7000,"OVER","xx"),"xx")</f>
        <v>xx</v>
      </c>
      <c r="J3">
        <f>'Combined R1-R3'!I6</f>
        <v>1</v>
      </c>
      <c r="K3" s="146">
        <v>0.03</v>
      </c>
      <c r="L3">
        <f>'Paste Run 2'!DK2</f>
        <v>28485</v>
      </c>
      <c r="M3">
        <f>'Paste Run 2'!BP2</f>
        <v>31303</v>
      </c>
      <c r="N3">
        <f>IF('Combined R1-R3'!K6&lt;&gt;"?",M3-L3,"xxx")</f>
        <v>2818</v>
      </c>
      <c r="O3" s="50">
        <f>7000-N3</f>
        <v>4182</v>
      </c>
      <c r="P3" s="50" t="str">
        <f>IF(N3&lt;5000,"Yes","No")</f>
        <v>Yes</v>
      </c>
      <c r="Q3" s="50" t="str">
        <f>IF(N3&lt;&gt;"xxx",IF(N3&gt;7000,"OVER","xx"),"xx")</f>
        <v>xx</v>
      </c>
      <c r="S3">
        <f>'Combined R1-R3'!M6</f>
        <v>1</v>
      </c>
      <c r="T3" s="151">
        <v>0</v>
      </c>
      <c r="U3">
        <f>'Paste Run 3'!DK2</f>
        <v>30419</v>
      </c>
      <c r="V3">
        <f>'Paste Run 3'!BP2</f>
        <v>33089</v>
      </c>
      <c r="W3">
        <f>IF('Combined R1-R3'!O6&lt;&gt;"?",V3-U3,"xxx")</f>
        <v>2670</v>
      </c>
      <c r="X3" s="50">
        <f>7000-W3</f>
        <v>4330</v>
      </c>
      <c r="Y3" s="50" t="str">
        <f>IF(W3&lt;5000,"Yes","No")</f>
        <v>Yes</v>
      </c>
      <c r="Z3" s="50" t="str">
        <f>IF(W3&lt;&gt;"xxx",IF(W3&gt;7000,"OVER","xx"),"xx")</f>
        <v>xx</v>
      </c>
    </row>
    <row r="4" spans="1:26" x14ac:dyDescent="0.2">
      <c r="A4">
        <f>'Combined R1-R3'!E7</f>
        <v>2</v>
      </c>
      <c r="B4" s="11">
        <v>5</v>
      </c>
      <c r="C4">
        <f>'Paste Run 1'!DK3</f>
        <v>45111</v>
      </c>
      <c r="D4">
        <f>'Paste Run 1'!BP3</f>
        <v>48793</v>
      </c>
      <c r="E4">
        <f>IF('Combined R1-R3'!G7&lt;&gt;"?",D4-C4,"xxx")</f>
        <v>3682</v>
      </c>
      <c r="F4" s="50">
        <f t="shared" ref="F4:F32" si="0">7000-E4</f>
        <v>3318</v>
      </c>
      <c r="G4" s="50" t="str">
        <f t="shared" ref="G4:G32" si="1">IF(E4&lt;5000,"Yes","No")</f>
        <v>Yes</v>
      </c>
      <c r="H4" s="50" t="str">
        <f t="shared" ref="H4:H32" si="2">IF(E4&lt;&gt;"xxx",IF(E4&gt;7000,"OVER","xx"),"xx")</f>
        <v>xx</v>
      </c>
      <c r="J4">
        <f>'Combined R1-R3'!I7</f>
        <v>2</v>
      </c>
      <c r="K4" s="147">
        <v>5</v>
      </c>
      <c r="L4">
        <f>'Paste Run 2'!DK3</f>
        <v>45481</v>
      </c>
      <c r="M4">
        <f>'Paste Run 2'!BP3</f>
        <v>47781</v>
      </c>
      <c r="N4">
        <f>IF('Combined R1-R3'!K7&lt;&gt;"?",M4-L4,"xxx")</f>
        <v>2300</v>
      </c>
      <c r="O4" s="50">
        <f t="shared" ref="O4:O32" si="3">7000-N4</f>
        <v>4700</v>
      </c>
      <c r="P4" s="50" t="str">
        <f t="shared" ref="P4:P32" si="4">IF(N4&lt;5000,"Yes","No")</f>
        <v>Yes</v>
      </c>
      <c r="Q4" s="50" t="str">
        <f t="shared" ref="Q4:Q32" si="5">IF(N4&lt;&gt;"xxx",IF(N4&gt;7000,"OVER","xx"),"xx")</f>
        <v>xx</v>
      </c>
      <c r="S4">
        <f>'Combined R1-R3'!M7</f>
        <v>2</v>
      </c>
      <c r="T4" s="152">
        <v>7</v>
      </c>
      <c r="U4">
        <f>'Paste Run 3'!DK3</f>
        <v>47415</v>
      </c>
      <c r="V4">
        <f>'Paste Run 3'!BP3</f>
        <v>48520</v>
      </c>
      <c r="W4">
        <f>IF('Combined R1-R3'!O7&lt;&gt;"?",V4-U4,"xxx")</f>
        <v>1105</v>
      </c>
      <c r="X4" s="50">
        <f t="shared" ref="X4:X32" si="6">7000-W4</f>
        <v>5895</v>
      </c>
      <c r="Y4" s="50" t="str">
        <f t="shared" ref="Y4:Y32" si="7">IF(W4&lt;5000,"Yes","No")</f>
        <v>Yes</v>
      </c>
      <c r="Z4" s="50" t="str">
        <f t="shared" ref="Z4:Z32" si="8">IF(W4&lt;&gt;"xxx",IF(W4&gt;7000,"OVER","xx"),"xx")</f>
        <v>xx</v>
      </c>
    </row>
    <row r="5" spans="1:26" x14ac:dyDescent="0.2">
      <c r="A5">
        <f>'Combined R1-R3'!E8</f>
        <v>3</v>
      </c>
      <c r="B5" s="12">
        <v>50</v>
      </c>
      <c r="C5">
        <f>'Paste Run 1'!DK4</f>
        <v>68111</v>
      </c>
      <c r="D5">
        <f>'Paste Run 1'!BP4</f>
        <v>71927</v>
      </c>
      <c r="E5">
        <f>IF('Combined R1-R3'!G8&lt;&gt;"?",D5-C5,"xxx")</f>
        <v>3816</v>
      </c>
      <c r="F5" s="50">
        <f t="shared" si="0"/>
        <v>3184</v>
      </c>
      <c r="G5" s="50" t="str">
        <f t="shared" si="1"/>
        <v>Yes</v>
      </c>
      <c r="H5" s="50" t="str">
        <f t="shared" si="2"/>
        <v>xx</v>
      </c>
      <c r="J5">
        <f>'Combined R1-R3'!I8</f>
        <v>3</v>
      </c>
      <c r="K5" s="148">
        <v>80</v>
      </c>
      <c r="L5">
        <f>'Paste Run 2'!DK4</f>
        <v>68481</v>
      </c>
      <c r="M5">
        <f>'Paste Run 2'!BP4</f>
        <v>70996</v>
      </c>
      <c r="N5">
        <f>IF('Combined R1-R3'!K8&lt;&gt;"?",M5-L5,"xxx")</f>
        <v>2515</v>
      </c>
      <c r="O5" s="50">
        <f t="shared" si="3"/>
        <v>4485</v>
      </c>
      <c r="P5" s="50" t="str">
        <f t="shared" si="4"/>
        <v>Yes</v>
      </c>
      <c r="Q5" s="50" t="str">
        <f t="shared" si="5"/>
        <v>xx</v>
      </c>
      <c r="S5">
        <f>'Combined R1-R3'!M8</f>
        <v>3</v>
      </c>
      <c r="T5" s="153">
        <v>60</v>
      </c>
      <c r="U5">
        <f>'Paste Run 3'!DK4</f>
        <v>70416</v>
      </c>
      <c r="V5">
        <f>'Paste Run 3'!BP4</f>
        <v>72638</v>
      </c>
      <c r="W5">
        <f>IF('Combined R1-R3'!O8&lt;&gt;"?",V5-U5,"xxx")</f>
        <v>2222</v>
      </c>
      <c r="X5" s="50">
        <f t="shared" si="6"/>
        <v>4778</v>
      </c>
      <c r="Y5" s="50" t="str">
        <f t="shared" si="7"/>
        <v>Yes</v>
      </c>
      <c r="Z5" s="50" t="str">
        <f t="shared" si="8"/>
        <v>xx</v>
      </c>
    </row>
    <row r="6" spans="1:26" x14ac:dyDescent="0.2">
      <c r="A6">
        <f>'Combined R1-R3'!E9</f>
        <v>4</v>
      </c>
      <c r="B6" s="143">
        <v>0</v>
      </c>
      <c r="C6">
        <f>'Paste Run 1'!DK5</f>
        <v>87109</v>
      </c>
      <c r="D6">
        <f>'Paste Run 1'!BP5</f>
        <v>89637</v>
      </c>
      <c r="E6">
        <f>IF('Combined R1-R3'!G9&lt;&gt;"?",D6-C6,"xxx")</f>
        <v>2528</v>
      </c>
      <c r="F6" s="50">
        <f t="shared" si="0"/>
        <v>4472</v>
      </c>
      <c r="G6" s="50" t="str">
        <f t="shared" si="1"/>
        <v>Yes</v>
      </c>
      <c r="H6" s="50" t="str">
        <f t="shared" si="2"/>
        <v>xx</v>
      </c>
      <c r="J6">
        <f>'Combined R1-R3'!I9</f>
        <v>4</v>
      </c>
      <c r="K6" s="149">
        <v>0.01</v>
      </c>
      <c r="L6">
        <f>'Paste Run 2'!DK5</f>
        <v>87479</v>
      </c>
      <c r="M6">
        <f>'Paste Run 2'!BP5</f>
        <v>90010</v>
      </c>
      <c r="N6">
        <f>IF('Combined R1-R3'!K9&lt;&gt;"?",M6-L6,"xxx")</f>
        <v>2531</v>
      </c>
      <c r="O6" s="50">
        <f t="shared" si="3"/>
        <v>4469</v>
      </c>
      <c r="P6" s="50" t="str">
        <f t="shared" si="4"/>
        <v>Yes</v>
      </c>
      <c r="Q6" s="50" t="str">
        <f t="shared" si="5"/>
        <v>xx</v>
      </c>
      <c r="S6">
        <f>'Combined R1-R3'!M9</f>
        <v>4</v>
      </c>
      <c r="T6" s="154">
        <v>0.02</v>
      </c>
      <c r="U6">
        <f>'Paste Run 3'!DK5</f>
        <v>89413</v>
      </c>
      <c r="V6">
        <f>'Paste Run 3'!BP5</f>
        <v>91325</v>
      </c>
      <c r="W6">
        <f>IF('Combined R1-R3'!O9&lt;&gt;"?",V6-U6,"xxx")</f>
        <v>1912</v>
      </c>
      <c r="X6" s="50">
        <f t="shared" si="6"/>
        <v>5088</v>
      </c>
      <c r="Y6" s="50" t="str">
        <f t="shared" si="7"/>
        <v>Yes</v>
      </c>
      <c r="Z6" s="50" t="str">
        <f t="shared" si="8"/>
        <v>xx</v>
      </c>
    </row>
    <row r="7" spans="1:26" x14ac:dyDescent="0.2">
      <c r="A7">
        <f>'Combined R1-R3'!E10</f>
        <v>5</v>
      </c>
      <c r="B7" s="11">
        <v>15</v>
      </c>
      <c r="C7">
        <f>'Paste Run 1'!DK6</f>
        <v>102103</v>
      </c>
      <c r="D7">
        <f>'Paste Run 1'!BP6</f>
        <v>106980</v>
      </c>
      <c r="E7">
        <f>IF('Combined R1-R3'!G10&lt;&gt;"?",D7-C7,"xxx")</f>
        <v>4877</v>
      </c>
      <c r="F7" s="50">
        <f t="shared" si="0"/>
        <v>2123</v>
      </c>
      <c r="G7" s="50" t="str">
        <f t="shared" si="1"/>
        <v>Yes</v>
      </c>
      <c r="H7" s="50" t="str">
        <f t="shared" si="2"/>
        <v>xx</v>
      </c>
      <c r="J7">
        <f>'Combined R1-R3'!I10</f>
        <v>5</v>
      </c>
      <c r="K7" s="147">
        <v>7</v>
      </c>
      <c r="L7">
        <f>'Paste Run 2'!DK6</f>
        <v>102474</v>
      </c>
      <c r="M7">
        <f>'Paste Run 2'!BP6</f>
        <v>104089</v>
      </c>
      <c r="N7">
        <f>IF('Combined R1-R3'!K10&lt;&gt;"?",M7-L7,"xxx")</f>
        <v>1615</v>
      </c>
      <c r="O7" s="50">
        <f t="shared" si="3"/>
        <v>5385</v>
      </c>
      <c r="P7" s="50" t="str">
        <f t="shared" si="4"/>
        <v>Yes</v>
      </c>
      <c r="Q7" s="50" t="str">
        <f t="shared" si="5"/>
        <v>xx</v>
      </c>
      <c r="S7">
        <f>'Combined R1-R3'!M10</f>
        <v>5</v>
      </c>
      <c r="T7" s="152">
        <v>15</v>
      </c>
      <c r="U7">
        <f>'Paste Run 3'!DK6</f>
        <v>104424</v>
      </c>
      <c r="V7">
        <f>'Paste Run 3'!BP6</f>
        <v>106883</v>
      </c>
      <c r="W7">
        <f>IF('Combined R1-R3'!O10&lt;&gt;"?",V7-U7,"xxx")</f>
        <v>2459</v>
      </c>
      <c r="X7" s="50">
        <f t="shared" si="6"/>
        <v>4541</v>
      </c>
      <c r="Y7" s="50" t="str">
        <f t="shared" si="7"/>
        <v>Yes</v>
      </c>
      <c r="Z7" s="50" t="str">
        <f t="shared" si="8"/>
        <v>xx</v>
      </c>
    </row>
    <row r="8" spans="1:26" x14ac:dyDescent="0.2">
      <c r="A8">
        <f>'Combined R1-R3'!E11</f>
        <v>6</v>
      </c>
      <c r="B8" s="143">
        <v>0.05</v>
      </c>
      <c r="C8">
        <f>'Paste Run 1'!DK7</f>
        <v>117115</v>
      </c>
      <c r="D8">
        <f>'Paste Run 1'!BP7</f>
        <v>120771</v>
      </c>
      <c r="E8">
        <f>IF('Combined R1-R3'!G11&lt;&gt;"?",D8-C8,"xxx")</f>
        <v>3656</v>
      </c>
      <c r="F8" s="50">
        <f t="shared" si="0"/>
        <v>3344</v>
      </c>
      <c r="G8" s="50" t="str">
        <f t="shared" si="1"/>
        <v>Yes</v>
      </c>
      <c r="H8" s="50" t="str">
        <f t="shared" si="2"/>
        <v>xx</v>
      </c>
      <c r="J8">
        <f>'Combined R1-R3'!I11</f>
        <v>6</v>
      </c>
      <c r="K8" s="149">
        <v>0.04</v>
      </c>
      <c r="L8">
        <f>'Paste Run 2'!DK7</f>
        <v>117485</v>
      </c>
      <c r="M8">
        <f>'Paste Run 2'!BP7</f>
        <v>119304</v>
      </c>
      <c r="N8">
        <f>IF('Combined R1-R3'!K11&lt;&gt;"?",M8-L8,"xxx")</f>
        <v>1819</v>
      </c>
      <c r="O8" s="50">
        <f t="shared" si="3"/>
        <v>5181</v>
      </c>
      <c r="P8" s="50" t="str">
        <f t="shared" si="4"/>
        <v>Yes</v>
      </c>
      <c r="Q8" s="50" t="str">
        <f t="shared" si="5"/>
        <v>xx</v>
      </c>
      <c r="S8">
        <f>'Combined R1-R3'!M11</f>
        <v>6</v>
      </c>
      <c r="T8" s="154">
        <v>0.03</v>
      </c>
      <c r="U8">
        <f>'Paste Run 3'!DK7</f>
        <v>119419</v>
      </c>
      <c r="V8">
        <f>'Paste Run 3'!BP7</f>
        <v>121146</v>
      </c>
      <c r="W8">
        <f>IF('Combined R1-R3'!O11&lt;&gt;"?",V8-U8,"xxx")</f>
        <v>1727</v>
      </c>
      <c r="X8" s="50">
        <f t="shared" si="6"/>
        <v>5273</v>
      </c>
      <c r="Y8" s="50" t="str">
        <f t="shared" si="7"/>
        <v>Yes</v>
      </c>
      <c r="Z8" s="50" t="str">
        <f t="shared" si="8"/>
        <v>xx</v>
      </c>
    </row>
    <row r="9" spans="1:26" x14ac:dyDescent="0.2">
      <c r="A9">
        <f>'Combined R1-R3'!E12</f>
        <v>7</v>
      </c>
      <c r="B9" s="12">
        <v>40</v>
      </c>
      <c r="C9">
        <f>'Paste Run 1'!DK8</f>
        <v>130108</v>
      </c>
      <c r="D9">
        <f>'Paste Run 1'!BP8</f>
        <v>133722</v>
      </c>
      <c r="E9">
        <f>IF('Combined R1-R3'!G12&lt;&gt;"?",D9-C9,"xxx")</f>
        <v>3614</v>
      </c>
      <c r="F9" s="50">
        <f t="shared" si="0"/>
        <v>3386</v>
      </c>
      <c r="G9" s="50" t="str">
        <f t="shared" si="1"/>
        <v>Yes</v>
      </c>
      <c r="H9" s="50" t="str">
        <f t="shared" si="2"/>
        <v>xx</v>
      </c>
      <c r="J9">
        <f>'Combined R1-R3'!I12</f>
        <v>7</v>
      </c>
      <c r="K9" s="148">
        <v>50</v>
      </c>
      <c r="L9">
        <f>'Paste Run 2'!DK8</f>
        <v>130478</v>
      </c>
      <c r="M9">
        <f>'Paste Run 2'!BP8</f>
        <v>134367</v>
      </c>
      <c r="N9">
        <f>IF('Combined R1-R3'!K12&lt;&gt;"?",M9-L9,"xxx")</f>
        <v>3889</v>
      </c>
      <c r="O9" s="50">
        <f t="shared" si="3"/>
        <v>3111</v>
      </c>
      <c r="P9" s="50" t="str">
        <f t="shared" si="4"/>
        <v>Yes</v>
      </c>
      <c r="Q9" s="50" t="str">
        <f t="shared" si="5"/>
        <v>xx</v>
      </c>
      <c r="S9">
        <f>'Combined R1-R3'!M12</f>
        <v>7</v>
      </c>
      <c r="T9" s="154">
        <v>0</v>
      </c>
      <c r="U9">
        <f>'Paste Run 3'!DK8</f>
        <v>132412</v>
      </c>
      <c r="V9">
        <f>'Paste Run 3'!BP8</f>
        <v>135193</v>
      </c>
      <c r="W9">
        <f>IF('Combined R1-R3'!O12&lt;&gt;"?",V9-U9,"xxx")</f>
        <v>2781</v>
      </c>
      <c r="X9" s="50">
        <f t="shared" si="6"/>
        <v>4219</v>
      </c>
      <c r="Y9" s="50" t="str">
        <f t="shared" si="7"/>
        <v>Yes</v>
      </c>
      <c r="Z9" s="50" t="str">
        <f t="shared" si="8"/>
        <v>xx</v>
      </c>
    </row>
    <row r="10" spans="1:26" x14ac:dyDescent="0.2">
      <c r="A10">
        <f>'Combined R1-R3'!E13</f>
        <v>8</v>
      </c>
      <c r="B10" s="11">
        <v>13</v>
      </c>
      <c r="C10">
        <f>'Paste Run 1'!DK9</f>
        <v>149106</v>
      </c>
      <c r="D10">
        <f>'Paste Run 1'!BP9</f>
        <v>152033</v>
      </c>
      <c r="E10">
        <f>IF('Combined R1-R3'!G13&lt;&gt;"?",D10-C10,"xxx")</f>
        <v>2927</v>
      </c>
      <c r="F10" s="50">
        <f t="shared" si="0"/>
        <v>4073</v>
      </c>
      <c r="G10" s="50" t="str">
        <f t="shared" si="1"/>
        <v>Yes</v>
      </c>
      <c r="H10" s="50" t="str">
        <f t="shared" si="2"/>
        <v>xx</v>
      </c>
      <c r="J10">
        <f>'Combined R1-R3'!I13</f>
        <v>8</v>
      </c>
      <c r="K10" s="147">
        <v>15</v>
      </c>
      <c r="L10">
        <f>'Paste Run 2'!DK9</f>
        <v>149476</v>
      </c>
      <c r="M10">
        <f>'Paste Run 2'!BP9</f>
        <v>151517</v>
      </c>
      <c r="N10">
        <f>IF('Combined R1-R3'!K13&lt;&gt;"?",M10-L10,"xxx")</f>
        <v>2041</v>
      </c>
      <c r="O10" s="50">
        <f t="shared" si="3"/>
        <v>4959</v>
      </c>
      <c r="P10" s="50" t="str">
        <f t="shared" si="4"/>
        <v>Yes</v>
      </c>
      <c r="Q10" s="50" t="str">
        <f t="shared" si="5"/>
        <v>xx</v>
      </c>
      <c r="S10">
        <f>'Combined R1-R3'!M13</f>
        <v>8</v>
      </c>
      <c r="T10" s="152">
        <v>11</v>
      </c>
      <c r="U10">
        <f>'Paste Run 3'!DK9</f>
        <v>151426</v>
      </c>
      <c r="V10">
        <f>'Paste Run 3'!BP9</f>
        <v>154264</v>
      </c>
      <c r="W10">
        <f>IF('Combined R1-R3'!O13&lt;&gt;"?",V10-U10,"xxx")</f>
        <v>2838</v>
      </c>
      <c r="X10" s="50">
        <f t="shared" si="6"/>
        <v>4162</v>
      </c>
      <c r="Y10" s="50" t="str">
        <f t="shared" si="7"/>
        <v>Yes</v>
      </c>
      <c r="Z10" s="50" t="str">
        <f t="shared" si="8"/>
        <v>xx</v>
      </c>
    </row>
    <row r="11" spans="1:26" x14ac:dyDescent="0.2">
      <c r="A11">
        <f>'Combined R1-R3'!E14</f>
        <v>9</v>
      </c>
      <c r="B11" s="12">
        <v>80</v>
      </c>
      <c r="C11">
        <f>'Paste Run 1'!DK10</f>
        <v>168103</v>
      </c>
      <c r="D11">
        <f>'Paste Run 1'!BP10</f>
        <v>171415</v>
      </c>
      <c r="E11">
        <f>IF('Combined R1-R3'!G14&lt;&gt;"?",D11-C11,"xxx")</f>
        <v>3312</v>
      </c>
      <c r="F11" s="50">
        <f t="shared" si="0"/>
        <v>3688</v>
      </c>
      <c r="G11" s="50" t="str">
        <f t="shared" si="1"/>
        <v>Yes</v>
      </c>
      <c r="H11" s="50" t="str">
        <f t="shared" si="2"/>
        <v>xx</v>
      </c>
      <c r="J11">
        <f>'Combined R1-R3'!I14</f>
        <v>9</v>
      </c>
      <c r="K11" s="148">
        <v>50</v>
      </c>
      <c r="L11">
        <f>'Paste Run 2'!DK10</f>
        <v>168473</v>
      </c>
      <c r="M11">
        <f>'Paste Run 2'!BP10</f>
        <v>170756</v>
      </c>
      <c r="N11">
        <f>IF('Combined R1-R3'!K14&lt;&gt;"?",M11-L11,"xxx")</f>
        <v>2283</v>
      </c>
      <c r="O11" s="50">
        <f t="shared" si="3"/>
        <v>4717</v>
      </c>
      <c r="P11" s="50" t="str">
        <f t="shared" si="4"/>
        <v>Yes</v>
      </c>
      <c r="Q11" s="50" t="str">
        <f t="shared" si="5"/>
        <v>xx</v>
      </c>
      <c r="S11">
        <f>'Combined R1-R3'!M14</f>
        <v>9</v>
      </c>
      <c r="T11" s="153">
        <v>70</v>
      </c>
      <c r="U11">
        <f>'Paste Run 3'!DK10</f>
        <v>170424</v>
      </c>
      <c r="V11">
        <f>'Paste Run 3'!BP10</f>
        <v>172710</v>
      </c>
      <c r="W11">
        <f>IF('Combined R1-R3'!O14&lt;&gt;"?",V11-U11,"xxx")</f>
        <v>2286</v>
      </c>
      <c r="X11" s="50">
        <f t="shared" si="6"/>
        <v>4714</v>
      </c>
      <c r="Y11" s="50" t="str">
        <f t="shared" si="7"/>
        <v>Yes</v>
      </c>
      <c r="Z11" s="50" t="str">
        <f t="shared" si="8"/>
        <v>xx</v>
      </c>
    </row>
    <row r="12" spans="1:26" x14ac:dyDescent="0.2">
      <c r="A12">
        <f>'Combined R1-R3'!E15</f>
        <v>10</v>
      </c>
      <c r="B12" s="143">
        <v>0.01</v>
      </c>
      <c r="C12">
        <f>'Paste Run 1'!DK11</f>
        <v>189102</v>
      </c>
      <c r="D12">
        <f>'Paste Run 1'!BP11</f>
        <v>191438</v>
      </c>
      <c r="E12">
        <f>IF('Combined R1-R3'!G15&lt;&gt;"?",D12-C12,"xxx")</f>
        <v>2336</v>
      </c>
      <c r="F12" s="50">
        <f t="shared" si="0"/>
        <v>4664</v>
      </c>
      <c r="G12" s="50" t="str">
        <f t="shared" si="1"/>
        <v>Yes</v>
      </c>
      <c r="H12" s="50" t="str">
        <f t="shared" si="2"/>
        <v>xx</v>
      </c>
      <c r="J12">
        <f>'Combined R1-R3'!I15</f>
        <v>10</v>
      </c>
      <c r="K12" s="149">
        <v>0.04</v>
      </c>
      <c r="L12">
        <f>'Paste Run 2'!DK11</f>
        <v>189472</v>
      </c>
      <c r="M12">
        <f>'Paste Run 2'!BP11</f>
        <v>191250</v>
      </c>
      <c r="N12">
        <f>IF('Combined R1-R3'!K15&lt;&gt;"?",M12-L12,"xxx")</f>
        <v>1778</v>
      </c>
      <c r="O12" s="50">
        <f t="shared" si="3"/>
        <v>5222</v>
      </c>
      <c r="P12" s="50" t="str">
        <f t="shared" si="4"/>
        <v>Yes</v>
      </c>
      <c r="Q12" s="50" t="str">
        <f t="shared" si="5"/>
        <v>xx</v>
      </c>
      <c r="S12">
        <f>'Combined R1-R3'!M15</f>
        <v>10</v>
      </c>
      <c r="T12" s="154">
        <v>0.04</v>
      </c>
      <c r="U12">
        <f>'Paste Run 3'!DK11</f>
        <v>191423</v>
      </c>
      <c r="V12">
        <f>'Paste Run 3'!BP11</f>
        <v>193981</v>
      </c>
      <c r="W12">
        <f>IF('Combined R1-R3'!O15&lt;&gt;"?",V12-U12,"xxx")</f>
        <v>2558</v>
      </c>
      <c r="X12" s="50">
        <f t="shared" si="6"/>
        <v>4442</v>
      </c>
      <c r="Y12" s="50" t="str">
        <f t="shared" si="7"/>
        <v>Yes</v>
      </c>
      <c r="Z12" s="50" t="str">
        <f t="shared" si="8"/>
        <v>xx</v>
      </c>
    </row>
    <row r="13" spans="1:26" x14ac:dyDescent="0.2">
      <c r="A13">
        <f>'Combined R1-R3'!E16</f>
        <v>11</v>
      </c>
      <c r="B13" s="12">
        <v>30</v>
      </c>
      <c r="C13">
        <f>'Paste Run 1'!DK12</f>
        <v>204114</v>
      </c>
      <c r="D13">
        <f>'Paste Run 1'!BP12</f>
        <v>207596</v>
      </c>
      <c r="E13">
        <f>IF('Combined R1-R3'!G16&lt;&gt;"?",D13-C13,"xxx")</f>
        <v>3482</v>
      </c>
      <c r="F13" s="50">
        <f t="shared" si="0"/>
        <v>3518</v>
      </c>
      <c r="G13" s="50" t="str">
        <f t="shared" si="1"/>
        <v>Yes</v>
      </c>
      <c r="H13" s="50" t="str">
        <f t="shared" si="2"/>
        <v>xx</v>
      </c>
      <c r="J13">
        <f>'Combined R1-R3'!I16</f>
        <v>11</v>
      </c>
      <c r="K13" s="148">
        <v>30</v>
      </c>
      <c r="L13">
        <f>'Paste Run 2'!DK12</f>
        <v>204484</v>
      </c>
      <c r="M13">
        <f>'Paste Run 2'!BP12</f>
        <v>206721</v>
      </c>
      <c r="N13">
        <f>IF('Combined R1-R3'!K16&lt;&gt;"?",M13-L13,"xxx")</f>
        <v>2237</v>
      </c>
      <c r="O13" s="50">
        <f t="shared" si="3"/>
        <v>4763</v>
      </c>
      <c r="P13" s="50" t="str">
        <f t="shared" si="4"/>
        <v>Yes</v>
      </c>
      <c r="Q13" s="50" t="str">
        <f t="shared" si="5"/>
        <v>xx</v>
      </c>
      <c r="S13">
        <f>'Combined R1-R3'!M16</f>
        <v>11</v>
      </c>
      <c r="T13" s="153">
        <v>60</v>
      </c>
      <c r="U13">
        <f>'Paste Run 3'!DK12</f>
        <v>206418</v>
      </c>
      <c r="V13">
        <f>'Paste Run 3'!BP12</f>
        <v>208860</v>
      </c>
      <c r="W13">
        <f>IF('Combined R1-R3'!O16&lt;&gt;"?",V13-U13,"xxx")</f>
        <v>2442</v>
      </c>
      <c r="X13" s="50">
        <f t="shared" si="6"/>
        <v>4558</v>
      </c>
      <c r="Y13" s="50" t="str">
        <f t="shared" si="7"/>
        <v>Yes</v>
      </c>
      <c r="Z13" s="50" t="str">
        <f t="shared" si="8"/>
        <v>xx</v>
      </c>
    </row>
    <row r="14" spans="1:26" x14ac:dyDescent="0.2">
      <c r="A14">
        <f>'Combined R1-R3'!E17</f>
        <v>12</v>
      </c>
      <c r="B14" s="143">
        <v>0.02</v>
      </c>
      <c r="C14">
        <f>'Paste Run 1'!DK13</f>
        <v>219108</v>
      </c>
      <c r="D14">
        <f>'Paste Run 1'!BP13</f>
        <v>221339</v>
      </c>
      <c r="E14">
        <f>IF('Combined R1-R3'!G17&lt;&gt;"?",D14-C14,"xxx")</f>
        <v>2231</v>
      </c>
      <c r="F14" s="50">
        <f t="shared" si="0"/>
        <v>4769</v>
      </c>
      <c r="G14" s="50" t="str">
        <f t="shared" si="1"/>
        <v>Yes</v>
      </c>
      <c r="H14" s="50" t="str">
        <f t="shared" si="2"/>
        <v>xx</v>
      </c>
      <c r="J14">
        <f>'Combined R1-R3'!I17</f>
        <v>12</v>
      </c>
      <c r="K14" s="149">
        <v>0.01</v>
      </c>
      <c r="L14">
        <f>'Paste Run 2'!DK13</f>
        <v>219478</v>
      </c>
      <c r="M14">
        <f>'Paste Run 2'!BP13</f>
        <v>221304</v>
      </c>
      <c r="N14">
        <f>IF('Combined R1-R3'!K17&lt;&gt;"?",M14-L14,"xxx")</f>
        <v>1826</v>
      </c>
      <c r="O14" s="50">
        <f t="shared" si="3"/>
        <v>5174</v>
      </c>
      <c r="P14" s="50" t="str">
        <f t="shared" si="4"/>
        <v>Yes</v>
      </c>
      <c r="Q14" s="50" t="str">
        <f t="shared" si="5"/>
        <v>xx</v>
      </c>
      <c r="S14">
        <f>'Combined R1-R3'!M17</f>
        <v>12</v>
      </c>
      <c r="T14" s="154">
        <v>0</v>
      </c>
      <c r="U14">
        <f>'Paste Run 3'!DK13</f>
        <v>221412</v>
      </c>
      <c r="V14">
        <f>'Paste Run 3'!BP13</f>
        <v>224194</v>
      </c>
      <c r="W14">
        <f>IF('Combined R1-R3'!O17&lt;&gt;"?",V14-U14,"xxx")</f>
        <v>2782</v>
      </c>
      <c r="X14" s="50">
        <f t="shared" si="6"/>
        <v>4218</v>
      </c>
      <c r="Y14" s="50" t="str">
        <f t="shared" si="7"/>
        <v>Yes</v>
      </c>
      <c r="Z14" s="50" t="str">
        <f t="shared" si="8"/>
        <v>xx</v>
      </c>
    </row>
    <row r="15" spans="1:26" x14ac:dyDescent="0.2">
      <c r="A15">
        <f>'Combined R1-R3'!E18</f>
        <v>13</v>
      </c>
      <c r="B15" s="11">
        <v>9</v>
      </c>
      <c r="C15">
        <f>'Paste Run 1'!DK14</f>
        <v>232101</v>
      </c>
      <c r="D15">
        <f>'Paste Run 1'!BP14</f>
        <v>235362</v>
      </c>
      <c r="E15">
        <f>IF('Combined R1-R3'!G18&lt;&gt;"?",D15-C15,"xxx")</f>
        <v>3261</v>
      </c>
      <c r="F15" s="50">
        <f t="shared" si="0"/>
        <v>3739</v>
      </c>
      <c r="G15" s="50" t="str">
        <f t="shared" si="1"/>
        <v>Yes</v>
      </c>
      <c r="H15" s="50" t="str">
        <f t="shared" si="2"/>
        <v>xx</v>
      </c>
      <c r="J15">
        <f>'Combined R1-R3'!I18</f>
        <v>13</v>
      </c>
      <c r="K15" s="147">
        <v>13</v>
      </c>
      <c r="L15">
        <f>'Paste Run 2'!DK14</f>
        <v>232471</v>
      </c>
      <c r="M15">
        <f>'Paste Run 2'!BP14</f>
        <v>236167</v>
      </c>
      <c r="N15">
        <f>IF('Combined R1-R3'!K18&lt;&gt;"?",M15-L15,"xxx")</f>
        <v>3696</v>
      </c>
      <c r="O15" s="50">
        <f t="shared" si="3"/>
        <v>3304</v>
      </c>
      <c r="P15" s="50" t="str">
        <f t="shared" si="4"/>
        <v>Yes</v>
      </c>
      <c r="Q15" s="50" t="str">
        <f t="shared" si="5"/>
        <v>xx</v>
      </c>
      <c r="S15">
        <f>'Combined R1-R3'!M18</f>
        <v>13</v>
      </c>
      <c r="T15" s="152">
        <v>5</v>
      </c>
      <c r="U15">
        <f>'Paste Run 3'!DK14</f>
        <v>234422</v>
      </c>
      <c r="V15">
        <f>'Paste Run 3'!BP14</f>
        <v>236129</v>
      </c>
      <c r="W15">
        <f>IF('Combined R1-R3'!O18&lt;&gt;"?",V15-U15,"xxx")</f>
        <v>1707</v>
      </c>
      <c r="X15" s="50">
        <f t="shared" si="6"/>
        <v>5293</v>
      </c>
      <c r="Y15" s="50" t="str">
        <f t="shared" si="7"/>
        <v>Yes</v>
      </c>
      <c r="Z15" s="50" t="str">
        <f t="shared" si="8"/>
        <v>xx</v>
      </c>
    </row>
    <row r="16" spans="1:26" x14ac:dyDescent="0.2">
      <c r="A16">
        <f>'Combined R1-R3'!E19</f>
        <v>14</v>
      </c>
      <c r="B16" s="143">
        <v>0.05</v>
      </c>
      <c r="C16">
        <f>'Paste Run 1'!DK15</f>
        <v>255102</v>
      </c>
      <c r="D16">
        <f>'Paste Run 1'!BP15</f>
        <v>257433</v>
      </c>
      <c r="E16">
        <f>IF('Combined R1-R3'!G19&lt;&gt;"?",D16-C16,"xxx")</f>
        <v>2331</v>
      </c>
      <c r="F16" s="50">
        <f t="shared" si="0"/>
        <v>4669</v>
      </c>
      <c r="G16" s="50" t="str">
        <f t="shared" si="1"/>
        <v>Yes</v>
      </c>
      <c r="H16" s="50" t="str">
        <f t="shared" si="2"/>
        <v>xx</v>
      </c>
      <c r="J16">
        <f>'Combined R1-R3'!I19</f>
        <v>14</v>
      </c>
      <c r="K16" s="149">
        <v>0.02</v>
      </c>
      <c r="L16">
        <f>'Paste Run 2'!DK15</f>
        <v>255472</v>
      </c>
      <c r="M16">
        <f>'Paste Run 2'!BP15</f>
        <v>257725</v>
      </c>
      <c r="N16">
        <f>IF('Combined R1-R3'!K19&lt;&gt;"?",M16-L16,"xxx")</f>
        <v>2253</v>
      </c>
      <c r="O16" s="50">
        <f t="shared" si="3"/>
        <v>4747</v>
      </c>
      <c r="P16" s="50" t="str">
        <f t="shared" si="4"/>
        <v>Yes</v>
      </c>
      <c r="Q16" s="50" t="str">
        <f t="shared" si="5"/>
        <v>xx</v>
      </c>
      <c r="S16">
        <f>'Combined R1-R3'!M19</f>
        <v>14</v>
      </c>
      <c r="T16" s="154">
        <v>0.05</v>
      </c>
      <c r="U16">
        <f>'Paste Run 3'!DK15</f>
        <v>257423</v>
      </c>
      <c r="V16">
        <f>'Paste Run 3'!BP15</f>
        <v>259784</v>
      </c>
      <c r="W16">
        <f>IF('Combined R1-R3'!O19&lt;&gt;"?",V16-U16,"xxx")</f>
        <v>2361</v>
      </c>
      <c r="X16" s="50">
        <f t="shared" si="6"/>
        <v>4639</v>
      </c>
      <c r="Y16" s="50" t="str">
        <f t="shared" si="7"/>
        <v>Yes</v>
      </c>
      <c r="Z16" s="50" t="str">
        <f t="shared" si="8"/>
        <v>xx</v>
      </c>
    </row>
    <row r="17" spans="1:26" x14ac:dyDescent="0.2">
      <c r="A17">
        <f>'Combined R1-R3'!E20</f>
        <v>15</v>
      </c>
      <c r="B17" s="12">
        <v>70</v>
      </c>
      <c r="C17">
        <f>'Paste Run 1'!DK16</f>
        <v>270113</v>
      </c>
      <c r="D17">
        <f>'Paste Run 1'!BP16</f>
        <v>273791</v>
      </c>
      <c r="E17">
        <f>IF('Combined R1-R3'!G20&lt;&gt;"?",D17-C17,"xxx")</f>
        <v>3678</v>
      </c>
      <c r="F17" s="50">
        <f t="shared" si="0"/>
        <v>3322</v>
      </c>
      <c r="G17" s="50" t="str">
        <f t="shared" si="1"/>
        <v>Yes</v>
      </c>
      <c r="H17" s="50" t="str">
        <f t="shared" si="2"/>
        <v>xx</v>
      </c>
      <c r="J17">
        <f>'Combined R1-R3'!I20</f>
        <v>15</v>
      </c>
      <c r="K17" s="148">
        <v>80</v>
      </c>
      <c r="L17">
        <f>'Paste Run 2'!DK16</f>
        <v>270484</v>
      </c>
      <c r="M17">
        <f>'Paste Run 2'!BP16</f>
        <v>272636</v>
      </c>
      <c r="N17">
        <f>IF('Combined R1-R3'!K20&lt;&gt;"?",M17-L17,"xxx")</f>
        <v>2152</v>
      </c>
      <c r="O17" s="50">
        <f t="shared" si="3"/>
        <v>4848</v>
      </c>
      <c r="P17" s="50" t="str">
        <f t="shared" si="4"/>
        <v>Yes</v>
      </c>
      <c r="Q17" s="50" t="str">
        <f t="shared" si="5"/>
        <v>xx</v>
      </c>
      <c r="S17">
        <f>'Combined R1-R3'!M20</f>
        <v>15</v>
      </c>
      <c r="T17" s="153">
        <v>50</v>
      </c>
      <c r="U17">
        <f>'Paste Run 3'!DK16</f>
        <v>272418</v>
      </c>
      <c r="V17">
        <f>'Paste Run 3'!BP16</f>
        <v>274447</v>
      </c>
      <c r="W17">
        <f>IF('Combined R1-R3'!O20&lt;&gt;"?",V17-U17,"xxx")</f>
        <v>2029</v>
      </c>
      <c r="X17" s="50">
        <f t="shared" si="6"/>
        <v>4971</v>
      </c>
      <c r="Y17" s="50" t="str">
        <f t="shared" si="7"/>
        <v>Yes</v>
      </c>
      <c r="Z17" s="50" t="str">
        <f t="shared" si="8"/>
        <v>xx</v>
      </c>
    </row>
    <row r="18" spans="1:26" x14ac:dyDescent="0.2">
      <c r="A18">
        <f>'Combined R1-R3'!E21</f>
        <v>16</v>
      </c>
      <c r="B18" s="11">
        <v>13</v>
      </c>
      <c r="C18">
        <f>'Paste Run 1'!DK17</f>
        <v>287110</v>
      </c>
      <c r="D18">
        <f>'Paste Run 1'!BP17</f>
        <v>289886</v>
      </c>
      <c r="E18">
        <f>IF('Combined R1-R3'!G21&lt;&gt;"?",D18-C18,"xxx")</f>
        <v>2776</v>
      </c>
      <c r="F18" s="50">
        <f t="shared" si="0"/>
        <v>4224</v>
      </c>
      <c r="G18" s="50" t="str">
        <f t="shared" si="1"/>
        <v>Yes</v>
      </c>
      <c r="H18" s="50" t="str">
        <f t="shared" si="2"/>
        <v>xx</v>
      </c>
      <c r="J18">
        <f>'Combined R1-R3'!I21</f>
        <v>16</v>
      </c>
      <c r="K18" s="147">
        <v>9</v>
      </c>
      <c r="L18">
        <f>'Paste Run 2'!DK17</f>
        <v>287480</v>
      </c>
      <c r="M18">
        <f>'Paste Run 2'!BP17</f>
        <v>290219</v>
      </c>
      <c r="N18">
        <f>IF('Combined R1-R3'!K21&lt;&gt;"?",M18-L18,"xxx")</f>
        <v>2739</v>
      </c>
      <c r="O18" s="50">
        <f t="shared" si="3"/>
        <v>4261</v>
      </c>
      <c r="P18" s="50" t="str">
        <f t="shared" si="4"/>
        <v>Yes</v>
      </c>
      <c r="Q18" s="50" t="str">
        <f t="shared" si="5"/>
        <v>xx</v>
      </c>
      <c r="S18">
        <f>'Combined R1-R3'!M21</f>
        <v>16</v>
      </c>
      <c r="T18" s="152">
        <v>11</v>
      </c>
      <c r="U18">
        <f>'Paste Run 3'!DK17</f>
        <v>289414</v>
      </c>
      <c r="V18">
        <f>'Paste Run 3'!BP17</f>
        <v>290853</v>
      </c>
      <c r="W18">
        <f>IF('Combined R1-R3'!O21&lt;&gt;"?",V18-U18,"xxx")</f>
        <v>1439</v>
      </c>
      <c r="X18" s="50">
        <f t="shared" si="6"/>
        <v>5561</v>
      </c>
      <c r="Y18" s="50" t="str">
        <f t="shared" si="7"/>
        <v>Yes</v>
      </c>
      <c r="Z18" s="50" t="str">
        <f t="shared" si="8"/>
        <v>xx</v>
      </c>
    </row>
    <row r="19" spans="1:26" x14ac:dyDescent="0.2">
      <c r="A19">
        <f>'Combined R1-R3'!E22</f>
        <v>17</v>
      </c>
      <c r="B19" s="143">
        <v>0.04</v>
      </c>
      <c r="C19">
        <f>'Paste Run 1'!DK18</f>
        <v>302104</v>
      </c>
      <c r="D19">
        <f>'Paste Run 1'!BP18</f>
        <v>303845</v>
      </c>
      <c r="E19">
        <f>IF('Combined R1-R3'!G22&lt;&gt;"?",D19-C19,"xxx")</f>
        <v>1741</v>
      </c>
      <c r="F19" s="50">
        <f t="shared" si="0"/>
        <v>5259</v>
      </c>
      <c r="G19" s="50" t="str">
        <f t="shared" si="1"/>
        <v>Yes</v>
      </c>
      <c r="H19" s="50" t="str">
        <f t="shared" si="2"/>
        <v>xx</v>
      </c>
      <c r="J19">
        <f>'Combined R1-R3'!I22</f>
        <v>17</v>
      </c>
      <c r="K19" s="149">
        <v>0.05</v>
      </c>
      <c r="L19">
        <f>'Paste Run 2'!DK18</f>
        <v>302474</v>
      </c>
      <c r="M19">
        <f>'Paste Run 2'!BP18</f>
        <v>304170</v>
      </c>
      <c r="N19">
        <f>IF('Combined R1-R3'!K22&lt;&gt;"?",M19-L19,"xxx")</f>
        <v>1696</v>
      </c>
      <c r="O19" s="50">
        <f t="shared" si="3"/>
        <v>5304</v>
      </c>
      <c r="P19" s="50" t="str">
        <f t="shared" si="4"/>
        <v>Yes</v>
      </c>
      <c r="Q19" s="50" t="str">
        <f t="shared" si="5"/>
        <v>xx</v>
      </c>
      <c r="S19">
        <f>'Combined R1-R3'!M22</f>
        <v>17</v>
      </c>
      <c r="T19" s="154">
        <v>0.03</v>
      </c>
      <c r="U19">
        <f>'Paste Run 3'!DK18</f>
        <v>304425</v>
      </c>
      <c r="V19">
        <f>'Paste Run 3'!BP18</f>
        <v>306628</v>
      </c>
      <c r="W19">
        <f>IF('Combined R1-R3'!O22&lt;&gt;"?",V19-U19,"xxx")</f>
        <v>2203</v>
      </c>
      <c r="X19" s="50">
        <f t="shared" si="6"/>
        <v>4797</v>
      </c>
      <c r="Y19" s="50" t="str">
        <f t="shared" si="7"/>
        <v>Yes</v>
      </c>
      <c r="Z19" s="50" t="str">
        <f t="shared" si="8"/>
        <v>xx</v>
      </c>
    </row>
    <row r="20" spans="1:26" x14ac:dyDescent="0.2">
      <c r="A20">
        <f>'Combined R1-R3'!E23</f>
        <v>18</v>
      </c>
      <c r="B20" s="11">
        <v>9</v>
      </c>
      <c r="C20">
        <f>'Paste Run 1'!DK19</f>
        <v>323103</v>
      </c>
      <c r="D20">
        <f>'Paste Run 1'!BP19</f>
        <v>325091</v>
      </c>
      <c r="E20">
        <f>IF('Combined R1-R3'!G23&lt;&gt;"?",D20-C20,"xxx")</f>
        <v>1988</v>
      </c>
      <c r="F20" s="50">
        <f t="shared" si="0"/>
        <v>5012</v>
      </c>
      <c r="G20" s="50" t="str">
        <f t="shared" si="1"/>
        <v>Yes</v>
      </c>
      <c r="H20" s="50" t="str">
        <f t="shared" si="2"/>
        <v>xx</v>
      </c>
      <c r="J20">
        <f>'Combined R1-R3'!I23</f>
        <v>18</v>
      </c>
      <c r="K20" s="147">
        <v>13</v>
      </c>
      <c r="L20">
        <f>'Paste Run 2'!DK19</f>
        <v>323473</v>
      </c>
      <c r="M20">
        <f>'Paste Run 2'!BP19</f>
        <v>327256</v>
      </c>
      <c r="N20">
        <f>IF('Combined R1-R3'!K23&lt;&gt;"?",M20-L20,"xxx")</f>
        <v>3783</v>
      </c>
      <c r="O20" s="50">
        <f t="shared" si="3"/>
        <v>3217</v>
      </c>
      <c r="P20" s="50" t="str">
        <f t="shared" si="4"/>
        <v>Yes</v>
      </c>
      <c r="Q20" s="50" t="str">
        <f t="shared" si="5"/>
        <v>xx</v>
      </c>
      <c r="S20">
        <f>'Combined R1-R3'!M23</f>
        <v>18</v>
      </c>
      <c r="T20" s="154">
        <v>0.01</v>
      </c>
      <c r="U20">
        <f>'Paste Run 3'!DK19</f>
        <v>325424</v>
      </c>
      <c r="V20">
        <f>'Paste Run 3'!BP19</f>
        <v>327139</v>
      </c>
      <c r="W20">
        <f>IF('Combined R1-R3'!O23&lt;&gt;"?",V20-U20,"xxx")</f>
        <v>1715</v>
      </c>
      <c r="X20" s="50">
        <f t="shared" si="6"/>
        <v>5285</v>
      </c>
      <c r="Y20" s="50" t="str">
        <f t="shared" si="7"/>
        <v>Yes</v>
      </c>
      <c r="Z20" s="50" t="str">
        <f t="shared" si="8"/>
        <v>xx</v>
      </c>
    </row>
    <row r="21" spans="1:26" x14ac:dyDescent="0.2">
      <c r="A21">
        <f>'Combined R1-R3'!E24</f>
        <v>19</v>
      </c>
      <c r="B21" s="12">
        <v>60</v>
      </c>
      <c r="C21">
        <f>'Paste Run 1'!DK20</f>
        <v>336113</v>
      </c>
      <c r="D21">
        <f>'Paste Run 1'!BP20</f>
        <v>338866</v>
      </c>
      <c r="E21">
        <f>IF('Combined R1-R3'!G24&lt;&gt;"?",D21-C21,"xxx")</f>
        <v>2753</v>
      </c>
      <c r="F21" s="50">
        <f t="shared" si="0"/>
        <v>4247</v>
      </c>
      <c r="G21" s="50" t="str">
        <f t="shared" si="1"/>
        <v>Yes</v>
      </c>
      <c r="H21" s="50" t="str">
        <f t="shared" si="2"/>
        <v>xx</v>
      </c>
      <c r="J21">
        <f>'Combined R1-R3'!I24</f>
        <v>19</v>
      </c>
      <c r="K21" s="148">
        <v>70</v>
      </c>
      <c r="L21">
        <f>'Paste Run 2'!DK20</f>
        <v>336483</v>
      </c>
      <c r="M21">
        <f>'Paste Run 2'!BP20</f>
        <v>338919</v>
      </c>
      <c r="N21">
        <f>IF('Combined R1-R3'!K24&lt;&gt;"?",M21-L21,"xxx")</f>
        <v>2436</v>
      </c>
      <c r="O21" s="50">
        <f t="shared" si="3"/>
        <v>4564</v>
      </c>
      <c r="P21" s="50" t="str">
        <f t="shared" si="4"/>
        <v>Yes</v>
      </c>
      <c r="Q21" s="50" t="str">
        <f t="shared" si="5"/>
        <v>xx</v>
      </c>
      <c r="S21">
        <f>'Combined R1-R3'!M24</f>
        <v>19</v>
      </c>
      <c r="T21" s="154">
        <v>0.02</v>
      </c>
      <c r="U21">
        <f>'Paste Run 3'!DK20</f>
        <v>338417</v>
      </c>
      <c r="V21">
        <f>'Paste Run 3'!BP20</f>
        <v>340217</v>
      </c>
      <c r="W21">
        <f>IF('Combined R1-R3'!O24&lt;&gt;"?",V21-U21,"xxx")</f>
        <v>1800</v>
      </c>
      <c r="X21" s="50">
        <f t="shared" si="6"/>
        <v>5200</v>
      </c>
      <c r="Y21" s="50" t="str">
        <f t="shared" si="7"/>
        <v>Yes</v>
      </c>
      <c r="Z21" s="50" t="str">
        <f t="shared" si="8"/>
        <v>xx</v>
      </c>
    </row>
    <row r="22" spans="1:26" x14ac:dyDescent="0.2">
      <c r="A22">
        <f>'Combined R1-R3'!E25</f>
        <v>20</v>
      </c>
      <c r="B22" s="11">
        <v>7</v>
      </c>
      <c r="C22">
        <f>'Paste Run 1'!DK21</f>
        <v>351108</v>
      </c>
      <c r="D22">
        <f>'Paste Run 1'!BP21</f>
        <v>353577</v>
      </c>
      <c r="E22">
        <f>IF('Combined R1-R3'!G25&lt;&gt;"?",D22-C22,"xxx")</f>
        <v>2469</v>
      </c>
      <c r="F22" s="50">
        <f t="shared" si="0"/>
        <v>4531</v>
      </c>
      <c r="G22" s="50" t="str">
        <f t="shared" si="1"/>
        <v>Yes</v>
      </c>
      <c r="H22" s="50" t="str">
        <f t="shared" si="2"/>
        <v>xx</v>
      </c>
      <c r="J22">
        <f>'Combined R1-R3'!I25</f>
        <v>20</v>
      </c>
      <c r="K22" s="147">
        <v>11</v>
      </c>
      <c r="L22">
        <f>'Paste Run 2'!DK21</f>
        <v>351478</v>
      </c>
      <c r="M22">
        <f>'Paste Run 2'!BP21</f>
        <v>352622</v>
      </c>
      <c r="N22">
        <f>IF('Combined R1-R3'!K25&lt;&gt;"?",M22-L22,"xxx")</f>
        <v>1144</v>
      </c>
      <c r="O22" s="50">
        <f t="shared" si="3"/>
        <v>5856</v>
      </c>
      <c r="P22" s="50" t="str">
        <f t="shared" si="4"/>
        <v>Yes</v>
      </c>
      <c r="Q22" s="50" t="str">
        <f t="shared" si="5"/>
        <v>xx</v>
      </c>
      <c r="S22">
        <f>'Combined R1-R3'!M25</f>
        <v>20</v>
      </c>
      <c r="T22" s="152">
        <v>15</v>
      </c>
      <c r="U22">
        <f>'Paste Run 3'!DK21</f>
        <v>353412</v>
      </c>
      <c r="V22">
        <f>'Paste Run 3'!BP21</f>
        <v>356112</v>
      </c>
      <c r="W22">
        <f>IF('Combined R1-R3'!O25&lt;&gt;"?",V22-U22,"xxx")</f>
        <v>2700</v>
      </c>
      <c r="X22" s="50">
        <f t="shared" si="6"/>
        <v>4300</v>
      </c>
      <c r="Y22" s="50" t="str">
        <f t="shared" si="7"/>
        <v>Yes</v>
      </c>
      <c r="Z22" s="50" t="str">
        <f t="shared" si="8"/>
        <v>xx</v>
      </c>
    </row>
    <row r="23" spans="1:26" x14ac:dyDescent="0.2">
      <c r="A23">
        <f>'Combined R1-R3'!E26</f>
        <v>21</v>
      </c>
      <c r="B23" s="12">
        <v>40</v>
      </c>
      <c r="C23">
        <f>'Paste Run 1'!DK22</f>
        <v>366102</v>
      </c>
      <c r="D23">
        <f>'Paste Run 1'!BP22</f>
        <v>368520</v>
      </c>
      <c r="E23">
        <f>IF('Combined R1-R3'!G26&lt;&gt;"?",D23-C23,"xxx")</f>
        <v>2418</v>
      </c>
      <c r="F23" s="50">
        <f t="shared" si="0"/>
        <v>4582</v>
      </c>
      <c r="G23" s="50" t="str">
        <f t="shared" si="1"/>
        <v>Yes</v>
      </c>
      <c r="H23" s="50" t="str">
        <f t="shared" si="2"/>
        <v>xx</v>
      </c>
      <c r="J23">
        <f>'Combined R1-R3'!I26</f>
        <v>21</v>
      </c>
      <c r="K23" s="148">
        <v>30</v>
      </c>
      <c r="L23">
        <f>'Paste Run 2'!DK22</f>
        <v>366472</v>
      </c>
      <c r="M23">
        <f>'Paste Run 2'!BP22</f>
        <v>368581</v>
      </c>
      <c r="N23">
        <f>IF('Combined R1-R3'!K26&lt;&gt;"?",M23-L23,"xxx")</f>
        <v>2109</v>
      </c>
      <c r="O23" s="50">
        <f t="shared" si="3"/>
        <v>4891</v>
      </c>
      <c r="P23" s="50" t="str">
        <f t="shared" si="4"/>
        <v>Yes</v>
      </c>
      <c r="Q23" s="50" t="str">
        <f t="shared" si="5"/>
        <v>xx</v>
      </c>
      <c r="S23">
        <f>'Combined R1-R3'!M26</f>
        <v>21</v>
      </c>
      <c r="T23" s="154">
        <v>0.03</v>
      </c>
      <c r="U23">
        <f>'Paste Run 3'!DK22</f>
        <v>368423</v>
      </c>
      <c r="V23">
        <f>'Paste Run 3'!BP22</f>
        <v>370215</v>
      </c>
      <c r="W23">
        <f>IF('Combined R1-R3'!O26&lt;&gt;"?",V23-U23,"xxx")</f>
        <v>1792</v>
      </c>
      <c r="X23" s="50">
        <f t="shared" si="6"/>
        <v>5208</v>
      </c>
      <c r="Y23" s="50" t="str">
        <f t="shared" si="7"/>
        <v>Yes</v>
      </c>
      <c r="Z23" s="50" t="str">
        <f t="shared" si="8"/>
        <v>xx</v>
      </c>
    </row>
    <row r="24" spans="1:26" x14ac:dyDescent="0.2">
      <c r="A24">
        <f>'Combined R1-R3'!E27</f>
        <v>22</v>
      </c>
      <c r="B24" s="11">
        <v>7</v>
      </c>
      <c r="C24">
        <f>'Paste Run 1'!DK23</f>
        <v>379112</v>
      </c>
      <c r="D24">
        <f>'Paste Run 1'!BP23</f>
        <v>380543</v>
      </c>
      <c r="E24">
        <f>IF('Combined R1-R3'!G27&lt;&gt;"?",D24-C24,"xxx")</f>
        <v>1431</v>
      </c>
      <c r="F24" s="50">
        <f t="shared" si="0"/>
        <v>5569</v>
      </c>
      <c r="G24" s="50" t="str">
        <f t="shared" si="1"/>
        <v>Yes</v>
      </c>
      <c r="H24" s="50" t="str">
        <f t="shared" si="2"/>
        <v>xx</v>
      </c>
      <c r="J24">
        <f>'Combined R1-R3'!I27</f>
        <v>22</v>
      </c>
      <c r="K24" s="147">
        <v>9</v>
      </c>
      <c r="L24">
        <f>'Paste Run 2'!DK23</f>
        <v>379482</v>
      </c>
      <c r="M24">
        <f>'Paste Run 2'!BP23</f>
        <v>381332</v>
      </c>
      <c r="N24">
        <f>IF('Combined R1-R3'!K27&lt;&gt;"?",M24-L24,"xxx")</f>
        <v>1850</v>
      </c>
      <c r="O24" s="50">
        <f t="shared" si="3"/>
        <v>5150</v>
      </c>
      <c r="P24" s="50" t="str">
        <f t="shared" si="4"/>
        <v>Yes</v>
      </c>
      <c r="Q24" s="50" t="str">
        <f t="shared" si="5"/>
        <v>xx</v>
      </c>
      <c r="S24">
        <f>'Combined R1-R3'!M27</f>
        <v>22</v>
      </c>
      <c r="T24" s="152">
        <v>9</v>
      </c>
      <c r="U24">
        <f>'Paste Run 3'!DK23</f>
        <v>381416</v>
      </c>
      <c r="V24">
        <f>'Paste Run 3'!BP23</f>
        <v>384910</v>
      </c>
      <c r="W24">
        <f>IF('Combined R1-R3'!O27&lt;&gt;"?",V24-U24,"xxx")</f>
        <v>3494</v>
      </c>
      <c r="X24" s="50">
        <f t="shared" si="6"/>
        <v>3506</v>
      </c>
      <c r="Y24" s="50" t="str">
        <f t="shared" si="7"/>
        <v>Yes</v>
      </c>
      <c r="Z24" s="50" t="str">
        <f t="shared" si="8"/>
        <v>xx</v>
      </c>
    </row>
    <row r="25" spans="1:26" x14ac:dyDescent="0.2">
      <c r="A25">
        <f>'Combined R1-R3'!E28</f>
        <v>23</v>
      </c>
      <c r="B25" s="143">
        <v>0</v>
      </c>
      <c r="C25">
        <f>'Paste Run 1'!DK24</f>
        <v>400111</v>
      </c>
      <c r="D25">
        <f>'Paste Run 1'!BP24</f>
        <v>402797</v>
      </c>
      <c r="E25">
        <f>IF('Combined R1-R3'!G28&lt;&gt;"?",D25-C25,"xxx")</f>
        <v>2686</v>
      </c>
      <c r="F25" s="50">
        <f t="shared" si="0"/>
        <v>4314</v>
      </c>
      <c r="G25" s="50" t="str">
        <f t="shared" si="1"/>
        <v>Yes</v>
      </c>
      <c r="H25" s="50" t="str">
        <f t="shared" si="2"/>
        <v>xx</v>
      </c>
      <c r="J25">
        <f>'Combined R1-R3'!I28</f>
        <v>23</v>
      </c>
      <c r="K25" s="149">
        <v>0</v>
      </c>
      <c r="L25">
        <f>'Paste Run 2'!DK24</f>
        <v>400481</v>
      </c>
      <c r="M25">
        <f>'Paste Run 2'!BP24</f>
        <v>402474</v>
      </c>
      <c r="N25">
        <f>IF('Combined R1-R3'!K28&lt;&gt;"?",M25-L25,"xxx")</f>
        <v>1993</v>
      </c>
      <c r="O25" s="50">
        <f t="shared" si="3"/>
        <v>5007</v>
      </c>
      <c r="P25" s="50" t="str">
        <f t="shared" si="4"/>
        <v>Yes</v>
      </c>
      <c r="Q25" s="50" t="str">
        <f t="shared" si="5"/>
        <v>xx</v>
      </c>
      <c r="S25">
        <f>'Combined R1-R3'!M28</f>
        <v>23</v>
      </c>
      <c r="T25" s="154">
        <v>0.04</v>
      </c>
      <c r="U25">
        <f>'Paste Run 3'!DK24</f>
        <v>402416</v>
      </c>
      <c r="V25">
        <f>'Paste Run 3'!BP24</f>
        <v>403949</v>
      </c>
      <c r="W25">
        <f>IF('Combined R1-R3'!O28&lt;&gt;"?",V25-U25,"xxx")</f>
        <v>1533</v>
      </c>
      <c r="X25" s="50">
        <f t="shared" si="6"/>
        <v>5467</v>
      </c>
      <c r="Y25" s="50" t="str">
        <f t="shared" si="7"/>
        <v>Yes</v>
      </c>
      <c r="Z25" s="50" t="str">
        <f t="shared" si="8"/>
        <v>xx</v>
      </c>
    </row>
    <row r="26" spans="1:26" x14ac:dyDescent="0.2">
      <c r="A26">
        <f>'Combined R1-R3'!E29</f>
        <v>24</v>
      </c>
      <c r="B26" s="11">
        <v>11</v>
      </c>
      <c r="C26">
        <f>'Paste Run 1'!DK25</f>
        <v>415106</v>
      </c>
      <c r="D26">
        <f>'Paste Run 1'!BP25</f>
        <v>417012</v>
      </c>
      <c r="E26">
        <f>IF('Combined R1-R3'!G29&lt;&gt;"?",D26-C26,"xxx")</f>
        <v>1906</v>
      </c>
      <c r="F26" s="50">
        <f t="shared" si="0"/>
        <v>5094</v>
      </c>
      <c r="G26" s="50" t="str">
        <f t="shared" si="1"/>
        <v>Yes</v>
      </c>
      <c r="H26" s="50" t="str">
        <f t="shared" si="2"/>
        <v>xx</v>
      </c>
      <c r="J26">
        <f>'Combined R1-R3'!I29</f>
        <v>24</v>
      </c>
      <c r="K26" s="147">
        <v>11</v>
      </c>
      <c r="L26">
        <f>'Paste Run 2'!DK25</f>
        <v>415476</v>
      </c>
      <c r="M26">
        <f>'Paste Run 2'!BP25</f>
        <v>416833</v>
      </c>
      <c r="N26">
        <f>IF('Combined R1-R3'!K29&lt;&gt;"?",M26-L26,"xxx")</f>
        <v>1357</v>
      </c>
      <c r="O26" s="50">
        <f t="shared" si="3"/>
        <v>5643</v>
      </c>
      <c r="P26" s="50" t="str">
        <f t="shared" si="4"/>
        <v>Yes</v>
      </c>
      <c r="Q26" s="50" t="str">
        <f t="shared" si="5"/>
        <v>xx</v>
      </c>
      <c r="S26">
        <f>'Combined R1-R3'!M29</f>
        <v>24</v>
      </c>
      <c r="T26" s="152">
        <v>13</v>
      </c>
      <c r="U26">
        <f>'Paste Run 3'!DK25</f>
        <v>417427</v>
      </c>
      <c r="V26">
        <f>'Paste Run 3'!BP25</f>
        <v>419867</v>
      </c>
      <c r="W26">
        <f>IF('Combined R1-R3'!O29&lt;&gt;"?",V26-U26,"xxx")</f>
        <v>2440</v>
      </c>
      <c r="X26" s="50">
        <f t="shared" si="6"/>
        <v>4560</v>
      </c>
      <c r="Y26" s="50" t="str">
        <f t="shared" si="7"/>
        <v>Yes</v>
      </c>
      <c r="Z26" s="50" t="str">
        <f t="shared" si="8"/>
        <v>xx</v>
      </c>
    </row>
    <row r="27" spans="1:26" x14ac:dyDescent="0.2">
      <c r="A27">
        <f>'Combined R1-R3'!E30</f>
        <v>25</v>
      </c>
      <c r="B27" s="12">
        <v>30</v>
      </c>
      <c r="C27">
        <f>'Paste Run 1'!DK26</f>
        <v>428116</v>
      </c>
      <c r="D27">
        <f>'Paste Run 1'!BP26</f>
        <v>430987</v>
      </c>
      <c r="E27">
        <f>IF('Combined R1-R3'!G30&lt;&gt;"?",D27-C27,"xxx")</f>
        <v>2871</v>
      </c>
      <c r="F27" s="50">
        <f t="shared" si="0"/>
        <v>4129</v>
      </c>
      <c r="G27" s="50" t="str">
        <f t="shared" si="1"/>
        <v>Yes</v>
      </c>
      <c r="H27" s="50" t="str">
        <f t="shared" si="2"/>
        <v>xx</v>
      </c>
      <c r="J27">
        <f>'Combined R1-R3'!I30</f>
        <v>25</v>
      </c>
      <c r="K27" s="148">
        <v>80</v>
      </c>
      <c r="L27">
        <f>'Paste Run 2'!DK26</f>
        <v>428469</v>
      </c>
      <c r="M27">
        <f>'Paste Run 2'!BP26</f>
        <v>430552</v>
      </c>
      <c r="N27">
        <f>IF('Combined R1-R3'!K30&lt;&gt;"?",M27-L27,"xxx")</f>
        <v>2083</v>
      </c>
      <c r="O27" s="50">
        <f t="shared" si="3"/>
        <v>4917</v>
      </c>
      <c r="P27" s="50" t="str">
        <f t="shared" si="4"/>
        <v>Yes</v>
      </c>
      <c r="Q27" s="50" t="str">
        <f t="shared" si="5"/>
        <v>xx</v>
      </c>
      <c r="S27">
        <f>'Combined R1-R3'!M30</f>
        <v>25</v>
      </c>
      <c r="T27" s="154">
        <v>0.01</v>
      </c>
      <c r="U27">
        <f>'Paste Run 3'!DK26</f>
        <v>430420</v>
      </c>
      <c r="V27">
        <f>'Paste Run 3'!BP26</f>
        <v>432138</v>
      </c>
      <c r="W27">
        <f>IF('Combined R1-R3'!O30&lt;&gt;"?",V27-U27,"xxx")</f>
        <v>1718</v>
      </c>
      <c r="X27" s="50">
        <f t="shared" si="6"/>
        <v>5282</v>
      </c>
      <c r="Y27" s="50" t="str">
        <f t="shared" si="7"/>
        <v>Yes</v>
      </c>
      <c r="Z27" s="50" t="str">
        <f t="shared" si="8"/>
        <v>xx</v>
      </c>
    </row>
    <row r="28" spans="1:26" x14ac:dyDescent="0.2">
      <c r="A28">
        <f>'Combined R1-R3'!E31</f>
        <v>26</v>
      </c>
      <c r="B28" s="143">
        <v>0.03</v>
      </c>
      <c r="C28">
        <f>'Paste Run 1'!DK27</f>
        <v>443110</v>
      </c>
      <c r="D28">
        <f>'Paste Run 1'!BP27</f>
        <v>445394</v>
      </c>
      <c r="E28">
        <f>IF('Combined R1-R3'!G31&lt;&gt;"?",D28-C28,"xxx")</f>
        <v>2284</v>
      </c>
      <c r="F28" s="50">
        <f t="shared" si="0"/>
        <v>4716</v>
      </c>
      <c r="G28" s="50" t="str">
        <f t="shared" si="1"/>
        <v>Yes</v>
      </c>
      <c r="H28" s="50" t="str">
        <f t="shared" si="2"/>
        <v>xx</v>
      </c>
      <c r="J28">
        <f>'Combined R1-R3'!I31</f>
        <v>26</v>
      </c>
      <c r="K28" s="149">
        <v>0.03</v>
      </c>
      <c r="L28">
        <f>'Paste Run 2'!DK27</f>
        <v>443481</v>
      </c>
      <c r="M28">
        <f>'Paste Run 2'!BP27</f>
        <v>445447</v>
      </c>
      <c r="N28">
        <f>IF('Combined R1-R3'!K31&lt;&gt;"?",M28-L28,"xxx")</f>
        <v>1966</v>
      </c>
      <c r="O28" s="50">
        <f t="shared" si="3"/>
        <v>5034</v>
      </c>
      <c r="P28" s="50" t="str">
        <f t="shared" si="4"/>
        <v>Yes</v>
      </c>
      <c r="Q28" s="50" t="str">
        <f t="shared" si="5"/>
        <v>xx</v>
      </c>
      <c r="S28">
        <f>'Combined R1-R3'!M31</f>
        <v>26</v>
      </c>
      <c r="T28" s="154">
        <v>0.02</v>
      </c>
      <c r="U28">
        <f>'Paste Run 3'!DK27</f>
        <v>445415</v>
      </c>
      <c r="V28">
        <f>'Paste Run 3'!BP27</f>
        <v>447153</v>
      </c>
      <c r="W28">
        <f>IF('Combined R1-R3'!O31&lt;&gt;"?",V28-U28,"xxx")</f>
        <v>1738</v>
      </c>
      <c r="X28" s="50">
        <f t="shared" si="6"/>
        <v>5262</v>
      </c>
      <c r="Y28" s="50" t="str">
        <f t="shared" si="7"/>
        <v>Yes</v>
      </c>
      <c r="Z28" s="50" t="str">
        <f t="shared" si="8"/>
        <v>xx</v>
      </c>
    </row>
    <row r="29" spans="1:26" ht="16" thickBot="1" x14ac:dyDescent="0.25">
      <c r="A29">
        <f>'Combined R1-R3'!E32</f>
        <v>27</v>
      </c>
      <c r="B29" s="13">
        <v>60</v>
      </c>
      <c r="C29">
        <f>'Paste Run 1'!DK28</f>
        <v>460106</v>
      </c>
      <c r="D29">
        <f>'Paste Run 1'!BP28</f>
        <v>462769</v>
      </c>
      <c r="E29">
        <f>IF('Combined R1-R3'!G32&lt;&gt;"?",D29-C29,"xxx")</f>
        <v>2663</v>
      </c>
      <c r="F29" s="50">
        <f t="shared" si="0"/>
        <v>4337</v>
      </c>
      <c r="G29" s="50" t="str">
        <f t="shared" si="1"/>
        <v>Yes</v>
      </c>
      <c r="H29" s="50" t="str">
        <f t="shared" si="2"/>
        <v>xx</v>
      </c>
      <c r="J29">
        <f>'Combined R1-R3'!I32</f>
        <v>27</v>
      </c>
      <c r="K29" s="148">
        <v>40</v>
      </c>
      <c r="L29">
        <f>'Paste Run 2'!DK28</f>
        <v>460477</v>
      </c>
      <c r="M29">
        <f>'Paste Run 2'!BP28</f>
        <v>462645</v>
      </c>
      <c r="N29">
        <f>IF('Combined R1-R3'!K32&lt;&gt;"?",M29-L29,"xxx")</f>
        <v>2168</v>
      </c>
      <c r="O29" s="50">
        <f t="shared" si="3"/>
        <v>4832</v>
      </c>
      <c r="P29" s="50" t="str">
        <f t="shared" si="4"/>
        <v>Yes</v>
      </c>
      <c r="Q29" s="50" t="str">
        <f t="shared" si="5"/>
        <v>xx</v>
      </c>
      <c r="S29">
        <f>'Combined R1-R3'!M32</f>
        <v>27</v>
      </c>
      <c r="T29" s="153">
        <v>70</v>
      </c>
      <c r="U29">
        <f>'Paste Run 3'!DK28</f>
        <v>462427</v>
      </c>
      <c r="V29">
        <f>'Paste Run 3'!BP28</f>
        <v>464688</v>
      </c>
      <c r="W29">
        <f>IF('Combined R1-R3'!O32&lt;&gt;"?",V29-U29,"xxx")</f>
        <v>2261</v>
      </c>
      <c r="X29" s="50">
        <f t="shared" si="6"/>
        <v>4739</v>
      </c>
      <c r="Y29" s="50" t="str">
        <f t="shared" si="7"/>
        <v>Yes</v>
      </c>
      <c r="Z29" s="50" t="str">
        <f t="shared" si="8"/>
        <v>xx</v>
      </c>
    </row>
    <row r="30" spans="1:26" x14ac:dyDescent="0.2">
      <c r="A30">
        <v>28</v>
      </c>
      <c r="B30" s="149">
        <v>0.02</v>
      </c>
      <c r="C30">
        <f>'Paste Run 1'!DK29</f>
        <v>475101</v>
      </c>
      <c r="D30">
        <f>'Paste Run 1'!BP29</f>
        <v>477080</v>
      </c>
      <c r="E30">
        <f>IF('Combined R1-R3'!G33&lt;&gt;"?",D30-C30,"xxx")</f>
        <v>1979</v>
      </c>
      <c r="F30" s="50">
        <f t="shared" si="0"/>
        <v>5021</v>
      </c>
      <c r="G30" s="50" t="str">
        <f t="shared" si="1"/>
        <v>Yes</v>
      </c>
      <c r="H30" s="50" t="str">
        <f t="shared" si="2"/>
        <v>xx</v>
      </c>
      <c r="J30">
        <f>'Combined R1-R3'!I33</f>
        <v>28</v>
      </c>
      <c r="K30" s="149">
        <v>0.05</v>
      </c>
      <c r="L30">
        <f>'Paste Run 2'!DK29</f>
        <v>475471</v>
      </c>
      <c r="M30">
        <f>'Paste Run 2'!BP29</f>
        <v>477068</v>
      </c>
      <c r="N30">
        <f>IF('Combined R1-R3'!K33&lt;&gt;"?",M30-L30,"xxx")</f>
        <v>1597</v>
      </c>
      <c r="O30" s="50">
        <f t="shared" si="3"/>
        <v>5403</v>
      </c>
      <c r="P30" s="50" t="str">
        <f t="shared" si="4"/>
        <v>Yes</v>
      </c>
      <c r="Q30" s="50" t="str">
        <f t="shared" si="5"/>
        <v>xx</v>
      </c>
      <c r="S30">
        <f>'Combined R1-R3'!M33</f>
        <v>28</v>
      </c>
      <c r="T30" s="154">
        <v>0.01</v>
      </c>
      <c r="U30">
        <f>'Paste Run 3'!DK29</f>
        <v>477422</v>
      </c>
      <c r="V30">
        <f>'Paste Run 3'!BP29</f>
        <v>482718</v>
      </c>
      <c r="W30">
        <f>IF('Combined R1-R3'!O33&lt;&gt;"?",V30-U30,"xxx")</f>
        <v>5296</v>
      </c>
      <c r="X30" s="50">
        <f t="shared" si="6"/>
        <v>1704</v>
      </c>
      <c r="Y30" s="50" t="str">
        <f t="shared" si="7"/>
        <v>No</v>
      </c>
      <c r="Z30" s="50" t="str">
        <f t="shared" si="8"/>
        <v>xx</v>
      </c>
    </row>
    <row r="31" spans="1:26" x14ac:dyDescent="0.2">
      <c r="A31">
        <v>29</v>
      </c>
      <c r="B31" s="148">
        <v>70</v>
      </c>
      <c r="C31">
        <f>'Paste Run 1'!DK30</f>
        <v>498102</v>
      </c>
      <c r="D31">
        <f>'Paste Run 1'!BP30</f>
        <v>500670</v>
      </c>
      <c r="E31">
        <f>IF('Combined R1-R3'!G34&lt;&gt;"?",D31-C31,"xxx")</f>
        <v>2568</v>
      </c>
      <c r="F31" s="50">
        <f t="shared" si="0"/>
        <v>4432</v>
      </c>
      <c r="G31" s="50" t="str">
        <f t="shared" si="1"/>
        <v>Yes</v>
      </c>
      <c r="H31" s="50" t="str">
        <f t="shared" si="2"/>
        <v>xx</v>
      </c>
      <c r="J31">
        <f>'Combined R1-R3'!I34</f>
        <v>29</v>
      </c>
      <c r="K31" s="148">
        <v>60</v>
      </c>
      <c r="L31">
        <f>'Paste Run 2'!DK30</f>
        <v>498472</v>
      </c>
      <c r="M31">
        <f>'Paste Run 2'!BP30</f>
        <v>500394</v>
      </c>
      <c r="N31">
        <f>IF('Combined R1-R3'!K34&lt;&gt;"?",M31-L31,"xxx")</f>
        <v>1922</v>
      </c>
      <c r="O31" s="50">
        <f t="shared" si="3"/>
        <v>5078</v>
      </c>
      <c r="P31" s="50" t="str">
        <f t="shared" si="4"/>
        <v>Yes</v>
      </c>
      <c r="Q31" s="50" t="str">
        <f t="shared" si="5"/>
        <v>xx</v>
      </c>
      <c r="S31">
        <f>'Combined R1-R3'!M34</f>
        <v>29</v>
      </c>
      <c r="T31" s="153">
        <v>30</v>
      </c>
      <c r="U31">
        <f>'Paste Run 3'!DK30</f>
        <v>500423</v>
      </c>
      <c r="V31">
        <f>'Paste Run 3'!BP30</f>
        <v>502781</v>
      </c>
      <c r="W31">
        <f>IF('Combined R1-R3'!O34&lt;&gt;"?",V31-U31,"xxx")</f>
        <v>2358</v>
      </c>
      <c r="X31" s="50">
        <f t="shared" si="6"/>
        <v>4642</v>
      </c>
      <c r="Y31" s="50" t="str">
        <f t="shared" si="7"/>
        <v>Yes</v>
      </c>
      <c r="Z31" s="50" t="str">
        <f t="shared" si="8"/>
        <v>xx</v>
      </c>
    </row>
    <row r="32" spans="1:26" ht="16" thickBot="1" x14ac:dyDescent="0.25">
      <c r="A32">
        <v>30</v>
      </c>
      <c r="B32" s="147">
        <v>15</v>
      </c>
      <c r="C32">
        <f>'Paste Run 1'!DK31</f>
        <v>511112</v>
      </c>
      <c r="D32">
        <f>'Paste Run 1'!BP31</f>
        <v>515613</v>
      </c>
      <c r="E32">
        <f>IF('Combined R1-R3'!G35&lt;&gt;"?",D32-C32,"xxx")</f>
        <v>4501</v>
      </c>
      <c r="F32" s="50">
        <f t="shared" si="0"/>
        <v>2499</v>
      </c>
      <c r="G32" s="50" t="str">
        <f t="shared" si="1"/>
        <v>Yes</v>
      </c>
      <c r="H32" s="50" t="str">
        <f t="shared" si="2"/>
        <v>xx</v>
      </c>
      <c r="J32">
        <f>'Combined R1-R3'!I35</f>
        <v>30</v>
      </c>
      <c r="K32" s="150">
        <v>5</v>
      </c>
      <c r="L32">
        <f>'Paste Run 2'!DK31</f>
        <v>511482</v>
      </c>
      <c r="M32">
        <f>'Paste Run 2'!BP31</f>
        <v>514233</v>
      </c>
      <c r="N32">
        <f>IF('Combined R1-R3'!K35&lt;&gt;"?",M32-L32,"xxx")</f>
        <v>2751</v>
      </c>
      <c r="O32" s="50">
        <f t="shared" si="3"/>
        <v>4249</v>
      </c>
      <c r="P32" s="50" t="str">
        <f t="shared" si="4"/>
        <v>Yes</v>
      </c>
      <c r="Q32" s="50" t="str">
        <f t="shared" si="5"/>
        <v>xx</v>
      </c>
      <c r="S32">
        <f>'Combined R1-R3'!M35</f>
        <v>30</v>
      </c>
      <c r="T32" s="161">
        <v>0.05</v>
      </c>
      <c r="U32">
        <f>'Paste Run 3'!DK31</f>
        <v>513416</v>
      </c>
      <c r="V32">
        <f>'Paste Run 3'!BP31</f>
        <v>515044</v>
      </c>
      <c r="W32">
        <f>IF('Combined R1-R3'!O35&lt;&gt;"?",V32-U32,"xxx")</f>
        <v>1628</v>
      </c>
      <c r="X32" s="50">
        <f t="shared" si="6"/>
        <v>5372</v>
      </c>
      <c r="Y32" s="50" t="str">
        <f t="shared" si="7"/>
        <v>Yes</v>
      </c>
      <c r="Z32" s="50" t="str">
        <f t="shared" si="8"/>
        <v>xx</v>
      </c>
    </row>
    <row r="34" spans="1:22" x14ac:dyDescent="0.2">
      <c r="A34" t="s">
        <v>50</v>
      </c>
      <c r="B34">
        <f>'Paste Run 1'!N2</f>
        <v>18157</v>
      </c>
      <c r="J34" t="s">
        <v>50</v>
      </c>
      <c r="K34">
        <f>'Paste Run 2'!N2</f>
        <v>18510</v>
      </c>
      <c r="S34" t="s">
        <v>50</v>
      </c>
      <c r="T34">
        <f>'Paste Run 3'!N2</f>
        <v>20444</v>
      </c>
    </row>
    <row r="35" spans="1:22" x14ac:dyDescent="0.2">
      <c r="A35" t="s">
        <v>57</v>
      </c>
      <c r="B35">
        <f>'Paste Run 1'!L2</f>
        <v>24000</v>
      </c>
      <c r="J35" t="s">
        <v>57</v>
      </c>
      <c r="K35">
        <f>'Paste Run 2'!L2</f>
        <v>24369</v>
      </c>
      <c r="S35" t="s">
        <v>57</v>
      </c>
      <c r="T35">
        <f>'Paste Run 3'!L2</f>
        <v>26312</v>
      </c>
    </row>
    <row r="36" spans="1:22" x14ac:dyDescent="0.2">
      <c r="A36" t="s">
        <v>125</v>
      </c>
      <c r="B36">
        <f>B35-B34</f>
        <v>5843</v>
      </c>
      <c r="J36" t="s">
        <v>125</v>
      </c>
      <c r="K36">
        <f>K35-K34</f>
        <v>5859</v>
      </c>
      <c r="S36" t="s">
        <v>125</v>
      </c>
      <c r="T36">
        <f>T35-T34</f>
        <v>5868</v>
      </c>
    </row>
    <row r="37" spans="1:22" x14ac:dyDescent="0.2">
      <c r="A37" t="s">
        <v>51</v>
      </c>
      <c r="B37">
        <f>'Paste Run 1'!BF31</f>
        <v>507005</v>
      </c>
      <c r="J37" t="s">
        <v>51</v>
      </c>
      <c r="K37">
        <f>'Paste Run 2'!BF31</f>
        <v>507374</v>
      </c>
      <c r="S37" t="s">
        <v>51</v>
      </c>
      <c r="T37">
        <f>'Paste Run 3'!BF31</f>
        <v>509317</v>
      </c>
    </row>
    <row r="38" spans="1:22" x14ac:dyDescent="0.2">
      <c r="A38" t="s">
        <v>54</v>
      </c>
      <c r="B38">
        <f>B37-B34</f>
        <v>488848</v>
      </c>
      <c r="J38" t="s">
        <v>54</v>
      </c>
      <c r="K38">
        <f>K37-K34</f>
        <v>488864</v>
      </c>
      <c r="S38" t="s">
        <v>54</v>
      </c>
      <c r="T38">
        <f>T37-T34</f>
        <v>488873</v>
      </c>
    </row>
    <row r="39" spans="1:22" x14ac:dyDescent="0.2">
      <c r="A39" t="s">
        <v>52</v>
      </c>
      <c r="B39">
        <f>'FMRI Paradigm Specs'!F33</f>
        <v>504000</v>
      </c>
      <c r="J39" t="s">
        <v>52</v>
      </c>
      <c r="K39">
        <f>'FMRI Paradigm Specs'!F68</f>
        <v>504000</v>
      </c>
      <c r="S39" t="s">
        <v>52</v>
      </c>
      <c r="T39">
        <f>'FMRI Paradigm Specs'!F102</f>
        <v>504000</v>
      </c>
    </row>
    <row r="40" spans="1:22" x14ac:dyDescent="0.2">
      <c r="A40" t="s">
        <v>53</v>
      </c>
      <c r="B40">
        <f>B38-B39</f>
        <v>-15152</v>
      </c>
      <c r="C40" s="92">
        <f>B40/10000</f>
        <v>-1.5152000000000001</v>
      </c>
      <c r="D40" t="s">
        <v>97</v>
      </c>
      <c r="J40" t="s">
        <v>53</v>
      </c>
      <c r="K40">
        <f>K38-K39</f>
        <v>-15136</v>
      </c>
      <c r="L40" s="92">
        <f>K40/10000</f>
        <v>-1.5136000000000001</v>
      </c>
      <c r="M40" t="s">
        <v>97</v>
      </c>
      <c r="S40" t="s">
        <v>53</v>
      </c>
      <c r="T40">
        <f>T38-T39</f>
        <v>-15127</v>
      </c>
      <c r="U40" s="92">
        <f>T40/10000</f>
        <v>-1.5126999999999999</v>
      </c>
      <c r="V40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O119"/>
  <sheetViews>
    <sheetView workbookViewId="0">
      <selection activeCell="H69" sqref="H69"/>
    </sheetView>
  </sheetViews>
  <sheetFormatPr baseColWidth="10" defaultColWidth="8.83203125" defaultRowHeight="15" x14ac:dyDescent="0.2"/>
  <cols>
    <col min="2" max="2" width="5" bestFit="1" customWidth="1"/>
    <col min="3" max="3" width="16.33203125" bestFit="1" customWidth="1"/>
    <col min="4" max="4" width="10.83203125" bestFit="1" customWidth="1"/>
    <col min="5" max="5" width="11.83203125" customWidth="1"/>
    <col min="6" max="6" width="13" bestFit="1" customWidth="1"/>
    <col min="7" max="7" width="12.6640625" bestFit="1" customWidth="1"/>
    <col min="8" max="8" width="12.83203125" bestFit="1" customWidth="1"/>
    <col min="9" max="9" width="4.33203125" customWidth="1"/>
    <col min="10" max="10" width="9.83203125" bestFit="1" customWidth="1"/>
    <col min="11" max="11" width="11" bestFit="1" customWidth="1"/>
    <col min="12" max="12" width="13" bestFit="1" customWidth="1"/>
    <col min="13" max="13" width="17.1640625" bestFit="1" customWidth="1"/>
    <col min="14" max="14" width="21" bestFit="1" customWidth="1"/>
    <col min="15" max="15" width="8.5" customWidth="1"/>
    <col min="16" max="16" width="10.83203125" bestFit="1" customWidth="1"/>
    <col min="17" max="17" width="11" bestFit="1" customWidth="1"/>
    <col min="18" max="18" width="13" bestFit="1" customWidth="1"/>
    <col min="19" max="19" width="12.6640625" bestFit="1" customWidth="1"/>
    <col min="20" max="20" width="12.83203125" bestFit="1" customWidth="1"/>
    <col min="21" max="21" width="8.5" customWidth="1"/>
    <col min="22" max="22" width="10.83203125" bestFit="1" customWidth="1"/>
    <col min="23" max="23" width="11" bestFit="1" customWidth="1"/>
    <col min="24" max="24" width="13" bestFit="1" customWidth="1"/>
    <col min="25" max="25" width="9.5" bestFit="1" customWidth="1"/>
    <col min="26" max="26" width="16.5" customWidth="1"/>
    <col min="27" max="27" width="16.33203125" bestFit="1" customWidth="1"/>
    <col min="28" max="28" width="12.83203125" bestFit="1" customWidth="1"/>
    <col min="29" max="29" width="3.5" bestFit="1" customWidth="1"/>
  </cols>
  <sheetData>
    <row r="1" spans="1:41" ht="24" x14ac:dyDescent="0.3">
      <c r="A1" s="26"/>
      <c r="B1" s="140"/>
      <c r="C1" s="140"/>
      <c r="D1" s="140"/>
      <c r="E1" s="140"/>
      <c r="F1" s="140"/>
      <c r="G1" s="140"/>
    </row>
    <row r="2" spans="1:41" x14ac:dyDescent="0.2">
      <c r="B2" s="40" t="s">
        <v>10</v>
      </c>
      <c r="C2" t="s">
        <v>55</v>
      </c>
    </row>
    <row r="3" spans="1:41" x14ac:dyDescent="0.2">
      <c r="B3" s="40"/>
      <c r="C3" t="s">
        <v>50</v>
      </c>
      <c r="D3" s="51">
        <f>'Paste Run 1'!N2/1000</f>
        <v>18.157</v>
      </c>
      <c r="E3" t="s">
        <v>56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">
      <c r="B4" s="40"/>
      <c r="C4" t="s">
        <v>57</v>
      </c>
      <c r="D4">
        <f>'Paste Run 1'!L2/1000</f>
        <v>24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" thickBot="1" x14ac:dyDescent="0.25">
      <c r="B5" s="40"/>
      <c r="D5" s="42" t="s">
        <v>58</v>
      </c>
      <c r="E5" s="42"/>
      <c r="F5" s="42"/>
      <c r="G5" s="42"/>
      <c r="H5" s="42"/>
      <c r="J5" s="43" t="s">
        <v>59</v>
      </c>
      <c r="K5" s="43"/>
      <c r="L5" s="43" t="s">
        <v>60</v>
      </c>
      <c r="M5" s="43"/>
      <c r="N5" s="43"/>
      <c r="P5" s="52" t="s">
        <v>61</v>
      </c>
      <c r="Q5" s="52"/>
      <c r="R5" s="52"/>
      <c r="S5" s="52"/>
      <c r="T5" s="52"/>
      <c r="V5" s="52" t="s">
        <v>2</v>
      </c>
      <c r="W5" s="52"/>
      <c r="X5" s="52"/>
      <c r="Y5" s="52"/>
      <c r="Z5" s="52"/>
      <c r="AA5" s="52"/>
      <c r="AB5" s="5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6" thickBot="1" x14ac:dyDescent="0.25">
      <c r="B6" s="40"/>
      <c r="D6" t="s">
        <v>62</v>
      </c>
      <c r="E6" t="s">
        <v>63</v>
      </c>
      <c r="F6" s="53" t="s">
        <v>64</v>
      </c>
      <c r="G6" s="54" t="s">
        <v>65</v>
      </c>
      <c r="H6" t="s">
        <v>66</v>
      </c>
      <c r="I6" s="55" t="s">
        <v>21</v>
      </c>
      <c r="J6" s="55" t="s">
        <v>67</v>
      </c>
      <c r="K6" s="55" t="s">
        <v>68</v>
      </c>
      <c r="L6" s="55" t="s">
        <v>64</v>
      </c>
      <c r="M6" s="54" t="s">
        <v>69</v>
      </c>
      <c r="N6" s="55" t="s">
        <v>70</v>
      </c>
      <c r="O6" t="s">
        <v>21</v>
      </c>
      <c r="P6" t="s">
        <v>62</v>
      </c>
      <c r="Q6" t="s">
        <v>71</v>
      </c>
      <c r="R6" t="s">
        <v>64</v>
      </c>
      <c r="S6" t="s">
        <v>65</v>
      </c>
      <c r="T6" t="s">
        <v>72</v>
      </c>
      <c r="V6" t="s">
        <v>62</v>
      </c>
      <c r="W6" t="s">
        <v>71</v>
      </c>
      <c r="X6" t="s">
        <v>64</v>
      </c>
      <c r="Y6" t="s">
        <v>73</v>
      </c>
      <c r="Z6" t="s">
        <v>74</v>
      </c>
      <c r="AA6" t="s">
        <v>65</v>
      </c>
      <c r="AB6" t="s">
        <v>72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B7" s="40"/>
      <c r="C7">
        <v>1</v>
      </c>
      <c r="D7" s="2">
        <f>'Paste Run 1'!AZ2/1000</f>
        <v>24.111000000000001</v>
      </c>
      <c r="E7" s="2">
        <f>'Paste Run 1'!DM2/1000</f>
        <v>28.114000000000001</v>
      </c>
      <c r="F7" s="64">
        <f>E7-D7</f>
        <v>4.0030000000000001</v>
      </c>
      <c r="G7" s="65">
        <f>D7-D$3</f>
        <v>5.9540000000000006</v>
      </c>
      <c r="H7" s="2">
        <f>G7+F7</f>
        <v>9.9570000000000007</v>
      </c>
      <c r="I7" s="2"/>
      <c r="J7" s="2">
        <f>'Paste Run 1'!DK2/1000</f>
        <v>28.114000000000001</v>
      </c>
      <c r="K7" s="2">
        <f>'Paste Run 1'!DX2/1000</f>
        <v>32.935000000000002</v>
      </c>
      <c r="L7" s="66">
        <f>K7-J7</f>
        <v>4.8210000000000015</v>
      </c>
      <c r="M7" s="67">
        <f>J7-D$3</f>
        <v>9.9570000000000007</v>
      </c>
      <c r="N7" s="2">
        <f>M7+L7</f>
        <v>14.778000000000002</v>
      </c>
      <c r="O7" s="2"/>
      <c r="P7" s="2">
        <f>'Paste Run 1'!DX2/1000</f>
        <v>32.935000000000002</v>
      </c>
      <c r="Q7" s="2">
        <f>'Paste Run 1'!DV2/1000</f>
        <v>35</v>
      </c>
      <c r="R7" s="2">
        <f>Q7-P7</f>
        <v>2.0649999999999977</v>
      </c>
      <c r="S7" s="2">
        <f>P7-D$3</f>
        <v>14.778000000000002</v>
      </c>
      <c r="T7" s="2">
        <f>S7+R7</f>
        <v>16.843</v>
      </c>
      <c r="U7" s="2"/>
      <c r="V7" s="2">
        <f>'Paste Run 1'!CJ2/1000</f>
        <v>35.103000000000002</v>
      </c>
      <c r="W7" s="2">
        <f>'Paste Run 1'!CH2/1000</f>
        <v>41</v>
      </c>
      <c r="X7" s="2">
        <f>W7-V7</f>
        <v>5.8969999999999985</v>
      </c>
      <c r="Y7" s="2">
        <f>'Paste Run 1'!CD2/1000</f>
        <v>6</v>
      </c>
      <c r="Z7" s="2">
        <f>X7-Y7</f>
        <v>-0.10300000000000153</v>
      </c>
      <c r="AA7" s="2">
        <f>V7-D$3</f>
        <v>16.946000000000002</v>
      </c>
      <c r="AB7" s="2">
        <f>AA7+X7</f>
        <v>22.843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B8" s="40"/>
      <c r="C8">
        <v>2</v>
      </c>
      <c r="D8" s="2">
        <f>'Paste Run 1'!AZ3/1000</f>
        <v>41.106999999999999</v>
      </c>
      <c r="E8" s="2">
        <f>'Paste Run 1'!DM3/1000</f>
        <v>45.11</v>
      </c>
      <c r="F8" s="66">
        <f t="shared" ref="F8:F33" si="0">E8-D8</f>
        <v>4.0030000000000001</v>
      </c>
      <c r="G8" s="67">
        <f t="shared" ref="G8:G33" si="1">D8-D$3</f>
        <v>22.95</v>
      </c>
      <c r="H8" s="2">
        <f t="shared" ref="H8:H33" si="2">G8+F8</f>
        <v>26.952999999999999</v>
      </c>
      <c r="I8" s="2"/>
      <c r="J8" s="2">
        <f>'Paste Run 1'!DK3/1000</f>
        <v>45.110999999999997</v>
      </c>
      <c r="K8" s="2">
        <f>'Paste Run 1'!DX3/1000</f>
        <v>48.847000000000001</v>
      </c>
      <c r="L8" s="66">
        <f t="shared" ref="L8:L33" si="3">K8-J8</f>
        <v>3.7360000000000042</v>
      </c>
      <c r="M8" s="67">
        <f t="shared" ref="M8:M33" si="4">J8-D$3</f>
        <v>26.953999999999997</v>
      </c>
      <c r="N8" s="2">
        <f t="shared" ref="N8:N33" si="5">M8+L8</f>
        <v>30.69</v>
      </c>
      <c r="O8" s="2"/>
      <c r="P8" s="2">
        <f>'Paste Run 1'!DX3/1000</f>
        <v>48.847000000000001</v>
      </c>
      <c r="Q8" s="2">
        <f>'Paste Run 1'!DV3/1000</f>
        <v>52</v>
      </c>
      <c r="R8" s="2">
        <f t="shared" ref="R8:R33" si="6">Q8-P8</f>
        <v>3.1529999999999987</v>
      </c>
      <c r="S8" s="2">
        <f t="shared" ref="S8:S33" si="7">P8-D$3</f>
        <v>30.69</v>
      </c>
      <c r="T8" s="2">
        <f t="shared" ref="T8:T33" si="8">S8+R8</f>
        <v>33.843000000000004</v>
      </c>
      <c r="U8" s="2"/>
      <c r="V8" s="2">
        <f>'Paste Run 1'!CJ3/1000</f>
        <v>52.116</v>
      </c>
      <c r="W8" s="2">
        <f>'Paste Run 1'!CH3/1000</f>
        <v>64</v>
      </c>
      <c r="X8" s="2">
        <f t="shared" ref="X8:X33" si="9">W8-V8</f>
        <v>11.884</v>
      </c>
      <c r="Y8" s="2">
        <f>'Paste Run 1'!CD3/1000</f>
        <v>12</v>
      </c>
      <c r="Z8" s="2">
        <f t="shared" ref="Z8:Z33" si="10">X8-Y8</f>
        <v>-0.11599999999999966</v>
      </c>
      <c r="AA8" s="2">
        <f t="shared" ref="AA8:AA33" si="11">V8-D$3</f>
        <v>33.959000000000003</v>
      </c>
      <c r="AB8" s="2">
        <f t="shared" ref="AB8:AB33" si="12">AA8+X8</f>
        <v>45.843000000000004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B9" s="40"/>
      <c r="C9">
        <v>3</v>
      </c>
      <c r="D9" s="2">
        <f>'Paste Run 1'!AZ4/1000</f>
        <v>64.108000000000004</v>
      </c>
      <c r="E9" s="2">
        <f>'Paste Run 1'!DM4/1000</f>
        <v>68.111000000000004</v>
      </c>
      <c r="F9" s="66">
        <f t="shared" si="0"/>
        <v>4.0030000000000001</v>
      </c>
      <c r="G9" s="67">
        <f t="shared" si="1"/>
        <v>45.951000000000008</v>
      </c>
      <c r="H9" s="2">
        <f t="shared" si="2"/>
        <v>49.954000000000008</v>
      </c>
      <c r="I9" s="2"/>
      <c r="J9" s="2">
        <f>'Paste Run 1'!DK4/1000</f>
        <v>68.111000000000004</v>
      </c>
      <c r="K9" s="2">
        <f>'Paste Run 1'!DX4/1000</f>
        <v>71.980999999999995</v>
      </c>
      <c r="L9" s="66">
        <f t="shared" si="3"/>
        <v>3.8699999999999903</v>
      </c>
      <c r="M9" s="67">
        <f t="shared" si="4"/>
        <v>49.954000000000008</v>
      </c>
      <c r="N9" s="2">
        <f t="shared" si="5"/>
        <v>53.823999999999998</v>
      </c>
      <c r="O9" s="2"/>
      <c r="P9" s="2">
        <f>'Paste Run 1'!DX4/1000</f>
        <v>71.980999999999995</v>
      </c>
      <c r="Q9" s="2">
        <f>'Paste Run 1'!DV4/1000</f>
        <v>75</v>
      </c>
      <c r="R9" s="2">
        <f t="shared" si="6"/>
        <v>3.0190000000000055</v>
      </c>
      <c r="S9" s="2">
        <f t="shared" si="7"/>
        <v>53.823999999999998</v>
      </c>
      <c r="T9" s="2">
        <f t="shared" si="8"/>
        <v>56.843000000000004</v>
      </c>
      <c r="U9" s="2"/>
      <c r="V9" s="2">
        <f>'Paste Run 1'!CJ4/1000</f>
        <v>75.099999999999994</v>
      </c>
      <c r="W9" s="2">
        <f>'Paste Run 1'!CH4/1000</f>
        <v>83</v>
      </c>
      <c r="X9" s="2">
        <f t="shared" si="9"/>
        <v>7.9000000000000057</v>
      </c>
      <c r="Y9" s="2">
        <f>'Paste Run 1'!CD4/1000</f>
        <v>8</v>
      </c>
      <c r="Z9" s="2">
        <f t="shared" si="10"/>
        <v>-9.9999999999994316E-2</v>
      </c>
      <c r="AA9" s="2">
        <f t="shared" si="11"/>
        <v>56.942999999999998</v>
      </c>
      <c r="AB9" s="2">
        <f t="shared" si="12"/>
        <v>64.843000000000004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B10" s="40"/>
      <c r="C10">
        <v>4</v>
      </c>
      <c r="D10" s="2">
        <f>'Paste Run 1'!AZ5/1000</f>
        <v>83.105999999999995</v>
      </c>
      <c r="E10" s="2">
        <f>'Paste Run 1'!DM5/1000</f>
        <v>87.108999999999995</v>
      </c>
      <c r="F10" s="66">
        <f t="shared" si="0"/>
        <v>4.0030000000000001</v>
      </c>
      <c r="G10" s="67">
        <f t="shared" si="1"/>
        <v>64.948999999999998</v>
      </c>
      <c r="H10" s="2">
        <f t="shared" si="2"/>
        <v>68.951999999999998</v>
      </c>
      <c r="I10" s="2"/>
      <c r="J10" s="2">
        <f>'Paste Run 1'!DK5/1000</f>
        <v>87.108999999999995</v>
      </c>
      <c r="K10" s="2">
        <f>'Paste Run 1'!DX5/1000</f>
        <v>89.694000000000003</v>
      </c>
      <c r="L10" s="66">
        <f t="shared" si="3"/>
        <v>2.585000000000008</v>
      </c>
      <c r="M10" s="67">
        <f t="shared" si="4"/>
        <v>68.951999999999998</v>
      </c>
      <c r="N10" s="2">
        <f t="shared" si="5"/>
        <v>71.537000000000006</v>
      </c>
      <c r="O10" s="2"/>
      <c r="P10" s="2">
        <f>'Paste Run 1'!DX5/1000</f>
        <v>89.694000000000003</v>
      </c>
      <c r="Q10" s="2">
        <f>'Paste Run 1'!DV5/1000</f>
        <v>94</v>
      </c>
      <c r="R10" s="2">
        <f t="shared" si="6"/>
        <v>4.3059999999999974</v>
      </c>
      <c r="S10" s="2">
        <f t="shared" si="7"/>
        <v>71.537000000000006</v>
      </c>
      <c r="T10" s="2">
        <f t="shared" si="8"/>
        <v>75.843000000000004</v>
      </c>
      <c r="U10" s="2"/>
      <c r="V10" s="2">
        <f>'Paste Run 1'!CJ5/1000</f>
        <v>94.114000000000004</v>
      </c>
      <c r="W10" s="2">
        <f>'Paste Run 1'!CH5/1000</f>
        <v>98</v>
      </c>
      <c r="X10" s="2">
        <f t="shared" si="9"/>
        <v>3.8859999999999957</v>
      </c>
      <c r="Y10" s="2">
        <f>'Paste Run 1'!CD5/1000</f>
        <v>4</v>
      </c>
      <c r="Z10" s="2">
        <f t="shared" si="10"/>
        <v>-0.11400000000000432</v>
      </c>
      <c r="AA10" s="2">
        <f t="shared" si="11"/>
        <v>75.957000000000008</v>
      </c>
      <c r="AB10" s="2">
        <f t="shared" si="12"/>
        <v>79.843000000000004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B11" s="40"/>
      <c r="C11">
        <v>5</v>
      </c>
      <c r="D11" s="2">
        <f>'Paste Run 1'!AZ6/1000</f>
        <v>98.1</v>
      </c>
      <c r="E11" s="2">
        <f>'Paste Run 1'!DM6/1000</f>
        <v>102.10299999999999</v>
      </c>
      <c r="F11" s="66">
        <f t="shared" si="0"/>
        <v>4.0030000000000001</v>
      </c>
      <c r="G11" s="67">
        <f t="shared" si="1"/>
        <v>79.942999999999998</v>
      </c>
      <c r="H11" s="2">
        <f t="shared" si="2"/>
        <v>83.945999999999998</v>
      </c>
      <c r="I11" s="2"/>
      <c r="J11" s="2">
        <f>'Paste Run 1'!DK6/1000</f>
        <v>102.10299999999999</v>
      </c>
      <c r="K11" s="2">
        <f>'Paste Run 1'!DX6/1000</f>
        <v>107.024</v>
      </c>
      <c r="L11" s="66">
        <f t="shared" si="3"/>
        <v>4.9210000000000065</v>
      </c>
      <c r="M11" s="67">
        <f t="shared" si="4"/>
        <v>83.945999999999998</v>
      </c>
      <c r="N11" s="2">
        <f t="shared" si="5"/>
        <v>88.867000000000004</v>
      </c>
      <c r="O11" s="2"/>
      <c r="P11" s="2">
        <f>'Paste Run 1'!DX6/1000</f>
        <v>107.024</v>
      </c>
      <c r="Q11" s="2">
        <f>'Paste Run 1'!DV6/1000</f>
        <v>109</v>
      </c>
      <c r="R11" s="2">
        <f t="shared" si="6"/>
        <v>1.9759999999999991</v>
      </c>
      <c r="S11" s="2">
        <f t="shared" si="7"/>
        <v>88.867000000000004</v>
      </c>
      <c r="T11" s="2">
        <f t="shared" si="8"/>
        <v>90.843000000000004</v>
      </c>
      <c r="U11" s="2"/>
      <c r="V11" s="2">
        <f>'Paste Run 1'!CJ6/1000</f>
        <v>109.10899999999999</v>
      </c>
      <c r="W11" s="2">
        <f>'Paste Run 1'!CH6/1000</f>
        <v>113</v>
      </c>
      <c r="X11" s="2">
        <f t="shared" si="9"/>
        <v>3.8910000000000053</v>
      </c>
      <c r="Y11" s="2">
        <f>'Paste Run 1'!CD6/1000</f>
        <v>4</v>
      </c>
      <c r="Z11" s="2">
        <f t="shared" si="10"/>
        <v>-0.10899999999999466</v>
      </c>
      <c r="AA11" s="2">
        <f t="shared" si="11"/>
        <v>90.951999999999998</v>
      </c>
      <c r="AB11" s="2">
        <f t="shared" si="12"/>
        <v>94.843000000000004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B12" s="40"/>
      <c r="C12">
        <v>6</v>
      </c>
      <c r="D12" s="2">
        <f>'Paste Run 1'!AZ7/1000</f>
        <v>113.11199999999999</v>
      </c>
      <c r="E12" s="2">
        <f>'Paste Run 1'!DM7/1000</f>
        <v>117.11499999999999</v>
      </c>
      <c r="F12" s="66">
        <f t="shared" si="0"/>
        <v>4.0030000000000001</v>
      </c>
      <c r="G12" s="67">
        <f t="shared" si="1"/>
        <v>94.954999999999998</v>
      </c>
      <c r="H12" s="2">
        <f t="shared" si="2"/>
        <v>98.957999999999998</v>
      </c>
      <c r="I12" s="2"/>
      <c r="J12" s="2">
        <f>'Paste Run 1'!DK7/1000</f>
        <v>117.11499999999999</v>
      </c>
      <c r="K12" s="2">
        <f>'Paste Run 1'!DX7/1000</f>
        <v>120.834</v>
      </c>
      <c r="L12" s="66">
        <f t="shared" si="3"/>
        <v>3.7190000000000083</v>
      </c>
      <c r="M12" s="67">
        <f t="shared" si="4"/>
        <v>98.957999999999998</v>
      </c>
      <c r="N12" s="2">
        <f t="shared" si="5"/>
        <v>102.67700000000001</v>
      </c>
      <c r="O12" s="2"/>
      <c r="P12" s="2">
        <f>'Paste Run 1'!DX7/1000</f>
        <v>120.834</v>
      </c>
      <c r="Q12" s="2">
        <f>'Paste Run 1'!DV7/1000</f>
        <v>124</v>
      </c>
      <c r="R12" s="2">
        <f t="shared" si="6"/>
        <v>3.1659999999999968</v>
      </c>
      <c r="S12" s="2">
        <f t="shared" si="7"/>
        <v>102.67700000000001</v>
      </c>
      <c r="T12" s="2">
        <f t="shared" si="8"/>
        <v>105.843</v>
      </c>
      <c r="U12" s="2"/>
      <c r="V12" s="2">
        <f>'Paste Run 1'!CJ7/1000</f>
        <v>124.10299999999999</v>
      </c>
      <c r="W12" s="2">
        <f>'Paste Run 1'!CH7/1000</f>
        <v>126</v>
      </c>
      <c r="X12" s="2">
        <f t="shared" si="9"/>
        <v>1.8970000000000056</v>
      </c>
      <c r="Y12" s="2">
        <f>'Paste Run 1'!CD7/1000</f>
        <v>2</v>
      </c>
      <c r="Z12" s="2">
        <f t="shared" si="10"/>
        <v>-0.10299999999999443</v>
      </c>
      <c r="AA12" s="2">
        <f t="shared" si="11"/>
        <v>105.946</v>
      </c>
      <c r="AB12" s="2">
        <f t="shared" si="12"/>
        <v>107.843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B13" s="40"/>
      <c r="C13">
        <v>7</v>
      </c>
      <c r="D13" s="2">
        <f>'Paste Run 1'!AZ8/1000</f>
        <v>126.105</v>
      </c>
      <c r="E13" s="2">
        <f>'Paste Run 1'!DM8/1000</f>
        <v>130.108</v>
      </c>
      <c r="F13" s="66">
        <f t="shared" si="0"/>
        <v>4.0030000000000001</v>
      </c>
      <c r="G13" s="67">
        <f t="shared" si="1"/>
        <v>107.94800000000001</v>
      </c>
      <c r="H13" s="2">
        <f t="shared" si="2"/>
        <v>111.95100000000001</v>
      </c>
      <c r="I13" s="2"/>
      <c r="J13" s="2">
        <f>'Paste Run 1'!DK8/1000</f>
        <v>130.108</v>
      </c>
      <c r="K13" s="2">
        <f>'Paste Run 1'!DX8/1000</f>
        <v>133.79400000000001</v>
      </c>
      <c r="L13" s="66">
        <f t="shared" si="3"/>
        <v>3.686000000000007</v>
      </c>
      <c r="M13" s="67">
        <f t="shared" si="4"/>
        <v>111.95100000000001</v>
      </c>
      <c r="N13" s="2">
        <f t="shared" si="5"/>
        <v>115.63700000000001</v>
      </c>
      <c r="O13" s="2"/>
      <c r="P13" s="2">
        <f>'Paste Run 1'!DX8/1000</f>
        <v>133.79400000000001</v>
      </c>
      <c r="Q13" s="2">
        <f>'Paste Run 1'!DV8/1000</f>
        <v>137</v>
      </c>
      <c r="R13" s="2">
        <f t="shared" si="6"/>
        <v>3.2059999999999889</v>
      </c>
      <c r="S13" s="2">
        <f t="shared" si="7"/>
        <v>115.63700000000001</v>
      </c>
      <c r="T13" s="2">
        <f t="shared" si="8"/>
        <v>118.843</v>
      </c>
      <c r="U13" s="2"/>
      <c r="V13" s="2">
        <f>'Paste Run 1'!CJ8/1000</f>
        <v>137.113</v>
      </c>
      <c r="W13" s="2">
        <f>'Paste Run 1'!CH8/1000</f>
        <v>145</v>
      </c>
      <c r="X13" s="2">
        <f t="shared" si="9"/>
        <v>7.8870000000000005</v>
      </c>
      <c r="Y13" s="2">
        <f>'Paste Run 1'!CD8/1000</f>
        <v>8</v>
      </c>
      <c r="Z13" s="2">
        <f t="shared" si="10"/>
        <v>-0.11299999999999955</v>
      </c>
      <c r="AA13" s="2">
        <f t="shared" si="11"/>
        <v>118.956</v>
      </c>
      <c r="AB13" s="2">
        <f t="shared" si="12"/>
        <v>126.843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B14" s="40"/>
      <c r="C14">
        <v>8</v>
      </c>
      <c r="D14" s="2">
        <f>'Paste Run 1'!AZ9/1000</f>
        <v>145.102</v>
      </c>
      <c r="E14" s="2">
        <f>'Paste Run 1'!DM9/1000</f>
        <v>149.10499999999999</v>
      </c>
      <c r="F14" s="66">
        <f t="shared" si="0"/>
        <v>4.0029999999999859</v>
      </c>
      <c r="G14" s="67">
        <f t="shared" si="1"/>
        <v>126.94500000000001</v>
      </c>
      <c r="H14" s="2">
        <f t="shared" si="2"/>
        <v>130.94799999999998</v>
      </c>
      <c r="I14" s="2"/>
      <c r="J14" s="2">
        <f>'Paste Run 1'!DK9/1000</f>
        <v>149.10599999999999</v>
      </c>
      <c r="K14" s="2">
        <f>'Paste Run 1'!DX9/1000</f>
        <v>152.09100000000001</v>
      </c>
      <c r="L14" s="66">
        <f t="shared" si="3"/>
        <v>2.9850000000000136</v>
      </c>
      <c r="M14" s="67">
        <f t="shared" si="4"/>
        <v>130.94899999999998</v>
      </c>
      <c r="N14" s="2">
        <f t="shared" si="5"/>
        <v>133.934</v>
      </c>
      <c r="O14" s="2"/>
      <c r="P14" s="2">
        <f>'Paste Run 1'!DX9/1000</f>
        <v>152.09100000000001</v>
      </c>
      <c r="Q14" s="2">
        <f>'Paste Run 1'!DV9/1000</f>
        <v>156</v>
      </c>
      <c r="R14" s="2">
        <f t="shared" si="6"/>
        <v>3.9089999999999918</v>
      </c>
      <c r="S14" s="2">
        <f t="shared" si="7"/>
        <v>133.934</v>
      </c>
      <c r="T14" s="2">
        <f t="shared" si="8"/>
        <v>137.84299999999999</v>
      </c>
      <c r="U14" s="2"/>
      <c r="V14" s="2">
        <f>'Paste Run 1'!CJ9/1000</f>
        <v>156.11099999999999</v>
      </c>
      <c r="W14" s="2">
        <f>'Paste Run 1'!CH9/1000</f>
        <v>164</v>
      </c>
      <c r="X14" s="2">
        <f t="shared" si="9"/>
        <v>7.88900000000001</v>
      </c>
      <c r="Y14" s="2">
        <f>'Paste Run 1'!CD9/1000</f>
        <v>8</v>
      </c>
      <c r="Z14" s="2">
        <f t="shared" si="10"/>
        <v>-0.11099999999999</v>
      </c>
      <c r="AA14" s="2">
        <f t="shared" si="11"/>
        <v>137.95399999999998</v>
      </c>
      <c r="AB14" s="2">
        <f t="shared" si="12"/>
        <v>145.84299999999999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B15" s="40"/>
      <c r="C15">
        <v>9</v>
      </c>
      <c r="D15" s="2">
        <f>'Paste Run 1'!AZ10/1000</f>
        <v>164.1</v>
      </c>
      <c r="E15" s="2">
        <f>'Paste Run 1'!DM10/1000</f>
        <v>168.10300000000001</v>
      </c>
      <c r="F15" s="66">
        <f t="shared" si="0"/>
        <v>4.0030000000000143</v>
      </c>
      <c r="G15" s="67">
        <f t="shared" si="1"/>
        <v>145.94299999999998</v>
      </c>
      <c r="H15" s="2">
        <f t="shared" si="2"/>
        <v>149.946</v>
      </c>
      <c r="I15" s="2"/>
      <c r="J15" s="2">
        <f>'Paste Run 1'!DK10/1000</f>
        <v>168.10300000000001</v>
      </c>
      <c r="K15" s="2">
        <f>'Paste Run 1'!DX10/1000</f>
        <v>171.47200000000001</v>
      </c>
      <c r="L15" s="66">
        <f t="shared" si="3"/>
        <v>3.3689999999999998</v>
      </c>
      <c r="M15" s="67">
        <f t="shared" si="4"/>
        <v>149.946</v>
      </c>
      <c r="N15" s="2">
        <f t="shared" si="5"/>
        <v>153.315</v>
      </c>
      <c r="O15" s="2"/>
      <c r="P15" s="2">
        <f>'Paste Run 1'!DX10/1000</f>
        <v>171.47200000000001</v>
      </c>
      <c r="Q15" s="2">
        <f>'Paste Run 1'!DV10/1000</f>
        <v>175</v>
      </c>
      <c r="R15" s="2">
        <f t="shared" si="6"/>
        <v>3.5279999999999916</v>
      </c>
      <c r="S15" s="2">
        <f t="shared" si="7"/>
        <v>153.315</v>
      </c>
      <c r="T15" s="2">
        <f t="shared" si="8"/>
        <v>156.84299999999999</v>
      </c>
      <c r="U15" s="2"/>
      <c r="V15" s="2">
        <f>'Paste Run 1'!CJ10/1000</f>
        <v>175.108</v>
      </c>
      <c r="W15" s="2">
        <f>'Paste Run 1'!CH10/1000</f>
        <v>185</v>
      </c>
      <c r="X15" s="2">
        <f t="shared" si="9"/>
        <v>9.8919999999999959</v>
      </c>
      <c r="Y15" s="2">
        <f>'Paste Run 1'!CD10/1000</f>
        <v>10</v>
      </c>
      <c r="Z15" s="2">
        <f t="shared" si="10"/>
        <v>-0.10800000000000409</v>
      </c>
      <c r="AA15" s="2">
        <f t="shared" si="11"/>
        <v>156.95099999999999</v>
      </c>
      <c r="AB15" s="2">
        <f t="shared" si="12"/>
        <v>166.84299999999999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B16" s="40"/>
      <c r="C16">
        <v>10</v>
      </c>
      <c r="D16" s="2">
        <f>'Paste Run 1'!AZ11/1000</f>
        <v>185.11600000000001</v>
      </c>
      <c r="E16" s="2">
        <f>'Paste Run 1'!DM11/1000</f>
        <v>189.102</v>
      </c>
      <c r="F16" s="66">
        <f t="shared" si="0"/>
        <v>3.98599999999999</v>
      </c>
      <c r="G16" s="67">
        <f t="shared" si="1"/>
        <v>166.959</v>
      </c>
      <c r="H16" s="2">
        <f t="shared" si="2"/>
        <v>170.94499999999999</v>
      </c>
      <c r="I16" s="2"/>
      <c r="J16" s="2">
        <f>'Paste Run 1'!DK11/1000</f>
        <v>189.102</v>
      </c>
      <c r="K16" s="2">
        <f>'Paste Run 1'!DX11/1000</f>
        <v>191.48699999999999</v>
      </c>
      <c r="L16" s="66">
        <f t="shared" si="3"/>
        <v>2.3849999999999909</v>
      </c>
      <c r="M16" s="67">
        <f t="shared" si="4"/>
        <v>170.94499999999999</v>
      </c>
      <c r="N16" s="2">
        <f t="shared" si="5"/>
        <v>173.32999999999998</v>
      </c>
      <c r="O16" s="2"/>
      <c r="P16" s="2">
        <f>'Paste Run 1'!DX11/1000</f>
        <v>191.48699999999999</v>
      </c>
      <c r="Q16" s="2">
        <f>'Paste Run 1'!DV11/1000</f>
        <v>196</v>
      </c>
      <c r="R16" s="2">
        <f t="shared" si="6"/>
        <v>4.5130000000000052</v>
      </c>
      <c r="S16" s="2">
        <f t="shared" si="7"/>
        <v>173.32999999999998</v>
      </c>
      <c r="T16" s="2">
        <f t="shared" si="8"/>
        <v>177.84299999999999</v>
      </c>
      <c r="U16" s="2"/>
      <c r="V16" s="2">
        <f>'Paste Run 1'!CJ11/1000</f>
        <v>196.108</v>
      </c>
      <c r="W16" s="2">
        <f>'Paste Run 1'!CH11/1000</f>
        <v>200</v>
      </c>
      <c r="X16" s="2">
        <f t="shared" si="9"/>
        <v>3.8919999999999959</v>
      </c>
      <c r="Y16" s="2">
        <f>'Paste Run 1'!CD11/1000</f>
        <v>4</v>
      </c>
      <c r="Z16" s="2">
        <f t="shared" si="10"/>
        <v>-0.10800000000000409</v>
      </c>
      <c r="AA16" s="2">
        <f t="shared" si="11"/>
        <v>177.95099999999999</v>
      </c>
      <c r="AB16" s="2">
        <f t="shared" si="12"/>
        <v>181.84299999999999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2:41" x14ac:dyDescent="0.2">
      <c r="B17" s="40"/>
      <c r="C17">
        <v>11</v>
      </c>
      <c r="D17" s="2">
        <f>'Paste Run 1'!AZ12/1000</f>
        <v>200.11099999999999</v>
      </c>
      <c r="E17" s="2">
        <f>'Paste Run 1'!DM12/1000</f>
        <v>204.114</v>
      </c>
      <c r="F17" s="66">
        <f t="shared" si="0"/>
        <v>4.0030000000000143</v>
      </c>
      <c r="G17" s="67">
        <f t="shared" si="1"/>
        <v>181.95399999999998</v>
      </c>
      <c r="H17" s="2">
        <f t="shared" si="2"/>
        <v>185.95699999999999</v>
      </c>
      <c r="I17" s="2"/>
      <c r="J17" s="2">
        <f>'Paste Run 1'!DK12/1000</f>
        <v>204.114</v>
      </c>
      <c r="K17" s="2">
        <f>'Paste Run 1'!DX12/1000</f>
        <v>207.65</v>
      </c>
      <c r="L17" s="66">
        <f t="shared" si="3"/>
        <v>3.5360000000000014</v>
      </c>
      <c r="M17" s="67">
        <f t="shared" si="4"/>
        <v>185.95699999999999</v>
      </c>
      <c r="N17" s="2">
        <f t="shared" si="5"/>
        <v>189.49299999999999</v>
      </c>
      <c r="O17" s="2"/>
      <c r="P17" s="2">
        <f>'Paste Run 1'!DX12/1000</f>
        <v>207.65</v>
      </c>
      <c r="Q17" s="2">
        <f>'Paste Run 1'!DV12/1000</f>
        <v>211</v>
      </c>
      <c r="R17" s="2">
        <f t="shared" si="6"/>
        <v>3.3499999999999943</v>
      </c>
      <c r="S17" s="2">
        <f t="shared" si="7"/>
        <v>189.49299999999999</v>
      </c>
      <c r="T17" s="2">
        <f t="shared" si="8"/>
        <v>192.84299999999999</v>
      </c>
      <c r="U17" s="2"/>
      <c r="V17" s="2">
        <f>'Paste Run 1'!CJ12/1000</f>
        <v>211.102</v>
      </c>
      <c r="W17" s="2">
        <f>'Paste Run 1'!CH12/1000</f>
        <v>215</v>
      </c>
      <c r="X17" s="2">
        <f t="shared" si="9"/>
        <v>3.8979999999999961</v>
      </c>
      <c r="Y17" s="2">
        <f>'Paste Run 1'!CD12/1000</f>
        <v>4</v>
      </c>
      <c r="Z17" s="2">
        <f t="shared" si="10"/>
        <v>-0.10200000000000387</v>
      </c>
      <c r="AA17" s="2">
        <f t="shared" si="11"/>
        <v>192.94499999999999</v>
      </c>
      <c r="AB17" s="2">
        <f t="shared" si="12"/>
        <v>196.84299999999999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 x14ac:dyDescent="0.2">
      <c r="B18" s="40"/>
      <c r="C18">
        <v>12</v>
      </c>
      <c r="D18" s="2">
        <f>'Paste Run 1'!AZ13/1000</f>
        <v>215.10499999999999</v>
      </c>
      <c r="E18" s="2">
        <f>'Paste Run 1'!DM13/1000</f>
        <v>219.108</v>
      </c>
      <c r="F18" s="66">
        <f t="shared" si="0"/>
        <v>4.0030000000000143</v>
      </c>
      <c r="G18" s="67">
        <f t="shared" si="1"/>
        <v>196.94799999999998</v>
      </c>
      <c r="H18" s="2">
        <f t="shared" si="2"/>
        <v>200.95099999999999</v>
      </c>
      <c r="I18" s="2"/>
      <c r="J18" s="2">
        <f>'Paste Run 1'!DK13/1000</f>
        <v>219.108</v>
      </c>
      <c r="K18" s="2">
        <f>'Paste Run 1'!DX13/1000</f>
        <v>221.393</v>
      </c>
      <c r="L18" s="66">
        <f t="shared" si="3"/>
        <v>2.2849999999999966</v>
      </c>
      <c r="M18" s="67">
        <f t="shared" si="4"/>
        <v>200.95099999999999</v>
      </c>
      <c r="N18" s="2">
        <f t="shared" si="5"/>
        <v>203.23599999999999</v>
      </c>
      <c r="O18" s="2"/>
      <c r="P18" s="2">
        <f>'Paste Run 1'!DX13/1000</f>
        <v>221.393</v>
      </c>
      <c r="Q18" s="2">
        <f>'Paste Run 1'!DV13/1000</f>
        <v>226</v>
      </c>
      <c r="R18" s="2">
        <f t="shared" si="6"/>
        <v>4.6069999999999993</v>
      </c>
      <c r="S18" s="2">
        <f t="shared" si="7"/>
        <v>203.23599999999999</v>
      </c>
      <c r="T18" s="2">
        <f t="shared" si="8"/>
        <v>207.84299999999999</v>
      </c>
      <c r="U18" s="2"/>
      <c r="V18" s="2">
        <f>'Paste Run 1'!CJ13/1000</f>
        <v>226.114</v>
      </c>
      <c r="W18" s="2">
        <f>'Paste Run 1'!CH13/1000</f>
        <v>228</v>
      </c>
      <c r="X18" s="2">
        <f t="shared" si="9"/>
        <v>1.8859999999999957</v>
      </c>
      <c r="Y18" s="2">
        <f>'Paste Run 1'!CD13/1000</f>
        <v>2</v>
      </c>
      <c r="Z18" s="2">
        <f t="shared" si="10"/>
        <v>-0.11400000000000432</v>
      </c>
      <c r="AA18" s="2">
        <f t="shared" si="11"/>
        <v>207.95699999999999</v>
      </c>
      <c r="AB18" s="2">
        <f t="shared" si="12"/>
        <v>209.84299999999999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 x14ac:dyDescent="0.2">
      <c r="B19" s="40"/>
      <c r="C19">
        <v>13</v>
      </c>
      <c r="D19" s="2">
        <f>'Paste Run 1'!AZ14/1000</f>
        <v>228.11500000000001</v>
      </c>
      <c r="E19" s="2">
        <f>'Paste Run 1'!DM14/1000</f>
        <v>232.101</v>
      </c>
      <c r="F19" s="66">
        <f t="shared" si="0"/>
        <v>3.98599999999999</v>
      </c>
      <c r="G19" s="67">
        <f t="shared" si="1"/>
        <v>209.958</v>
      </c>
      <c r="H19" s="2">
        <f t="shared" si="2"/>
        <v>213.94399999999999</v>
      </c>
      <c r="I19" s="2"/>
      <c r="J19" s="2">
        <f>'Paste Run 1'!DK14/1000</f>
        <v>232.101</v>
      </c>
      <c r="K19" s="2">
        <f>'Paste Run 1'!DX14/1000</f>
        <v>235.42</v>
      </c>
      <c r="L19" s="66">
        <f t="shared" si="3"/>
        <v>3.3189999999999884</v>
      </c>
      <c r="M19" s="67">
        <f t="shared" si="4"/>
        <v>213.94399999999999</v>
      </c>
      <c r="N19" s="2">
        <f t="shared" si="5"/>
        <v>217.26299999999998</v>
      </c>
      <c r="O19" s="2"/>
      <c r="P19" s="2">
        <f>'Paste Run 1'!DX14/1000</f>
        <v>235.42</v>
      </c>
      <c r="Q19" s="2">
        <f>'Paste Run 1'!DV14/1000</f>
        <v>239</v>
      </c>
      <c r="R19" s="2">
        <f t="shared" si="6"/>
        <v>3.5800000000000125</v>
      </c>
      <c r="S19" s="2">
        <f t="shared" si="7"/>
        <v>217.26299999999998</v>
      </c>
      <c r="T19" s="2">
        <f t="shared" si="8"/>
        <v>220.84299999999999</v>
      </c>
      <c r="U19" s="2"/>
      <c r="V19" s="2">
        <f>'Paste Run 1'!CJ14/1000</f>
        <v>239.107</v>
      </c>
      <c r="W19" s="2">
        <f>'Paste Run 1'!CH14/1000</f>
        <v>251</v>
      </c>
      <c r="X19" s="2">
        <f t="shared" si="9"/>
        <v>11.893000000000001</v>
      </c>
      <c r="Y19" s="2">
        <f>'Paste Run 1'!CD14/1000</f>
        <v>12</v>
      </c>
      <c r="Z19" s="2">
        <f t="shared" si="10"/>
        <v>-0.10699999999999932</v>
      </c>
      <c r="AA19" s="2">
        <f t="shared" si="11"/>
        <v>220.95</v>
      </c>
      <c r="AB19" s="2">
        <f t="shared" si="12"/>
        <v>232.84299999999999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 x14ac:dyDescent="0.2">
      <c r="B20" s="40"/>
      <c r="C20">
        <v>14</v>
      </c>
      <c r="D20" s="2">
        <f>'Paste Run 1'!AZ15/1000</f>
        <v>251.11600000000001</v>
      </c>
      <c r="E20" s="2">
        <f>'Paste Run 1'!DM15/1000</f>
        <v>255.102</v>
      </c>
      <c r="F20" s="66">
        <f t="shared" si="0"/>
        <v>3.98599999999999</v>
      </c>
      <c r="G20" s="67">
        <f t="shared" si="1"/>
        <v>232.959</v>
      </c>
      <c r="H20" s="2">
        <f t="shared" si="2"/>
        <v>236.94499999999999</v>
      </c>
      <c r="I20" s="2"/>
      <c r="J20" s="2">
        <f>'Paste Run 1'!DK15/1000</f>
        <v>255.102</v>
      </c>
      <c r="K20" s="2">
        <f>'Paste Run 1'!DX15/1000</f>
        <v>257.48700000000002</v>
      </c>
      <c r="L20" s="66">
        <f t="shared" si="3"/>
        <v>2.3850000000000193</v>
      </c>
      <c r="M20" s="67">
        <f t="shared" si="4"/>
        <v>236.94499999999999</v>
      </c>
      <c r="N20" s="2">
        <f t="shared" si="5"/>
        <v>239.33</v>
      </c>
      <c r="O20" s="2"/>
      <c r="P20" s="2">
        <f>'Paste Run 1'!DX15/1000</f>
        <v>257.48700000000002</v>
      </c>
      <c r="Q20" s="2">
        <f>'Paste Run 1'!DV15/1000</f>
        <v>262</v>
      </c>
      <c r="R20" s="2">
        <f t="shared" si="6"/>
        <v>4.5129999999999768</v>
      </c>
      <c r="S20" s="2">
        <f t="shared" si="7"/>
        <v>239.33</v>
      </c>
      <c r="T20" s="2">
        <f t="shared" si="8"/>
        <v>243.84299999999999</v>
      </c>
      <c r="U20" s="2"/>
      <c r="V20" s="2">
        <f>'Paste Run 1'!CJ15/1000</f>
        <v>262.10700000000003</v>
      </c>
      <c r="W20" s="2">
        <f>'Paste Run 1'!CH15/1000</f>
        <v>266</v>
      </c>
      <c r="X20" s="2">
        <f t="shared" si="9"/>
        <v>3.8929999999999723</v>
      </c>
      <c r="Y20" s="2">
        <f>'Paste Run 1'!CD15/1000</f>
        <v>4</v>
      </c>
      <c r="Z20" s="2">
        <f t="shared" si="10"/>
        <v>-0.10700000000002774</v>
      </c>
      <c r="AA20" s="2">
        <f t="shared" si="11"/>
        <v>243.95000000000002</v>
      </c>
      <c r="AB20" s="2">
        <f t="shared" si="12"/>
        <v>247.84299999999999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 x14ac:dyDescent="0.2">
      <c r="B21" s="40"/>
      <c r="C21">
        <v>15</v>
      </c>
      <c r="D21" s="2">
        <f>'Paste Run 1'!AZ16/1000</f>
        <v>266.11</v>
      </c>
      <c r="E21" s="2">
        <f>'Paste Run 1'!DM16/1000</f>
        <v>270.113</v>
      </c>
      <c r="F21" s="66">
        <f t="shared" si="0"/>
        <v>4.0029999999999859</v>
      </c>
      <c r="G21" s="67">
        <f t="shared" si="1"/>
        <v>247.953</v>
      </c>
      <c r="H21" s="2">
        <f t="shared" si="2"/>
        <v>251.95599999999999</v>
      </c>
      <c r="I21" s="2"/>
      <c r="J21" s="2">
        <f>'Paste Run 1'!DK16/1000</f>
        <v>270.113</v>
      </c>
      <c r="K21" s="2">
        <f>'Paste Run 1'!DX16/1000</f>
        <v>273.84899999999999</v>
      </c>
      <c r="L21" s="66">
        <f t="shared" si="3"/>
        <v>3.73599999999999</v>
      </c>
      <c r="M21" s="67">
        <f t="shared" si="4"/>
        <v>251.95599999999999</v>
      </c>
      <c r="N21" s="2">
        <f t="shared" si="5"/>
        <v>255.69199999999998</v>
      </c>
      <c r="O21" s="2"/>
      <c r="P21" s="2">
        <f>'Paste Run 1'!DX16/1000</f>
        <v>273.84899999999999</v>
      </c>
      <c r="Q21" s="2">
        <f>'Paste Run 1'!DV16/1000</f>
        <v>277</v>
      </c>
      <c r="R21" s="2">
        <f t="shared" si="6"/>
        <v>3.1510000000000105</v>
      </c>
      <c r="S21" s="2">
        <f t="shared" si="7"/>
        <v>255.69199999999998</v>
      </c>
      <c r="T21" s="2">
        <f t="shared" si="8"/>
        <v>258.84299999999996</v>
      </c>
      <c r="U21" s="2"/>
      <c r="V21" s="2">
        <f>'Paste Run 1'!CJ16/1000</f>
        <v>277.10199999999998</v>
      </c>
      <c r="W21" s="2">
        <f>'Paste Run 1'!CH16/1000</f>
        <v>283</v>
      </c>
      <c r="X21" s="2">
        <f t="shared" si="9"/>
        <v>5.8980000000000246</v>
      </c>
      <c r="Y21" s="2">
        <f>'Paste Run 1'!CD16/1000</f>
        <v>6</v>
      </c>
      <c r="Z21" s="2">
        <f t="shared" si="10"/>
        <v>-0.10199999999997544</v>
      </c>
      <c r="AA21" s="2">
        <f t="shared" si="11"/>
        <v>258.94499999999999</v>
      </c>
      <c r="AB21" s="2">
        <f t="shared" si="12"/>
        <v>264.84300000000002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 x14ac:dyDescent="0.2">
      <c r="B22" s="40"/>
      <c r="C22">
        <v>16</v>
      </c>
      <c r="D22" s="2">
        <f>'Paste Run 1'!AZ17/1000</f>
        <v>283.10599999999999</v>
      </c>
      <c r="E22" s="2">
        <f>'Paste Run 1'!DM17/1000</f>
        <v>287.10899999999998</v>
      </c>
      <c r="F22" s="66">
        <f t="shared" si="0"/>
        <v>4.0029999999999859</v>
      </c>
      <c r="G22" s="67">
        <f t="shared" si="1"/>
        <v>264.94900000000001</v>
      </c>
      <c r="H22" s="2">
        <f t="shared" si="2"/>
        <v>268.952</v>
      </c>
      <c r="I22" s="2"/>
      <c r="J22" s="2">
        <f>'Paste Run 1'!DK17/1000</f>
        <v>287.11</v>
      </c>
      <c r="K22" s="2">
        <f>'Paste Run 1'!DX17/1000</f>
        <v>289.94499999999999</v>
      </c>
      <c r="L22" s="66">
        <f t="shared" si="3"/>
        <v>2.8349999999999795</v>
      </c>
      <c r="M22" s="67">
        <f t="shared" si="4"/>
        <v>268.95300000000003</v>
      </c>
      <c r="N22" s="2">
        <f t="shared" si="5"/>
        <v>271.78800000000001</v>
      </c>
      <c r="O22" s="2"/>
      <c r="P22" s="2">
        <f>'Paste Run 1'!DX17/1000</f>
        <v>289.94499999999999</v>
      </c>
      <c r="Q22" s="2">
        <f>'Paste Run 1'!DV17/1000</f>
        <v>294</v>
      </c>
      <c r="R22" s="2">
        <f t="shared" si="6"/>
        <v>4.0550000000000068</v>
      </c>
      <c r="S22" s="2">
        <f t="shared" si="7"/>
        <v>271.78800000000001</v>
      </c>
      <c r="T22" s="2">
        <f t="shared" si="8"/>
        <v>275.84300000000002</v>
      </c>
      <c r="U22" s="2"/>
      <c r="V22" s="2">
        <f>'Paste Run 1'!CJ17/1000</f>
        <v>294.11500000000001</v>
      </c>
      <c r="W22" s="2">
        <f>'Paste Run 1'!CH17/1000</f>
        <v>298</v>
      </c>
      <c r="X22" s="2">
        <f t="shared" si="9"/>
        <v>3.8849999999999909</v>
      </c>
      <c r="Y22" s="2">
        <f>'Paste Run 1'!CD17/1000</f>
        <v>4</v>
      </c>
      <c r="Z22" s="2">
        <f t="shared" si="10"/>
        <v>-0.11500000000000909</v>
      </c>
      <c r="AA22" s="2">
        <f t="shared" si="11"/>
        <v>275.95800000000003</v>
      </c>
      <c r="AB22" s="2">
        <f t="shared" si="12"/>
        <v>279.84300000000002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 x14ac:dyDescent="0.2">
      <c r="B23" s="40"/>
      <c r="C23">
        <v>17</v>
      </c>
      <c r="D23" s="2">
        <f>'Paste Run 1'!AZ18/1000</f>
        <v>298.101</v>
      </c>
      <c r="E23" s="2">
        <f>'Paste Run 1'!DM18/1000</f>
        <v>302.10399999999998</v>
      </c>
      <c r="F23" s="66">
        <f t="shared" si="0"/>
        <v>4.0029999999999859</v>
      </c>
      <c r="G23" s="67">
        <f t="shared" si="1"/>
        <v>279.94400000000002</v>
      </c>
      <c r="H23" s="2">
        <f t="shared" si="2"/>
        <v>283.947</v>
      </c>
      <c r="I23" s="2"/>
      <c r="J23" s="2">
        <f>'Paste Run 1'!DK18/1000</f>
        <v>302.10399999999998</v>
      </c>
      <c r="K23" s="2">
        <f>'Paste Run 1'!DX18/1000</f>
        <v>303.90499999999997</v>
      </c>
      <c r="L23" s="66">
        <f t="shared" si="3"/>
        <v>1.8009999999999877</v>
      </c>
      <c r="M23" s="67">
        <f t="shared" si="4"/>
        <v>283.947</v>
      </c>
      <c r="N23" s="2">
        <f t="shared" si="5"/>
        <v>285.74799999999999</v>
      </c>
      <c r="O23" s="2"/>
      <c r="P23" s="2">
        <f>'Paste Run 1'!DX18/1000</f>
        <v>303.90499999999997</v>
      </c>
      <c r="Q23" s="2">
        <f>'Paste Run 1'!DV18/1000</f>
        <v>309</v>
      </c>
      <c r="R23" s="2">
        <f t="shared" si="6"/>
        <v>5.0950000000000273</v>
      </c>
      <c r="S23" s="2">
        <f t="shared" si="7"/>
        <v>285.74799999999999</v>
      </c>
      <c r="T23" s="2">
        <f t="shared" si="8"/>
        <v>290.84300000000002</v>
      </c>
      <c r="U23" s="2"/>
      <c r="V23" s="2">
        <f>'Paste Run 1'!CJ18/1000</f>
        <v>309.10899999999998</v>
      </c>
      <c r="W23" s="2">
        <f>'Paste Run 1'!CH18/1000</f>
        <v>319</v>
      </c>
      <c r="X23" s="2">
        <f t="shared" si="9"/>
        <v>9.8910000000000196</v>
      </c>
      <c r="Y23" s="2">
        <f>'Paste Run 1'!CD18/1000</f>
        <v>10</v>
      </c>
      <c r="Z23" s="2">
        <f t="shared" si="10"/>
        <v>-0.10899999999998045</v>
      </c>
      <c r="AA23" s="2">
        <f t="shared" si="11"/>
        <v>290.952</v>
      </c>
      <c r="AB23" s="2">
        <f t="shared" si="12"/>
        <v>300.84300000000002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 x14ac:dyDescent="0.2">
      <c r="B24" s="40"/>
      <c r="C24">
        <v>18</v>
      </c>
      <c r="D24" s="2">
        <f>'Paste Run 1'!AZ19/1000</f>
        <v>319.10000000000002</v>
      </c>
      <c r="E24" s="2">
        <f>'Paste Run 1'!DM19/1000</f>
        <v>323.10300000000001</v>
      </c>
      <c r="F24" s="66">
        <f t="shared" si="0"/>
        <v>4.0029999999999859</v>
      </c>
      <c r="G24" s="67">
        <f t="shared" si="1"/>
        <v>300.94300000000004</v>
      </c>
      <c r="H24" s="2">
        <f t="shared" si="2"/>
        <v>304.94600000000003</v>
      </c>
      <c r="I24" s="2"/>
      <c r="J24" s="2">
        <f>'Paste Run 1'!DK19/1000</f>
        <v>323.10300000000001</v>
      </c>
      <c r="K24" s="2">
        <f>'Paste Run 1'!DX19/1000</f>
        <v>325.15499999999997</v>
      </c>
      <c r="L24" s="66">
        <f t="shared" si="3"/>
        <v>2.0519999999999641</v>
      </c>
      <c r="M24" s="67">
        <f t="shared" si="4"/>
        <v>304.94600000000003</v>
      </c>
      <c r="N24" s="2">
        <f t="shared" si="5"/>
        <v>306.99799999999999</v>
      </c>
      <c r="O24" s="2"/>
      <c r="P24" s="2">
        <f>'Paste Run 1'!DX19/1000</f>
        <v>325.15499999999997</v>
      </c>
      <c r="Q24" s="2">
        <f>'Paste Run 1'!DV19/1000</f>
        <v>330</v>
      </c>
      <c r="R24" s="2">
        <f t="shared" si="6"/>
        <v>4.8450000000000273</v>
      </c>
      <c r="S24" s="2">
        <f t="shared" si="7"/>
        <v>306.99799999999999</v>
      </c>
      <c r="T24" s="2">
        <f t="shared" si="8"/>
        <v>311.84300000000002</v>
      </c>
      <c r="U24" s="2"/>
      <c r="V24" s="2">
        <f>'Paste Run 1'!CJ19/1000</f>
        <v>330.108</v>
      </c>
      <c r="W24" s="2">
        <f>'Paste Run 1'!CH19/1000</f>
        <v>332</v>
      </c>
      <c r="X24" s="2">
        <f t="shared" si="9"/>
        <v>1.8919999999999959</v>
      </c>
      <c r="Y24" s="2">
        <f>'Paste Run 1'!CD19/1000</f>
        <v>2</v>
      </c>
      <c r="Z24" s="2">
        <f t="shared" si="10"/>
        <v>-0.10800000000000409</v>
      </c>
      <c r="AA24" s="2">
        <f t="shared" si="11"/>
        <v>311.95100000000002</v>
      </c>
      <c r="AB24" s="2">
        <f t="shared" si="12"/>
        <v>313.84300000000002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 x14ac:dyDescent="0.2">
      <c r="B25" s="40"/>
      <c r="C25">
        <v>19</v>
      </c>
      <c r="D25" s="2">
        <f>'Paste Run 1'!AZ20/1000</f>
        <v>332.11</v>
      </c>
      <c r="E25" s="2">
        <f>'Paste Run 1'!DM20/1000</f>
        <v>336.113</v>
      </c>
      <c r="F25" s="66">
        <f t="shared" si="0"/>
        <v>4.0029999999999859</v>
      </c>
      <c r="G25" s="67">
        <f t="shared" si="1"/>
        <v>313.95300000000003</v>
      </c>
      <c r="H25" s="2">
        <f t="shared" si="2"/>
        <v>317.95600000000002</v>
      </c>
      <c r="I25" s="2"/>
      <c r="J25" s="2">
        <f>'Paste Run 1'!DK20/1000</f>
        <v>336.113</v>
      </c>
      <c r="K25" s="2">
        <f>'Paste Run 1'!DX20/1000</f>
        <v>338.91500000000002</v>
      </c>
      <c r="L25" s="66">
        <f t="shared" si="3"/>
        <v>2.8020000000000209</v>
      </c>
      <c r="M25" s="67">
        <f t="shared" si="4"/>
        <v>317.95600000000002</v>
      </c>
      <c r="N25" s="2">
        <f t="shared" si="5"/>
        <v>320.75800000000004</v>
      </c>
      <c r="O25" s="2"/>
      <c r="P25" s="2">
        <f>'Paste Run 1'!DX20/1000</f>
        <v>338.91500000000002</v>
      </c>
      <c r="Q25" s="2">
        <f>'Paste Run 1'!DV20/1000</f>
        <v>343</v>
      </c>
      <c r="R25" s="2">
        <f t="shared" si="6"/>
        <v>4.0849999999999795</v>
      </c>
      <c r="S25" s="2">
        <f t="shared" si="7"/>
        <v>320.75800000000004</v>
      </c>
      <c r="T25" s="2">
        <f t="shared" si="8"/>
        <v>324.84300000000002</v>
      </c>
      <c r="U25" s="2"/>
      <c r="V25" s="2">
        <f>'Paste Run 1'!CJ20/1000</f>
        <v>343.10199999999998</v>
      </c>
      <c r="W25" s="2">
        <f>'Paste Run 1'!CH20/1000</f>
        <v>347</v>
      </c>
      <c r="X25" s="2">
        <f t="shared" si="9"/>
        <v>3.8980000000000246</v>
      </c>
      <c r="Y25" s="2">
        <f>'Paste Run 1'!CD20/1000</f>
        <v>4</v>
      </c>
      <c r="Z25" s="2">
        <f t="shared" si="10"/>
        <v>-0.10199999999997544</v>
      </c>
      <c r="AA25" s="2">
        <f t="shared" si="11"/>
        <v>324.94499999999999</v>
      </c>
      <c r="AB25" s="2">
        <f t="shared" si="12"/>
        <v>328.84300000000002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 x14ac:dyDescent="0.2">
      <c r="B26" s="40"/>
      <c r="C26">
        <v>20</v>
      </c>
      <c r="D26" s="2">
        <f>'Paste Run 1'!AZ21/1000</f>
        <v>347.10500000000002</v>
      </c>
      <c r="E26" s="2">
        <f>'Paste Run 1'!DM21/1000</f>
        <v>351.108</v>
      </c>
      <c r="F26" s="66">
        <f t="shared" si="0"/>
        <v>4.0029999999999859</v>
      </c>
      <c r="G26" s="67">
        <f t="shared" si="1"/>
        <v>328.94800000000004</v>
      </c>
      <c r="H26" s="2">
        <f t="shared" si="2"/>
        <v>332.95100000000002</v>
      </c>
      <c r="I26" s="2"/>
      <c r="J26" s="2">
        <f>'Paste Run 1'!DK21/1000</f>
        <v>351.108</v>
      </c>
      <c r="K26" s="2">
        <f>'Paste Run 1'!DX21/1000</f>
        <v>353.62599999999998</v>
      </c>
      <c r="L26" s="66">
        <f t="shared" si="3"/>
        <v>2.5179999999999723</v>
      </c>
      <c r="M26" s="67">
        <f t="shared" si="4"/>
        <v>332.95100000000002</v>
      </c>
      <c r="N26" s="2">
        <f t="shared" si="5"/>
        <v>335.46899999999999</v>
      </c>
      <c r="O26" s="2"/>
      <c r="P26" s="2">
        <f>'Paste Run 1'!DX21/1000</f>
        <v>353.62599999999998</v>
      </c>
      <c r="Q26" s="2">
        <f>'Paste Run 1'!DV21/1000</f>
        <v>358</v>
      </c>
      <c r="R26" s="2">
        <f t="shared" si="6"/>
        <v>4.3740000000000236</v>
      </c>
      <c r="S26" s="2">
        <f t="shared" si="7"/>
        <v>335.46899999999999</v>
      </c>
      <c r="T26" s="2">
        <f t="shared" si="8"/>
        <v>339.84300000000002</v>
      </c>
      <c r="U26" s="2"/>
      <c r="V26" s="2">
        <f>'Paste Run 1'!CJ21/1000</f>
        <v>358.113</v>
      </c>
      <c r="W26" s="2">
        <f>'Paste Run 1'!CH21/1000</f>
        <v>362</v>
      </c>
      <c r="X26" s="2">
        <f t="shared" si="9"/>
        <v>3.8870000000000005</v>
      </c>
      <c r="Y26" s="2">
        <f>'Paste Run 1'!CD21/1000</f>
        <v>4</v>
      </c>
      <c r="Z26" s="2">
        <f t="shared" si="10"/>
        <v>-0.11299999999999955</v>
      </c>
      <c r="AA26" s="2">
        <f t="shared" si="11"/>
        <v>339.95600000000002</v>
      </c>
      <c r="AB26" s="2">
        <f t="shared" si="12"/>
        <v>343.84300000000002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 x14ac:dyDescent="0.2">
      <c r="B27" s="40"/>
      <c r="C27">
        <v>21</v>
      </c>
      <c r="D27" s="2">
        <f>'Paste Run 1'!AZ22/1000</f>
        <v>362.11599999999999</v>
      </c>
      <c r="E27" s="2">
        <f>'Paste Run 1'!DM22/1000</f>
        <v>366.10199999999998</v>
      </c>
      <c r="F27" s="66">
        <f t="shared" si="0"/>
        <v>3.98599999999999</v>
      </c>
      <c r="G27" s="67">
        <f t="shared" si="1"/>
        <v>343.959</v>
      </c>
      <c r="H27" s="2">
        <f t="shared" si="2"/>
        <v>347.94499999999999</v>
      </c>
      <c r="I27" s="2"/>
      <c r="J27" s="2">
        <f>'Paste Run 1'!DK22/1000</f>
        <v>366.10199999999998</v>
      </c>
      <c r="K27" s="2">
        <f>'Paste Run 1'!DX22/1000</f>
        <v>368.57100000000003</v>
      </c>
      <c r="L27" s="66">
        <f t="shared" si="3"/>
        <v>2.4690000000000509</v>
      </c>
      <c r="M27" s="67">
        <f t="shared" si="4"/>
        <v>347.94499999999999</v>
      </c>
      <c r="N27" s="2">
        <f t="shared" si="5"/>
        <v>350.41400000000004</v>
      </c>
      <c r="O27" s="2"/>
      <c r="P27" s="2">
        <f>'Paste Run 1'!DX22/1000</f>
        <v>368.57100000000003</v>
      </c>
      <c r="Q27" s="2">
        <f>'Paste Run 1'!DV22/1000</f>
        <v>373</v>
      </c>
      <c r="R27" s="2">
        <f t="shared" si="6"/>
        <v>4.4289999999999736</v>
      </c>
      <c r="S27" s="2">
        <f t="shared" si="7"/>
        <v>350.41400000000004</v>
      </c>
      <c r="T27" s="2">
        <f t="shared" si="8"/>
        <v>354.84300000000002</v>
      </c>
      <c r="U27" s="2"/>
      <c r="V27" s="2">
        <f>'Paste Run 1'!CJ22/1000</f>
        <v>373.108</v>
      </c>
      <c r="W27" s="2">
        <f>'Paste Run 1'!CH22/1000</f>
        <v>375</v>
      </c>
      <c r="X27" s="2">
        <f t="shared" si="9"/>
        <v>1.8919999999999959</v>
      </c>
      <c r="Y27" s="2">
        <f>'Paste Run 1'!CD22/1000</f>
        <v>2</v>
      </c>
      <c r="Z27" s="2">
        <f t="shared" si="10"/>
        <v>-0.10800000000000409</v>
      </c>
      <c r="AA27" s="2">
        <f t="shared" si="11"/>
        <v>354.95100000000002</v>
      </c>
      <c r="AB27" s="2">
        <f t="shared" si="12"/>
        <v>356.84300000000002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 x14ac:dyDescent="0.2">
      <c r="B28" s="40"/>
      <c r="C28">
        <v>22</v>
      </c>
      <c r="D28" s="2">
        <f>'Paste Run 1'!AZ23/1000</f>
        <v>375.10899999999998</v>
      </c>
      <c r="E28" s="2">
        <f>'Paste Run 1'!DM23/1000</f>
        <v>379.11200000000002</v>
      </c>
      <c r="F28" s="66">
        <f t="shared" si="0"/>
        <v>4.0030000000000427</v>
      </c>
      <c r="G28" s="67">
        <f t="shared" si="1"/>
        <v>356.952</v>
      </c>
      <c r="H28" s="2">
        <f t="shared" si="2"/>
        <v>360.95500000000004</v>
      </c>
      <c r="I28" s="2"/>
      <c r="J28" s="2">
        <f>'Paste Run 1'!DK23/1000</f>
        <v>379.11200000000002</v>
      </c>
      <c r="K28" s="2">
        <f>'Paste Run 1'!DX23/1000</f>
        <v>380.59699999999998</v>
      </c>
      <c r="L28" s="66">
        <f t="shared" si="3"/>
        <v>1.4849999999999568</v>
      </c>
      <c r="M28" s="67">
        <f t="shared" si="4"/>
        <v>360.95500000000004</v>
      </c>
      <c r="N28" s="2">
        <f t="shared" si="5"/>
        <v>362.44</v>
      </c>
      <c r="O28" s="2"/>
      <c r="P28" s="2">
        <f>'Paste Run 1'!DX23/1000</f>
        <v>380.59699999999998</v>
      </c>
      <c r="Q28" s="2">
        <f>'Paste Run 1'!DV23/1000</f>
        <v>386</v>
      </c>
      <c r="R28" s="2">
        <f t="shared" si="6"/>
        <v>5.40300000000002</v>
      </c>
      <c r="S28" s="2">
        <f t="shared" si="7"/>
        <v>362.44</v>
      </c>
      <c r="T28" s="2">
        <f t="shared" si="8"/>
        <v>367.84300000000002</v>
      </c>
      <c r="U28" s="2"/>
      <c r="V28" s="2">
        <f>'Paste Run 1'!CJ23/1000</f>
        <v>386.101</v>
      </c>
      <c r="W28" s="2">
        <f>'Paste Run 1'!CH23/1000</f>
        <v>396</v>
      </c>
      <c r="X28" s="2">
        <f t="shared" si="9"/>
        <v>9.8990000000000009</v>
      </c>
      <c r="Y28" s="2">
        <f>'Paste Run 1'!CD23/1000</f>
        <v>10</v>
      </c>
      <c r="Z28" s="2">
        <f t="shared" si="10"/>
        <v>-0.10099999999999909</v>
      </c>
      <c r="AA28" s="2">
        <f t="shared" si="11"/>
        <v>367.94400000000002</v>
      </c>
      <c r="AB28" s="2">
        <f t="shared" si="12"/>
        <v>377.84300000000002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 x14ac:dyDescent="0.2">
      <c r="B29" s="40"/>
      <c r="C29">
        <v>23</v>
      </c>
      <c r="D29" s="2">
        <f>'Paste Run 1'!AZ24/1000</f>
        <v>396.108</v>
      </c>
      <c r="E29" s="2">
        <f>'Paste Run 1'!DM24/1000</f>
        <v>400.11099999999999</v>
      </c>
      <c r="F29" s="66">
        <f t="shared" si="0"/>
        <v>4.0029999999999859</v>
      </c>
      <c r="G29" s="67">
        <f t="shared" si="1"/>
        <v>377.95100000000002</v>
      </c>
      <c r="H29" s="2">
        <f t="shared" si="2"/>
        <v>381.95400000000001</v>
      </c>
      <c r="I29" s="2"/>
      <c r="J29" s="2">
        <f>'Paste Run 1'!DK24/1000</f>
        <v>400.11099999999999</v>
      </c>
      <c r="K29" s="2">
        <f>'Paste Run 1'!DX24/1000</f>
        <v>402.84699999999998</v>
      </c>
      <c r="L29" s="66">
        <f t="shared" si="3"/>
        <v>2.73599999999999</v>
      </c>
      <c r="M29" s="67">
        <f t="shared" si="4"/>
        <v>381.95400000000001</v>
      </c>
      <c r="N29" s="2">
        <f t="shared" si="5"/>
        <v>384.69</v>
      </c>
      <c r="O29" s="2"/>
      <c r="P29" s="2">
        <f>'Paste Run 1'!DX24/1000</f>
        <v>402.84699999999998</v>
      </c>
      <c r="Q29" s="2">
        <f>'Paste Run 1'!DV24/1000</f>
        <v>407</v>
      </c>
      <c r="R29" s="2">
        <f t="shared" si="6"/>
        <v>4.15300000000002</v>
      </c>
      <c r="S29" s="2">
        <f t="shared" si="7"/>
        <v>384.69</v>
      </c>
      <c r="T29" s="2">
        <f t="shared" si="8"/>
        <v>388.84300000000002</v>
      </c>
      <c r="U29" s="2"/>
      <c r="V29" s="2">
        <f>'Paste Run 1'!CJ24/1000</f>
        <v>407.1</v>
      </c>
      <c r="W29" s="2">
        <f>'Paste Run 1'!CH24/1000</f>
        <v>411</v>
      </c>
      <c r="X29" s="2">
        <f t="shared" si="9"/>
        <v>3.8999999999999773</v>
      </c>
      <c r="Y29" s="2">
        <f>'Paste Run 1'!CD24/1000</f>
        <v>4</v>
      </c>
      <c r="Z29" s="2">
        <f t="shared" si="10"/>
        <v>-0.10000000000002274</v>
      </c>
      <c r="AA29" s="2">
        <f t="shared" si="11"/>
        <v>388.94300000000004</v>
      </c>
      <c r="AB29" s="2">
        <f t="shared" si="12"/>
        <v>392.84300000000002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 x14ac:dyDescent="0.2">
      <c r="B30" s="40"/>
      <c r="C30">
        <v>24</v>
      </c>
      <c r="D30" s="2">
        <f>'Paste Run 1'!AZ25/1000</f>
        <v>411.10300000000001</v>
      </c>
      <c r="E30" s="2">
        <f>'Paste Run 1'!DM25/1000</f>
        <v>415.10599999999999</v>
      </c>
      <c r="F30" s="66">
        <f t="shared" si="0"/>
        <v>4.0029999999999859</v>
      </c>
      <c r="G30" s="67">
        <f t="shared" si="1"/>
        <v>392.94600000000003</v>
      </c>
      <c r="H30" s="2">
        <f t="shared" si="2"/>
        <v>396.94900000000001</v>
      </c>
      <c r="I30" s="2"/>
      <c r="J30" s="2">
        <f>'Paste Run 1'!DK25/1000</f>
        <v>415.10599999999999</v>
      </c>
      <c r="K30" s="2">
        <f>'Paste Run 1'!DX25/1000</f>
        <v>417.07400000000001</v>
      </c>
      <c r="L30" s="66">
        <f t="shared" si="3"/>
        <v>1.9680000000000177</v>
      </c>
      <c r="M30" s="67">
        <f t="shared" si="4"/>
        <v>396.94900000000001</v>
      </c>
      <c r="N30" s="2">
        <f t="shared" si="5"/>
        <v>398.91700000000003</v>
      </c>
      <c r="O30" s="2"/>
      <c r="P30" s="2">
        <f>'Paste Run 1'!DX25/1000</f>
        <v>417.07400000000001</v>
      </c>
      <c r="Q30" s="2">
        <f>'Paste Run 1'!DV25/1000</f>
        <v>422</v>
      </c>
      <c r="R30" s="2">
        <f t="shared" si="6"/>
        <v>4.9259999999999877</v>
      </c>
      <c r="S30" s="2">
        <f t="shared" si="7"/>
        <v>398.91700000000003</v>
      </c>
      <c r="T30" s="2">
        <f t="shared" si="8"/>
        <v>403.84300000000002</v>
      </c>
      <c r="U30" s="2"/>
      <c r="V30" s="2">
        <f>'Paste Run 1'!CJ25/1000</f>
        <v>422.11099999999999</v>
      </c>
      <c r="W30" s="2">
        <f>'Paste Run 1'!CH25/1000</f>
        <v>424</v>
      </c>
      <c r="X30" s="2">
        <f t="shared" si="9"/>
        <v>1.88900000000001</v>
      </c>
      <c r="Y30" s="2">
        <f>'Paste Run 1'!CD25/1000</f>
        <v>2</v>
      </c>
      <c r="Z30" s="2">
        <f t="shared" si="10"/>
        <v>-0.11099999999999</v>
      </c>
      <c r="AA30" s="2">
        <f t="shared" si="11"/>
        <v>403.95400000000001</v>
      </c>
      <c r="AB30" s="2">
        <f t="shared" si="12"/>
        <v>405.84300000000002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 x14ac:dyDescent="0.2">
      <c r="B31" s="40"/>
      <c r="C31">
        <v>25</v>
      </c>
      <c r="D31" s="2">
        <f>'Paste Run 1'!AZ26/1000</f>
        <v>424.113</v>
      </c>
      <c r="E31" s="2">
        <f>'Paste Run 1'!DM26/1000</f>
        <v>428.11599999999999</v>
      </c>
      <c r="F31" s="66">
        <f t="shared" si="0"/>
        <v>4.0029999999999859</v>
      </c>
      <c r="G31" s="67">
        <f t="shared" si="1"/>
        <v>405.95600000000002</v>
      </c>
      <c r="H31" s="2">
        <f t="shared" si="2"/>
        <v>409.959</v>
      </c>
      <c r="I31" s="2"/>
      <c r="J31" s="2">
        <f>'Paste Run 1'!DK26/1000</f>
        <v>428.11599999999999</v>
      </c>
      <c r="K31" s="2">
        <f>'Paste Run 1'!DX26/1000</f>
        <v>431.03500000000003</v>
      </c>
      <c r="L31" s="66">
        <f t="shared" si="3"/>
        <v>2.9190000000000396</v>
      </c>
      <c r="M31" s="67">
        <f t="shared" si="4"/>
        <v>409.959</v>
      </c>
      <c r="N31" s="2">
        <f t="shared" si="5"/>
        <v>412.87800000000004</v>
      </c>
      <c r="O31" s="2"/>
      <c r="P31" s="2">
        <f>'Paste Run 1'!DX26/1000</f>
        <v>431.03500000000003</v>
      </c>
      <c r="Q31" s="2">
        <f>'Paste Run 1'!DV26/1000</f>
        <v>435</v>
      </c>
      <c r="R31" s="2">
        <f t="shared" si="6"/>
        <v>3.964999999999975</v>
      </c>
      <c r="S31" s="2">
        <f t="shared" si="7"/>
        <v>412.87800000000004</v>
      </c>
      <c r="T31" s="2">
        <f t="shared" si="8"/>
        <v>416.84300000000002</v>
      </c>
      <c r="U31" s="2"/>
      <c r="V31" s="2">
        <f>'Paste Run 1'!CJ26/1000</f>
        <v>435.10399999999998</v>
      </c>
      <c r="W31" s="2">
        <f>'Paste Run 1'!CH26/1000</f>
        <v>439</v>
      </c>
      <c r="X31" s="2">
        <f t="shared" si="9"/>
        <v>3.896000000000015</v>
      </c>
      <c r="Y31" s="2">
        <f>'Paste Run 1'!CD26/1000</f>
        <v>4</v>
      </c>
      <c r="Z31" s="2">
        <f t="shared" si="10"/>
        <v>-0.10399999999998499</v>
      </c>
      <c r="AA31" s="2">
        <f t="shared" si="11"/>
        <v>416.947</v>
      </c>
      <c r="AB31" s="2">
        <f t="shared" si="12"/>
        <v>420.84300000000002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 x14ac:dyDescent="0.2">
      <c r="B32" s="40"/>
      <c r="C32">
        <v>26</v>
      </c>
      <c r="D32" s="2">
        <f>'Paste Run 1'!AZ27/1000</f>
        <v>439.10700000000003</v>
      </c>
      <c r="E32" s="2">
        <f>'Paste Run 1'!DM27/1000</f>
        <v>443.11</v>
      </c>
      <c r="F32" s="66">
        <f t="shared" si="0"/>
        <v>4.0029999999999859</v>
      </c>
      <c r="G32" s="67">
        <f t="shared" si="1"/>
        <v>420.95000000000005</v>
      </c>
      <c r="H32" s="2">
        <f t="shared" si="2"/>
        <v>424.95300000000003</v>
      </c>
      <c r="I32" s="2"/>
      <c r="J32" s="2">
        <f>'Paste Run 1'!DK27/1000</f>
        <v>443.11</v>
      </c>
      <c r="K32" s="2">
        <f>'Paste Run 1'!DX27/1000</f>
        <v>445.44600000000003</v>
      </c>
      <c r="L32" s="66">
        <f t="shared" si="3"/>
        <v>2.3360000000000127</v>
      </c>
      <c r="M32" s="67">
        <f t="shared" si="4"/>
        <v>424.95300000000003</v>
      </c>
      <c r="N32" s="2">
        <f t="shared" si="5"/>
        <v>427.28900000000004</v>
      </c>
      <c r="O32" s="2"/>
      <c r="P32" s="2">
        <f>'Paste Run 1'!DX27/1000</f>
        <v>445.44600000000003</v>
      </c>
      <c r="Q32" s="2">
        <f>'Paste Run 1'!DV27/1000</f>
        <v>450</v>
      </c>
      <c r="R32" s="2">
        <f t="shared" si="6"/>
        <v>4.5539999999999736</v>
      </c>
      <c r="S32" s="2">
        <f t="shared" si="7"/>
        <v>427.28900000000004</v>
      </c>
      <c r="T32" s="2">
        <f t="shared" si="8"/>
        <v>431.84300000000002</v>
      </c>
      <c r="U32" s="2"/>
      <c r="V32" s="2">
        <f>'Paste Run 1'!CJ27/1000</f>
        <v>450.11599999999999</v>
      </c>
      <c r="W32" s="2">
        <f>'Paste Run 1'!CH27/1000</f>
        <v>456</v>
      </c>
      <c r="X32" s="2">
        <f t="shared" si="9"/>
        <v>5.8840000000000146</v>
      </c>
      <c r="Y32" s="2">
        <f>'Paste Run 1'!CD27/1000</f>
        <v>6</v>
      </c>
      <c r="Z32" s="2">
        <f t="shared" si="10"/>
        <v>-0.11599999999998545</v>
      </c>
      <c r="AA32" s="2">
        <f t="shared" si="11"/>
        <v>431.959</v>
      </c>
      <c r="AB32" s="2">
        <f t="shared" si="12"/>
        <v>437.84300000000002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 x14ac:dyDescent="0.2">
      <c r="B33" s="40"/>
      <c r="C33">
        <v>27</v>
      </c>
      <c r="D33" s="2">
        <f>'Paste Run 1'!AZ28/1000</f>
        <v>456.10300000000001</v>
      </c>
      <c r="E33" s="2">
        <f>'Paste Run 1'!DM28/1000</f>
        <v>460.10599999999999</v>
      </c>
      <c r="F33" s="66">
        <f t="shared" si="0"/>
        <v>4.0029999999999859</v>
      </c>
      <c r="G33" s="67">
        <f t="shared" si="1"/>
        <v>437.94600000000003</v>
      </c>
      <c r="H33" s="2">
        <f t="shared" si="2"/>
        <v>441.94900000000001</v>
      </c>
      <c r="I33" s="2"/>
      <c r="J33" s="2">
        <f>'Paste Run 1'!DK28/1000</f>
        <v>460.10599999999999</v>
      </c>
      <c r="K33" s="2">
        <f>'Paste Run 1'!DX28/1000</f>
        <v>462.82499999999999</v>
      </c>
      <c r="L33" s="66">
        <f t="shared" si="3"/>
        <v>2.7189999999999941</v>
      </c>
      <c r="M33" s="67">
        <f t="shared" si="4"/>
        <v>441.94900000000001</v>
      </c>
      <c r="N33" s="2">
        <f t="shared" si="5"/>
        <v>444.66800000000001</v>
      </c>
      <c r="O33" s="2"/>
      <c r="P33" s="2">
        <f>'Paste Run 1'!DX28/1000</f>
        <v>462.82499999999999</v>
      </c>
      <c r="Q33" s="2">
        <f>'Paste Run 1'!DV28/1000</f>
        <v>467</v>
      </c>
      <c r="R33" s="2">
        <f t="shared" si="6"/>
        <v>4.1750000000000114</v>
      </c>
      <c r="S33" s="2">
        <f t="shared" si="7"/>
        <v>444.66800000000001</v>
      </c>
      <c r="T33" s="2">
        <f t="shared" si="8"/>
        <v>448.84300000000002</v>
      </c>
      <c r="U33" s="2"/>
      <c r="V33" s="2">
        <f>'Paste Run 1'!CJ28/1000</f>
        <v>467.11200000000002</v>
      </c>
      <c r="W33" s="2">
        <f>'Paste Run 1'!CH28/1000</f>
        <v>471</v>
      </c>
      <c r="X33" s="2">
        <f t="shared" si="9"/>
        <v>3.8879999999999768</v>
      </c>
      <c r="Y33" s="2">
        <f>'Paste Run 1'!CD28/1000</f>
        <v>4</v>
      </c>
      <c r="Z33" s="2">
        <f t="shared" si="10"/>
        <v>-0.11200000000002319</v>
      </c>
      <c r="AA33" s="2">
        <f t="shared" si="11"/>
        <v>448.95500000000004</v>
      </c>
      <c r="AB33" s="2">
        <f t="shared" si="12"/>
        <v>452.84300000000002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 x14ac:dyDescent="0.2">
      <c r="B34" s="40"/>
      <c r="C34">
        <v>28</v>
      </c>
      <c r="D34" s="2">
        <f>'Paste Run 1'!AZ29/1000</f>
        <v>471.11500000000001</v>
      </c>
      <c r="E34" s="2">
        <f>'Paste Run 1'!DM29/1000</f>
        <v>475.101</v>
      </c>
      <c r="F34" s="66">
        <f t="shared" ref="F34:F36" si="13">E34-D34</f>
        <v>3.98599999999999</v>
      </c>
      <c r="G34" s="67">
        <f t="shared" ref="G34:G36" si="14">D34-D$3</f>
        <v>452.95800000000003</v>
      </c>
      <c r="H34" s="2">
        <f t="shared" ref="H34:H36" si="15">G34+F34</f>
        <v>456.94400000000002</v>
      </c>
      <c r="I34" s="2"/>
      <c r="J34" s="2">
        <f>'Paste Run 1'!DK29/1000</f>
        <v>475.101</v>
      </c>
      <c r="K34" s="2">
        <f>'Paste Run 1'!DX29/1000</f>
        <v>477.13600000000002</v>
      </c>
      <c r="L34" s="66">
        <f t="shared" ref="L34:L36" si="16">K34-J34</f>
        <v>2.035000000000025</v>
      </c>
      <c r="M34" s="67">
        <f t="shared" ref="M34:M36" si="17">J34-D$3</f>
        <v>456.94400000000002</v>
      </c>
      <c r="N34" s="2">
        <f t="shared" ref="N34:N36" si="18">M34+L34</f>
        <v>458.97900000000004</v>
      </c>
      <c r="O34" s="2"/>
      <c r="P34" s="2">
        <f>'Paste Run 1'!DX29/1000</f>
        <v>477.13600000000002</v>
      </c>
      <c r="Q34" s="2">
        <f>'Paste Run 1'!DV29/1000</f>
        <v>482</v>
      </c>
      <c r="R34" s="2">
        <f t="shared" ref="R34:R36" si="19">Q34-P34</f>
        <v>4.8639999999999759</v>
      </c>
      <c r="S34" s="2">
        <f t="shared" ref="S34:S36" si="20">P34-D$3</f>
        <v>458.97900000000004</v>
      </c>
      <c r="T34" s="2">
        <f t="shared" ref="T34:T36" si="21">S34+R34</f>
        <v>463.84300000000002</v>
      </c>
      <c r="U34" s="2"/>
      <c r="V34" s="2">
        <f>'Paste Run 1'!CJ29/1000</f>
        <v>482.10599999999999</v>
      </c>
      <c r="W34" s="2">
        <f>'Paste Run 1'!CH29/1000</f>
        <v>494</v>
      </c>
      <c r="X34" s="2">
        <f t="shared" ref="X34:X36" si="22">W34-V34</f>
        <v>11.894000000000005</v>
      </c>
      <c r="Y34" s="2">
        <f>'Paste Run 1'!CD29/1000</f>
        <v>12</v>
      </c>
      <c r="Z34" s="2">
        <f t="shared" ref="Z34:Z36" si="23">X34-Y34</f>
        <v>-0.10599999999999454</v>
      </c>
      <c r="AA34" s="2">
        <f t="shared" ref="AA34:AA36" si="24">V34-D$3</f>
        <v>463.94900000000001</v>
      </c>
      <c r="AB34" s="2">
        <f t="shared" ref="AB34:AB36" si="25">AA34+X34</f>
        <v>475.84300000000002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 x14ac:dyDescent="0.2">
      <c r="B35" s="40"/>
      <c r="C35">
        <v>29</v>
      </c>
      <c r="D35" s="2">
        <f>'Paste Run 1'!AZ30/1000</f>
        <v>494.11500000000001</v>
      </c>
      <c r="E35" s="2">
        <f>'Paste Run 1'!DM30/1000</f>
        <v>498.10199999999998</v>
      </c>
      <c r="F35" s="66">
        <f t="shared" si="13"/>
        <v>3.9869999999999663</v>
      </c>
      <c r="G35" s="67">
        <f t="shared" si="14"/>
        <v>475.95800000000003</v>
      </c>
      <c r="H35" s="2">
        <f t="shared" si="15"/>
        <v>479.94499999999999</v>
      </c>
      <c r="I35" s="2"/>
      <c r="J35" s="2">
        <f>'Paste Run 1'!DK30/1000</f>
        <v>498.10199999999998</v>
      </c>
      <c r="K35" s="2">
        <f>'Paste Run 1'!DX30/1000</f>
        <v>500.72</v>
      </c>
      <c r="L35" s="66">
        <f t="shared" si="16"/>
        <v>2.6180000000000518</v>
      </c>
      <c r="M35" s="67">
        <f t="shared" si="17"/>
        <v>479.94499999999999</v>
      </c>
      <c r="N35" s="2">
        <f t="shared" si="18"/>
        <v>482.56300000000005</v>
      </c>
      <c r="O35" s="2"/>
      <c r="P35" s="2">
        <f>'Paste Run 1'!DX30/1000</f>
        <v>500.72</v>
      </c>
      <c r="Q35" s="2">
        <f>'Paste Run 1'!DV30/1000</f>
        <v>505</v>
      </c>
      <c r="R35" s="2">
        <f t="shared" si="19"/>
        <v>4.2799999999999727</v>
      </c>
      <c r="S35" s="2">
        <f t="shared" si="20"/>
        <v>482.56300000000005</v>
      </c>
      <c r="T35" s="2">
        <f t="shared" si="21"/>
        <v>486.84300000000002</v>
      </c>
      <c r="U35" s="2"/>
      <c r="V35" s="2">
        <f>'Paste Run 1'!CJ30/1000</f>
        <v>505.10700000000003</v>
      </c>
      <c r="W35" s="2">
        <f>'Paste Run 1'!CH30/1000</f>
        <v>507</v>
      </c>
      <c r="X35" s="2">
        <f t="shared" si="22"/>
        <v>1.8929999999999723</v>
      </c>
      <c r="Y35" s="2">
        <f>'Paste Run 1'!CD30/1000</f>
        <v>2</v>
      </c>
      <c r="Z35" s="2">
        <f t="shared" si="23"/>
        <v>-0.10700000000002774</v>
      </c>
      <c r="AA35" s="2">
        <f t="shared" si="24"/>
        <v>486.95000000000005</v>
      </c>
      <c r="AB35" s="2">
        <f t="shared" si="25"/>
        <v>488.84300000000002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 x14ac:dyDescent="0.2">
      <c r="B36" s="40"/>
      <c r="C36">
        <v>30</v>
      </c>
      <c r="D36" s="2">
        <f>'Paste Run 1'!AZ31/1000</f>
        <v>507.10899999999998</v>
      </c>
      <c r="E36" s="2">
        <f>'Paste Run 1'!DM31/1000</f>
        <v>511.11200000000002</v>
      </c>
      <c r="F36" s="66">
        <f t="shared" si="13"/>
        <v>4.0030000000000427</v>
      </c>
      <c r="G36" s="67">
        <f t="shared" si="14"/>
        <v>488.952</v>
      </c>
      <c r="H36" s="2">
        <f t="shared" si="15"/>
        <v>492.95500000000004</v>
      </c>
      <c r="I36" s="2"/>
      <c r="J36" s="2">
        <f>'Paste Run 1'!DK31/1000</f>
        <v>511.11200000000002</v>
      </c>
      <c r="K36" s="2">
        <f>'Paste Run 1'!DX31/1000</f>
        <v>515.66499999999996</v>
      </c>
      <c r="L36" s="66">
        <f t="shared" si="16"/>
        <v>4.5529999999999404</v>
      </c>
      <c r="M36" s="67">
        <f t="shared" si="17"/>
        <v>492.95500000000004</v>
      </c>
      <c r="N36" s="2">
        <f t="shared" si="18"/>
        <v>497.50799999999998</v>
      </c>
      <c r="O36" s="2"/>
      <c r="P36" s="2">
        <f>'Paste Run 1'!DX31/1000</f>
        <v>515.66499999999996</v>
      </c>
      <c r="Q36" s="2">
        <f>'Paste Run 1'!DV31/1000</f>
        <v>518</v>
      </c>
      <c r="R36" s="2">
        <f t="shared" si="19"/>
        <v>2.3350000000000364</v>
      </c>
      <c r="S36" s="2">
        <f t="shared" si="20"/>
        <v>497.50799999999998</v>
      </c>
      <c r="T36" s="2">
        <f t="shared" si="21"/>
        <v>499.84300000000002</v>
      </c>
      <c r="U36" s="2"/>
      <c r="V36" s="2">
        <f>'Paste Run 1'!CJ31/1000</f>
        <v>518.1</v>
      </c>
      <c r="W36" s="2">
        <f>'Paste Run 1'!CH31/1000</f>
        <v>522</v>
      </c>
      <c r="X36" s="2">
        <f t="shared" si="22"/>
        <v>3.8999999999999773</v>
      </c>
      <c r="Y36" s="2">
        <f>'Paste Run 1'!CD31/1000</f>
        <v>4</v>
      </c>
      <c r="Z36" s="2">
        <f t="shared" si="23"/>
        <v>-0.10000000000002274</v>
      </c>
      <c r="AA36" s="2">
        <f t="shared" si="24"/>
        <v>499.94300000000004</v>
      </c>
      <c r="AB36" s="2">
        <f t="shared" si="25"/>
        <v>503.84300000000002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 ht="16.5" customHeight="1" x14ac:dyDescent="0.2">
      <c r="D37" s="56"/>
      <c r="E37" s="56"/>
      <c r="F37" s="56"/>
      <c r="G37" s="56"/>
      <c r="H37" s="56"/>
      <c r="I37" s="56"/>
      <c r="J37" s="56"/>
      <c r="K37" s="56" t="s">
        <v>127</v>
      </c>
      <c r="L37" s="57">
        <f>COUNTIF(L7:L36,"&gt;7")</f>
        <v>0</v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 x14ac:dyDescent="0.2">
      <c r="B38" s="41" t="s">
        <v>11</v>
      </c>
      <c r="C38" t="s">
        <v>76</v>
      </c>
      <c r="D38" s="222">
        <v>0</v>
      </c>
      <c r="E38" s="56" t="s">
        <v>372</v>
      </c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 x14ac:dyDescent="0.2">
      <c r="B39" s="41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 x14ac:dyDescent="0.2">
      <c r="B40" s="41"/>
      <c r="C40" t="s">
        <v>50</v>
      </c>
      <c r="D40" s="58">
        <f>'Paste Run 2'!N2/1000</f>
        <v>18.510000000000002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 x14ac:dyDescent="0.2">
      <c r="B41" s="41"/>
      <c r="C41" t="s">
        <v>57</v>
      </c>
      <c r="D41" s="56">
        <f>'Paste Run 2'!L2/1000</f>
        <v>24.369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2:41" ht="16" thickBot="1" x14ac:dyDescent="0.25">
      <c r="B42" s="41"/>
      <c r="D42" s="59" t="s">
        <v>58</v>
      </c>
      <c r="E42" s="59"/>
      <c r="F42" s="59"/>
      <c r="G42" s="59"/>
      <c r="H42" s="59"/>
      <c r="I42" s="56"/>
      <c r="J42" s="60" t="s">
        <v>59</v>
      </c>
      <c r="K42" s="60"/>
      <c r="L42" s="60" t="s">
        <v>60</v>
      </c>
      <c r="M42" s="60"/>
      <c r="N42" s="60"/>
      <c r="O42" s="56"/>
      <c r="P42" s="61" t="s">
        <v>61</v>
      </c>
      <c r="Q42" s="61"/>
      <c r="R42" s="61"/>
      <c r="S42" s="61"/>
      <c r="T42" s="61"/>
      <c r="U42" s="56"/>
      <c r="V42" s="61" t="s">
        <v>2</v>
      </c>
      <c r="W42" s="61"/>
      <c r="X42" s="61"/>
      <c r="Y42" s="61"/>
      <c r="Z42" s="61"/>
      <c r="AA42" s="61"/>
      <c r="AB42" s="61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2:41" ht="16" thickBot="1" x14ac:dyDescent="0.25">
      <c r="B43" s="41"/>
      <c r="D43" t="s">
        <v>62</v>
      </c>
      <c r="E43" t="s">
        <v>63</v>
      </c>
      <c r="F43" s="53" t="s">
        <v>64</v>
      </c>
      <c r="G43" s="54" t="s">
        <v>65</v>
      </c>
      <c r="H43" t="s">
        <v>66</v>
      </c>
      <c r="I43" s="55" t="s">
        <v>21</v>
      </c>
      <c r="J43" s="55" t="s">
        <v>67</v>
      </c>
      <c r="K43" s="55" t="s">
        <v>68</v>
      </c>
      <c r="L43" s="55" t="s">
        <v>64</v>
      </c>
      <c r="M43" s="54" t="s">
        <v>69</v>
      </c>
      <c r="N43" s="55" t="s">
        <v>70</v>
      </c>
      <c r="O43" t="s">
        <v>21</v>
      </c>
      <c r="P43" t="s">
        <v>62</v>
      </c>
      <c r="Q43" t="s">
        <v>71</v>
      </c>
      <c r="R43" t="s">
        <v>64</v>
      </c>
      <c r="S43" t="s">
        <v>65</v>
      </c>
      <c r="T43" t="s">
        <v>72</v>
      </c>
      <c r="V43" t="s">
        <v>62</v>
      </c>
      <c r="W43" t="s">
        <v>71</v>
      </c>
      <c r="X43" t="s">
        <v>64</v>
      </c>
      <c r="Y43" t="s">
        <v>73</v>
      </c>
      <c r="Z43" t="s">
        <v>74</v>
      </c>
      <c r="AA43" t="s">
        <v>65</v>
      </c>
      <c r="AB43" t="s">
        <v>72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2:41" x14ac:dyDescent="0.2">
      <c r="B44" s="41"/>
      <c r="C44">
        <v>1</v>
      </c>
      <c r="D44" s="2">
        <f>'Paste Run 2'!AZ2/1000</f>
        <v>24.481000000000002</v>
      </c>
      <c r="E44" s="2">
        <f>'Paste Run 2'!DM2/1000</f>
        <v>28.484999999999999</v>
      </c>
      <c r="F44" s="64">
        <f>E44-D44</f>
        <v>4.0039999999999978</v>
      </c>
      <c r="G44" s="65">
        <f t="shared" ref="G44:G70" si="26">(D44-D$40)+D$38</f>
        <v>5.9710000000000001</v>
      </c>
      <c r="H44" s="2">
        <f>G44+F44</f>
        <v>9.9749999999999979</v>
      </c>
      <c r="I44" s="2"/>
      <c r="J44" s="2">
        <f>'Paste Run 2'!DK2/1000</f>
        <v>28.484999999999999</v>
      </c>
      <c r="K44" s="2">
        <f>'Paste Run 2'!DX2/1000</f>
        <v>31.353000000000002</v>
      </c>
      <c r="L44" s="66">
        <f>K44-J44</f>
        <v>2.8680000000000021</v>
      </c>
      <c r="M44" s="65">
        <f t="shared" ref="M44:M70" si="27">(J44-D$40)+D$38</f>
        <v>9.9749999999999979</v>
      </c>
      <c r="N44" s="2">
        <f>M44+L44</f>
        <v>12.843</v>
      </c>
      <c r="O44" s="2"/>
      <c r="P44" s="2">
        <f>'Paste Run 2'!DX2/1000</f>
        <v>31.353000000000002</v>
      </c>
      <c r="Q44" s="2">
        <f>'Paste Run 2'!DV2/1000</f>
        <v>35.369</v>
      </c>
      <c r="R44" s="2">
        <f>Q44-P44</f>
        <v>4.0159999999999982</v>
      </c>
      <c r="S44" s="2">
        <f t="shared" ref="S44:S70" si="28">(P44-D$40)+D$38</f>
        <v>12.843</v>
      </c>
      <c r="T44" s="2">
        <f>S44+R44</f>
        <v>16.858999999999998</v>
      </c>
      <c r="U44" s="2"/>
      <c r="V44" s="2">
        <f>'Paste Run 2'!CJ2/1000</f>
        <v>35.472999999999999</v>
      </c>
      <c r="W44" s="2">
        <f>'Paste Run 2'!CH2/1000</f>
        <v>41.369</v>
      </c>
      <c r="X44" s="2">
        <f>W44-V44</f>
        <v>5.8960000000000008</v>
      </c>
      <c r="Y44" s="2">
        <f>'Paste Run 2'!CD2/1000</f>
        <v>6</v>
      </c>
      <c r="Z44" s="2">
        <f>X44-Y44</f>
        <v>-0.1039999999999992</v>
      </c>
      <c r="AA44" s="2">
        <f t="shared" ref="AA44:AA70" si="29">(V44-D$40)+D$38</f>
        <v>16.962999999999997</v>
      </c>
      <c r="AB44" s="2">
        <f>AA44+X44</f>
        <v>22.858999999999998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2:41" x14ac:dyDescent="0.2">
      <c r="B45" s="41"/>
      <c r="C45">
        <v>2</v>
      </c>
      <c r="D45" s="2">
        <f>'Paste Run 2'!AZ3/1000</f>
        <v>41.478000000000002</v>
      </c>
      <c r="E45" s="2">
        <f>'Paste Run 2'!DM3/1000</f>
        <v>45.481000000000002</v>
      </c>
      <c r="F45" s="66">
        <f t="shared" ref="F45:F70" si="30">E45-D45</f>
        <v>4.0030000000000001</v>
      </c>
      <c r="G45" s="67">
        <f t="shared" si="26"/>
        <v>22.968</v>
      </c>
      <c r="H45" s="2">
        <f t="shared" ref="H45:H70" si="31">G45+F45</f>
        <v>26.971</v>
      </c>
      <c r="I45" s="2"/>
      <c r="J45" s="2">
        <f>'Paste Run 2'!DK3/1000</f>
        <v>45.481000000000002</v>
      </c>
      <c r="K45" s="2">
        <f>'Paste Run 2'!DX3/1000</f>
        <v>47.832000000000001</v>
      </c>
      <c r="L45" s="66">
        <f t="shared" ref="L45:L70" si="32">K45-J45</f>
        <v>2.3509999999999991</v>
      </c>
      <c r="M45" s="67">
        <f t="shared" si="27"/>
        <v>26.971</v>
      </c>
      <c r="N45" s="2">
        <f t="shared" ref="N45:N70" si="33">M45+L45</f>
        <v>29.321999999999999</v>
      </c>
      <c r="O45" s="2"/>
      <c r="P45" s="2">
        <f>'Paste Run 2'!DX3/1000</f>
        <v>47.832000000000001</v>
      </c>
      <c r="Q45" s="2">
        <f>'Paste Run 2'!DV3/1000</f>
        <v>52.369</v>
      </c>
      <c r="R45" s="2">
        <f t="shared" ref="R45:R70" si="34">Q45-P45</f>
        <v>4.536999999999999</v>
      </c>
      <c r="S45" s="2">
        <f t="shared" si="28"/>
        <v>29.321999999999999</v>
      </c>
      <c r="T45" s="2">
        <f t="shared" ref="T45:T70" si="35">S45+R45</f>
        <v>33.858999999999995</v>
      </c>
      <c r="U45" s="2"/>
      <c r="V45" s="2">
        <f>'Paste Run 2'!CJ3/1000</f>
        <v>52.469000000000001</v>
      </c>
      <c r="W45" s="2">
        <f>'Paste Run 2'!CH3/1000</f>
        <v>64.369</v>
      </c>
      <c r="X45" s="2">
        <f t="shared" ref="X45:X70" si="36">W45-V45</f>
        <v>11.899999999999999</v>
      </c>
      <c r="Y45" s="2">
        <f>'Paste Run 2'!CD3/1000</f>
        <v>12</v>
      </c>
      <c r="Z45" s="2">
        <f t="shared" ref="Z45:Z70" si="37">X45-Y45</f>
        <v>-0.10000000000000142</v>
      </c>
      <c r="AA45" s="2">
        <f t="shared" si="29"/>
        <v>33.959000000000003</v>
      </c>
      <c r="AB45" s="2">
        <f t="shared" ref="AB45:AB70" si="38">AA45+X45</f>
        <v>45.859000000000002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2">
      <c r="B46" s="41"/>
      <c r="C46">
        <v>3</v>
      </c>
      <c r="D46" s="2">
        <f>'Paste Run 2'!AZ4/1000</f>
        <v>64.477999999999994</v>
      </c>
      <c r="E46" s="2">
        <f>'Paste Run 2'!DM4/1000</f>
        <v>68.480999999999995</v>
      </c>
      <c r="F46" s="66">
        <f t="shared" si="30"/>
        <v>4.0030000000000001</v>
      </c>
      <c r="G46" s="67">
        <f t="shared" si="26"/>
        <v>45.967999999999989</v>
      </c>
      <c r="H46" s="2">
        <f t="shared" si="31"/>
        <v>49.970999999999989</v>
      </c>
      <c r="I46" s="2"/>
      <c r="J46" s="2">
        <f>'Paste Run 2'!DK4/1000</f>
        <v>68.480999999999995</v>
      </c>
      <c r="K46" s="2">
        <f>'Paste Run 2'!DX4/1000</f>
        <v>71.05</v>
      </c>
      <c r="L46" s="66">
        <f t="shared" si="32"/>
        <v>2.5690000000000026</v>
      </c>
      <c r="M46" s="67">
        <f t="shared" si="27"/>
        <v>49.970999999999989</v>
      </c>
      <c r="N46" s="2">
        <f t="shared" si="33"/>
        <v>52.539999999999992</v>
      </c>
      <c r="O46" s="2"/>
      <c r="P46" s="2">
        <f>'Paste Run 2'!DX4/1000</f>
        <v>71.05</v>
      </c>
      <c r="Q46" s="2">
        <f>'Paste Run 2'!DV4/1000</f>
        <v>75.369</v>
      </c>
      <c r="R46" s="2">
        <f t="shared" si="34"/>
        <v>4.3190000000000026</v>
      </c>
      <c r="S46" s="2">
        <f t="shared" si="28"/>
        <v>52.539999999999992</v>
      </c>
      <c r="T46" s="2">
        <f t="shared" si="35"/>
        <v>56.858999999999995</v>
      </c>
      <c r="U46" s="2"/>
      <c r="V46" s="2">
        <f>'Paste Run 2'!CJ4/1000</f>
        <v>75.47</v>
      </c>
      <c r="W46" s="2">
        <f>'Paste Run 2'!CH4/1000</f>
        <v>83.369</v>
      </c>
      <c r="X46" s="2">
        <f t="shared" si="36"/>
        <v>7.8990000000000009</v>
      </c>
      <c r="Y46" s="2">
        <f>'Paste Run 2'!CD4/1000</f>
        <v>8</v>
      </c>
      <c r="Z46" s="2">
        <f t="shared" si="37"/>
        <v>-0.10099999999999909</v>
      </c>
      <c r="AA46" s="2">
        <f t="shared" si="29"/>
        <v>56.959999999999994</v>
      </c>
      <c r="AB46" s="2">
        <f t="shared" si="38"/>
        <v>64.858999999999995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2:41" x14ac:dyDescent="0.2">
      <c r="B47" s="41"/>
      <c r="C47">
        <v>4</v>
      </c>
      <c r="D47" s="2">
        <f>'Paste Run 2'!AZ5/1000</f>
        <v>83.475999999999999</v>
      </c>
      <c r="E47" s="2">
        <f>'Paste Run 2'!DM5/1000</f>
        <v>87.478999999999999</v>
      </c>
      <c r="F47" s="66">
        <f t="shared" si="30"/>
        <v>4.0030000000000001</v>
      </c>
      <c r="G47" s="67">
        <f t="shared" si="26"/>
        <v>64.965999999999994</v>
      </c>
      <c r="H47" s="2">
        <f t="shared" si="31"/>
        <v>68.968999999999994</v>
      </c>
      <c r="I47" s="2"/>
      <c r="J47" s="2">
        <f>'Paste Run 2'!DK5/1000</f>
        <v>87.478999999999999</v>
      </c>
      <c r="K47" s="2">
        <f>'Paste Run 2'!DX5/1000</f>
        <v>90.063999999999993</v>
      </c>
      <c r="L47" s="66">
        <f t="shared" si="32"/>
        <v>2.5849999999999937</v>
      </c>
      <c r="M47" s="67">
        <f t="shared" si="27"/>
        <v>68.968999999999994</v>
      </c>
      <c r="N47" s="2">
        <f t="shared" si="33"/>
        <v>71.553999999999988</v>
      </c>
      <c r="O47" s="2"/>
      <c r="P47" s="2">
        <f>'Paste Run 2'!DX5/1000</f>
        <v>90.063999999999993</v>
      </c>
      <c r="Q47" s="2">
        <f>'Paste Run 2'!DV5/1000</f>
        <v>94.369</v>
      </c>
      <c r="R47" s="2">
        <f t="shared" si="34"/>
        <v>4.3050000000000068</v>
      </c>
      <c r="S47" s="2">
        <f t="shared" si="28"/>
        <v>71.553999999999988</v>
      </c>
      <c r="T47" s="2">
        <f t="shared" si="35"/>
        <v>75.858999999999995</v>
      </c>
      <c r="U47" s="2"/>
      <c r="V47" s="2">
        <f>'Paste Run 2'!CJ5/1000</f>
        <v>94.483999999999995</v>
      </c>
      <c r="W47" s="2">
        <f>'Paste Run 2'!CH5/1000</f>
        <v>98.369</v>
      </c>
      <c r="X47" s="2">
        <f t="shared" si="36"/>
        <v>3.8850000000000051</v>
      </c>
      <c r="Y47" s="2">
        <f>'Paste Run 2'!CD5/1000</f>
        <v>4</v>
      </c>
      <c r="Z47" s="2">
        <f t="shared" si="37"/>
        <v>-0.11499999999999488</v>
      </c>
      <c r="AA47" s="2">
        <f t="shared" si="29"/>
        <v>75.97399999999999</v>
      </c>
      <c r="AB47" s="2">
        <f t="shared" si="38"/>
        <v>79.858999999999995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2:41" x14ac:dyDescent="0.2">
      <c r="B48" s="41"/>
      <c r="C48">
        <v>5</v>
      </c>
      <c r="D48" s="2">
        <f>'Paste Run 2'!AZ6/1000</f>
        <v>98.47</v>
      </c>
      <c r="E48" s="2">
        <f>'Paste Run 2'!DM6/1000</f>
        <v>102.473</v>
      </c>
      <c r="F48" s="66">
        <f t="shared" si="30"/>
        <v>4.0030000000000001</v>
      </c>
      <c r="G48" s="67">
        <f t="shared" si="26"/>
        <v>79.959999999999994</v>
      </c>
      <c r="H48" s="2">
        <f t="shared" si="31"/>
        <v>83.962999999999994</v>
      </c>
      <c r="I48" s="2"/>
      <c r="J48" s="2">
        <f>'Paste Run 2'!DK6/1000</f>
        <v>102.474</v>
      </c>
      <c r="K48" s="2">
        <f>'Paste Run 2'!DX6/1000</f>
        <v>104.142</v>
      </c>
      <c r="L48" s="66">
        <f t="shared" si="32"/>
        <v>1.6679999999999922</v>
      </c>
      <c r="M48" s="67">
        <f t="shared" si="27"/>
        <v>83.963999999999999</v>
      </c>
      <c r="N48" s="2">
        <f t="shared" si="33"/>
        <v>85.631999999999991</v>
      </c>
      <c r="O48" s="2"/>
      <c r="P48" s="2">
        <f>'Paste Run 2'!DX6/1000</f>
        <v>104.142</v>
      </c>
      <c r="Q48" s="2">
        <f>'Paste Run 2'!DV6/1000</f>
        <v>109.369</v>
      </c>
      <c r="R48" s="2">
        <f t="shared" si="34"/>
        <v>5.2270000000000039</v>
      </c>
      <c r="S48" s="2">
        <f t="shared" si="28"/>
        <v>85.631999999999991</v>
      </c>
      <c r="T48" s="2">
        <f t="shared" si="35"/>
        <v>90.858999999999995</v>
      </c>
      <c r="U48" s="2"/>
      <c r="V48" s="2">
        <f>'Paste Run 2'!CJ6/1000</f>
        <v>109.479</v>
      </c>
      <c r="W48" s="2">
        <f>'Paste Run 2'!CH6/1000</f>
        <v>113.369</v>
      </c>
      <c r="X48" s="2">
        <f t="shared" si="36"/>
        <v>3.8900000000000006</v>
      </c>
      <c r="Y48" s="2">
        <f>'Paste Run 2'!CD6/1000</f>
        <v>4</v>
      </c>
      <c r="Z48" s="2">
        <f t="shared" si="37"/>
        <v>-0.10999999999999943</v>
      </c>
      <c r="AA48" s="2">
        <f t="shared" si="29"/>
        <v>90.968999999999994</v>
      </c>
      <c r="AB48" s="2">
        <f t="shared" si="38"/>
        <v>94.858999999999995</v>
      </c>
    </row>
    <row r="49" spans="2:28" x14ac:dyDescent="0.2">
      <c r="B49" s="41"/>
      <c r="C49">
        <v>6</v>
      </c>
      <c r="D49" s="2">
        <f>'Paste Run 2'!AZ7/1000</f>
        <v>113.482</v>
      </c>
      <c r="E49" s="2">
        <f>'Paste Run 2'!DM7/1000</f>
        <v>117.485</v>
      </c>
      <c r="F49" s="66">
        <f t="shared" si="30"/>
        <v>4.0030000000000001</v>
      </c>
      <c r="G49" s="67">
        <f t="shared" si="26"/>
        <v>94.971999999999994</v>
      </c>
      <c r="H49" s="2">
        <f t="shared" si="31"/>
        <v>98.974999999999994</v>
      </c>
      <c r="I49" s="2"/>
      <c r="J49" s="2">
        <f>'Paste Run 2'!DK7/1000</f>
        <v>117.485</v>
      </c>
      <c r="K49" s="2">
        <f>'Paste Run 2'!DX7/1000</f>
        <v>119.35299999999999</v>
      </c>
      <c r="L49" s="66">
        <f t="shared" si="32"/>
        <v>1.867999999999995</v>
      </c>
      <c r="M49" s="67">
        <f t="shared" si="27"/>
        <v>98.974999999999994</v>
      </c>
      <c r="N49" s="2">
        <f t="shared" si="33"/>
        <v>100.84299999999999</v>
      </c>
      <c r="O49" s="2"/>
      <c r="P49" s="2">
        <f>'Paste Run 2'!DX7/1000</f>
        <v>119.35299999999999</v>
      </c>
      <c r="Q49" s="2">
        <f>'Paste Run 2'!DV7/1000</f>
        <v>124.369</v>
      </c>
      <c r="R49" s="2">
        <f t="shared" si="34"/>
        <v>5.0160000000000053</v>
      </c>
      <c r="S49" s="2">
        <f t="shared" si="28"/>
        <v>100.84299999999999</v>
      </c>
      <c r="T49" s="2">
        <f t="shared" si="35"/>
        <v>105.85899999999999</v>
      </c>
      <c r="U49" s="2"/>
      <c r="V49" s="2">
        <f>'Paste Run 2'!CJ7/1000</f>
        <v>124.473</v>
      </c>
      <c r="W49" s="2">
        <f>'Paste Run 2'!CH7/1000</f>
        <v>126.369</v>
      </c>
      <c r="X49" s="2">
        <f t="shared" si="36"/>
        <v>1.8960000000000008</v>
      </c>
      <c r="Y49" s="2">
        <f>'Paste Run 2'!CD7/1000</f>
        <v>2</v>
      </c>
      <c r="Z49" s="2">
        <f t="shared" si="37"/>
        <v>-0.1039999999999992</v>
      </c>
      <c r="AA49" s="2">
        <f t="shared" si="29"/>
        <v>105.96299999999999</v>
      </c>
      <c r="AB49" s="2">
        <f t="shared" si="38"/>
        <v>107.85899999999999</v>
      </c>
    </row>
    <row r="50" spans="2:28" x14ac:dyDescent="0.2">
      <c r="B50" s="41"/>
      <c r="C50">
        <v>7</v>
      </c>
      <c r="D50" s="2">
        <f>'Paste Run 2'!AZ8/1000</f>
        <v>126.47499999999999</v>
      </c>
      <c r="E50" s="2">
        <f>'Paste Run 2'!DM8/1000</f>
        <v>130.47800000000001</v>
      </c>
      <c r="F50" s="66">
        <f t="shared" si="30"/>
        <v>4.0030000000000143</v>
      </c>
      <c r="G50" s="67">
        <f t="shared" si="26"/>
        <v>107.96499999999999</v>
      </c>
      <c r="H50" s="2">
        <f t="shared" si="31"/>
        <v>111.968</v>
      </c>
      <c r="I50" s="2"/>
      <c r="J50" s="2">
        <f>'Paste Run 2'!DK8/1000</f>
        <v>130.47800000000001</v>
      </c>
      <c r="K50" s="2">
        <f>'Paste Run 2'!DX8/1000</f>
        <v>134.41399999999999</v>
      </c>
      <c r="L50" s="66">
        <f t="shared" si="32"/>
        <v>3.9359999999999786</v>
      </c>
      <c r="M50" s="67">
        <f t="shared" si="27"/>
        <v>111.968</v>
      </c>
      <c r="N50" s="2">
        <f t="shared" si="33"/>
        <v>115.90399999999998</v>
      </c>
      <c r="O50" s="2"/>
      <c r="P50" s="2">
        <f>'Paste Run 2'!DX8/1000</f>
        <v>134.41399999999999</v>
      </c>
      <c r="Q50" s="2">
        <f>'Paste Run 2'!DV8/1000</f>
        <v>137.369</v>
      </c>
      <c r="R50" s="2">
        <f t="shared" si="34"/>
        <v>2.9550000000000125</v>
      </c>
      <c r="S50" s="2">
        <f t="shared" si="28"/>
        <v>115.90399999999998</v>
      </c>
      <c r="T50" s="2">
        <f t="shared" si="35"/>
        <v>118.85899999999999</v>
      </c>
      <c r="U50" s="2"/>
      <c r="V50" s="2">
        <f>'Paste Run 2'!CJ8/1000</f>
        <v>137.483</v>
      </c>
      <c r="W50" s="2">
        <f>'Paste Run 2'!CH8/1000</f>
        <v>145.369</v>
      </c>
      <c r="X50" s="2">
        <f t="shared" si="36"/>
        <v>7.8859999999999957</v>
      </c>
      <c r="Y50" s="2">
        <f>'Paste Run 2'!CD8/1000</f>
        <v>8</v>
      </c>
      <c r="Z50" s="2">
        <f t="shared" si="37"/>
        <v>-0.11400000000000432</v>
      </c>
      <c r="AA50" s="2">
        <f t="shared" si="29"/>
        <v>118.973</v>
      </c>
      <c r="AB50" s="2">
        <f t="shared" si="38"/>
        <v>126.85899999999999</v>
      </c>
    </row>
    <row r="51" spans="2:28" x14ac:dyDescent="0.2">
      <c r="B51" s="41"/>
      <c r="C51">
        <v>8</v>
      </c>
      <c r="D51" s="2">
        <f>'Paste Run 2'!AZ9/1000</f>
        <v>145.47300000000001</v>
      </c>
      <c r="E51" s="2">
        <f>'Paste Run 2'!DM9/1000</f>
        <v>149.476</v>
      </c>
      <c r="F51" s="66">
        <f t="shared" si="30"/>
        <v>4.0029999999999859</v>
      </c>
      <c r="G51" s="67">
        <f t="shared" si="26"/>
        <v>126.96300000000001</v>
      </c>
      <c r="H51" s="2">
        <f t="shared" si="31"/>
        <v>130.96600000000001</v>
      </c>
      <c r="I51" s="2"/>
      <c r="J51" s="2">
        <f>'Paste Run 2'!DK9/1000</f>
        <v>149.476</v>
      </c>
      <c r="K51" s="2">
        <f>'Paste Run 2'!DX9/1000</f>
        <v>151.56100000000001</v>
      </c>
      <c r="L51" s="66">
        <f t="shared" si="32"/>
        <v>2.085000000000008</v>
      </c>
      <c r="M51" s="67">
        <f t="shared" si="27"/>
        <v>130.96600000000001</v>
      </c>
      <c r="N51" s="2">
        <f t="shared" si="33"/>
        <v>133.05100000000002</v>
      </c>
      <c r="O51" s="2"/>
      <c r="P51" s="2">
        <f>'Paste Run 2'!DX9/1000</f>
        <v>151.56100000000001</v>
      </c>
      <c r="Q51" s="2">
        <f>'Paste Run 2'!DV9/1000</f>
        <v>156.369</v>
      </c>
      <c r="R51" s="2">
        <f t="shared" si="34"/>
        <v>4.8079999999999927</v>
      </c>
      <c r="S51" s="2">
        <f t="shared" si="28"/>
        <v>133.05100000000002</v>
      </c>
      <c r="T51" s="2">
        <f t="shared" si="35"/>
        <v>137.85900000000001</v>
      </c>
      <c r="U51" s="2"/>
      <c r="V51" s="2">
        <f>'Paste Run 2'!CJ9/1000</f>
        <v>156.48099999999999</v>
      </c>
      <c r="W51" s="2">
        <f>'Paste Run 2'!CH9/1000</f>
        <v>164.369</v>
      </c>
      <c r="X51" s="2">
        <f t="shared" si="36"/>
        <v>7.8880000000000052</v>
      </c>
      <c r="Y51" s="2">
        <f>'Paste Run 2'!CD9/1000</f>
        <v>8</v>
      </c>
      <c r="Z51" s="2">
        <f t="shared" si="37"/>
        <v>-0.11199999999999477</v>
      </c>
      <c r="AA51" s="2">
        <f t="shared" si="29"/>
        <v>137.971</v>
      </c>
      <c r="AB51" s="2">
        <f t="shared" si="38"/>
        <v>145.85900000000001</v>
      </c>
    </row>
    <row r="52" spans="2:28" x14ac:dyDescent="0.2">
      <c r="B52" s="41"/>
      <c r="C52">
        <v>9</v>
      </c>
      <c r="D52" s="2">
        <f>'Paste Run 2'!AZ10/1000</f>
        <v>164.47</v>
      </c>
      <c r="E52" s="2">
        <f>'Paste Run 2'!DM10/1000</f>
        <v>168.47300000000001</v>
      </c>
      <c r="F52" s="66">
        <f t="shared" si="30"/>
        <v>4.0030000000000143</v>
      </c>
      <c r="G52" s="67">
        <f t="shared" si="26"/>
        <v>145.96</v>
      </c>
      <c r="H52" s="2">
        <f t="shared" si="31"/>
        <v>149.96300000000002</v>
      </c>
      <c r="I52" s="2"/>
      <c r="J52" s="2">
        <f>'Paste Run 2'!DK10/1000</f>
        <v>168.47300000000001</v>
      </c>
      <c r="K52" s="2">
        <f>'Paste Run 2'!DX10/1000</f>
        <v>170.792</v>
      </c>
      <c r="L52" s="66">
        <f t="shared" si="32"/>
        <v>2.3189999999999884</v>
      </c>
      <c r="M52" s="67">
        <f t="shared" si="27"/>
        <v>149.96300000000002</v>
      </c>
      <c r="N52" s="2">
        <f t="shared" si="33"/>
        <v>152.28200000000001</v>
      </c>
      <c r="O52" s="2"/>
      <c r="P52" s="2">
        <f>'Paste Run 2'!DX10/1000</f>
        <v>170.792</v>
      </c>
      <c r="Q52" s="2">
        <f>'Paste Run 2'!DV10/1000</f>
        <v>175.369</v>
      </c>
      <c r="R52" s="2">
        <f t="shared" si="34"/>
        <v>4.5769999999999982</v>
      </c>
      <c r="S52" s="2">
        <f t="shared" si="28"/>
        <v>152.28200000000001</v>
      </c>
      <c r="T52" s="2">
        <f t="shared" si="35"/>
        <v>156.85900000000001</v>
      </c>
      <c r="U52" s="2"/>
      <c r="V52" s="2">
        <f>'Paste Run 2'!CJ10/1000</f>
        <v>175.47800000000001</v>
      </c>
      <c r="W52" s="2">
        <f>'Paste Run 2'!CH10/1000</f>
        <v>185.369</v>
      </c>
      <c r="X52" s="2">
        <f t="shared" si="36"/>
        <v>9.8909999999999911</v>
      </c>
      <c r="Y52" s="2">
        <f>'Paste Run 2'!CD10/1000</f>
        <v>10</v>
      </c>
      <c r="Z52" s="2">
        <f t="shared" si="37"/>
        <v>-0.10900000000000887</v>
      </c>
      <c r="AA52" s="2">
        <f t="shared" si="29"/>
        <v>156.96800000000002</v>
      </c>
      <c r="AB52" s="2">
        <f t="shared" si="38"/>
        <v>166.85900000000001</v>
      </c>
    </row>
    <row r="53" spans="2:28" x14ac:dyDescent="0.2">
      <c r="B53" s="41"/>
      <c r="C53">
        <v>10</v>
      </c>
      <c r="D53" s="2">
        <f>'Paste Run 2'!AZ11/1000</f>
        <v>185.46899999999999</v>
      </c>
      <c r="E53" s="2">
        <f>'Paste Run 2'!DM11/1000</f>
        <v>189.47200000000001</v>
      </c>
      <c r="F53" s="66">
        <f t="shared" si="30"/>
        <v>4.0030000000000143</v>
      </c>
      <c r="G53" s="67">
        <f t="shared" si="26"/>
        <v>166.959</v>
      </c>
      <c r="H53" s="2">
        <f t="shared" si="31"/>
        <v>170.96200000000002</v>
      </c>
      <c r="I53" s="2"/>
      <c r="J53" s="2">
        <f>'Paste Run 2'!DK11/1000</f>
        <v>189.47200000000001</v>
      </c>
      <c r="K53" s="2">
        <f>'Paste Run 2'!DX11/1000</f>
        <v>191.291</v>
      </c>
      <c r="L53" s="66">
        <f t="shared" si="32"/>
        <v>1.8189999999999884</v>
      </c>
      <c r="M53" s="67">
        <f t="shared" si="27"/>
        <v>170.96200000000002</v>
      </c>
      <c r="N53" s="2">
        <f t="shared" si="33"/>
        <v>172.78100000000001</v>
      </c>
      <c r="O53" s="2"/>
      <c r="P53" s="2">
        <f>'Paste Run 2'!DX11/1000</f>
        <v>191.291</v>
      </c>
      <c r="Q53" s="2">
        <f>'Paste Run 2'!DV11/1000</f>
        <v>196.369</v>
      </c>
      <c r="R53" s="2">
        <f t="shared" si="34"/>
        <v>5.078000000000003</v>
      </c>
      <c r="S53" s="2">
        <f t="shared" si="28"/>
        <v>172.78100000000001</v>
      </c>
      <c r="T53" s="2">
        <f t="shared" si="35"/>
        <v>177.85900000000001</v>
      </c>
      <c r="U53" s="2"/>
      <c r="V53" s="2">
        <f>'Paste Run 2'!CJ11/1000</f>
        <v>196.47800000000001</v>
      </c>
      <c r="W53" s="2">
        <f>'Paste Run 2'!CH11/1000</f>
        <v>200.369</v>
      </c>
      <c r="X53" s="2">
        <f t="shared" si="36"/>
        <v>3.8909999999999911</v>
      </c>
      <c r="Y53" s="2">
        <f>'Paste Run 2'!CD11/1000</f>
        <v>4</v>
      </c>
      <c r="Z53" s="2">
        <f t="shared" si="37"/>
        <v>-0.10900000000000887</v>
      </c>
      <c r="AA53" s="2">
        <f t="shared" si="29"/>
        <v>177.96800000000002</v>
      </c>
      <c r="AB53" s="2">
        <f t="shared" si="38"/>
        <v>181.85900000000001</v>
      </c>
    </row>
    <row r="54" spans="2:28" x14ac:dyDescent="0.2">
      <c r="B54" s="41"/>
      <c r="C54">
        <v>11</v>
      </c>
      <c r="D54" s="2">
        <f>'Paste Run 2'!AZ12/1000</f>
        <v>200.48099999999999</v>
      </c>
      <c r="E54" s="2">
        <f>'Paste Run 2'!DM12/1000</f>
        <v>204.48400000000001</v>
      </c>
      <c r="F54" s="66">
        <f t="shared" si="30"/>
        <v>4.0030000000000143</v>
      </c>
      <c r="G54" s="67">
        <f t="shared" si="26"/>
        <v>181.971</v>
      </c>
      <c r="H54" s="2">
        <f t="shared" si="31"/>
        <v>185.97400000000002</v>
      </c>
      <c r="I54" s="2"/>
      <c r="J54" s="2">
        <f>'Paste Run 2'!DK12/1000</f>
        <v>204.48400000000001</v>
      </c>
      <c r="K54" s="2">
        <f>'Paste Run 2'!DX12/1000</f>
        <v>206.76900000000001</v>
      </c>
      <c r="L54" s="66">
        <f t="shared" si="32"/>
        <v>2.2849999999999966</v>
      </c>
      <c r="M54" s="67">
        <f t="shared" si="27"/>
        <v>185.97400000000002</v>
      </c>
      <c r="N54" s="2">
        <f t="shared" si="33"/>
        <v>188.25900000000001</v>
      </c>
      <c r="O54" s="2"/>
      <c r="P54" s="2">
        <f>'Paste Run 2'!DX12/1000</f>
        <v>206.76900000000001</v>
      </c>
      <c r="Q54" s="2">
        <f>'Paste Run 2'!DV12/1000</f>
        <v>211.369</v>
      </c>
      <c r="R54" s="2">
        <f t="shared" si="34"/>
        <v>4.5999999999999943</v>
      </c>
      <c r="S54" s="2">
        <f t="shared" si="28"/>
        <v>188.25900000000001</v>
      </c>
      <c r="T54" s="2">
        <f t="shared" si="35"/>
        <v>192.85900000000001</v>
      </c>
      <c r="U54" s="2"/>
      <c r="V54" s="2">
        <f>'Paste Run 2'!CJ12/1000</f>
        <v>211.47200000000001</v>
      </c>
      <c r="W54" s="2">
        <f>'Paste Run 2'!CH12/1000</f>
        <v>215.369</v>
      </c>
      <c r="X54" s="2">
        <f t="shared" si="36"/>
        <v>3.8969999999999914</v>
      </c>
      <c r="Y54" s="2">
        <f>'Paste Run 2'!CD12/1000</f>
        <v>4</v>
      </c>
      <c r="Z54" s="2">
        <f t="shared" si="37"/>
        <v>-0.10300000000000864</v>
      </c>
      <c r="AA54" s="2">
        <f t="shared" si="29"/>
        <v>192.96200000000002</v>
      </c>
      <c r="AB54" s="2">
        <f t="shared" si="38"/>
        <v>196.85900000000001</v>
      </c>
    </row>
    <row r="55" spans="2:28" x14ac:dyDescent="0.2">
      <c r="B55" s="41"/>
      <c r="C55">
        <v>12</v>
      </c>
      <c r="D55" s="2">
        <f>'Paste Run 2'!AZ13/1000</f>
        <v>215.47499999999999</v>
      </c>
      <c r="E55" s="2">
        <f>'Paste Run 2'!DM13/1000</f>
        <v>219.47800000000001</v>
      </c>
      <c r="F55" s="66">
        <f t="shared" si="30"/>
        <v>4.0030000000000143</v>
      </c>
      <c r="G55" s="67">
        <f t="shared" si="26"/>
        <v>196.965</v>
      </c>
      <c r="H55" s="2">
        <f t="shared" si="31"/>
        <v>200.96800000000002</v>
      </c>
      <c r="I55" s="2"/>
      <c r="J55" s="2">
        <f>'Paste Run 2'!DK13/1000</f>
        <v>219.47800000000001</v>
      </c>
      <c r="K55" s="2">
        <f>'Paste Run 2'!DX13/1000</f>
        <v>221.346</v>
      </c>
      <c r="L55" s="66">
        <f t="shared" si="32"/>
        <v>1.867999999999995</v>
      </c>
      <c r="M55" s="67">
        <f t="shared" si="27"/>
        <v>200.96800000000002</v>
      </c>
      <c r="N55" s="2">
        <f t="shared" si="33"/>
        <v>202.83600000000001</v>
      </c>
      <c r="O55" s="2"/>
      <c r="P55" s="2">
        <f>'Paste Run 2'!DX13/1000</f>
        <v>221.346</v>
      </c>
      <c r="Q55" s="2">
        <f>'Paste Run 2'!DV13/1000</f>
        <v>226.369</v>
      </c>
      <c r="R55" s="2">
        <f t="shared" si="34"/>
        <v>5.0229999999999961</v>
      </c>
      <c r="S55" s="2">
        <f t="shared" si="28"/>
        <v>202.83600000000001</v>
      </c>
      <c r="T55" s="2">
        <f t="shared" si="35"/>
        <v>207.85900000000001</v>
      </c>
      <c r="U55" s="2"/>
      <c r="V55" s="2">
        <f>'Paste Run 2'!CJ13/1000</f>
        <v>226.48400000000001</v>
      </c>
      <c r="W55" s="2">
        <f>'Paste Run 2'!CH13/1000</f>
        <v>228.369</v>
      </c>
      <c r="X55" s="2">
        <f t="shared" si="36"/>
        <v>1.8849999999999909</v>
      </c>
      <c r="Y55" s="2">
        <f>'Paste Run 2'!CD13/1000</f>
        <v>2</v>
      </c>
      <c r="Z55" s="2">
        <f t="shared" si="37"/>
        <v>-0.11500000000000909</v>
      </c>
      <c r="AA55" s="2">
        <f t="shared" si="29"/>
        <v>207.97400000000002</v>
      </c>
      <c r="AB55" s="2">
        <f t="shared" si="38"/>
        <v>209.85900000000001</v>
      </c>
    </row>
    <row r="56" spans="2:28" x14ac:dyDescent="0.2">
      <c r="B56" s="41"/>
      <c r="C56">
        <v>13</v>
      </c>
      <c r="D56" s="2">
        <f>'Paste Run 2'!AZ14/1000</f>
        <v>228.48500000000001</v>
      </c>
      <c r="E56" s="2">
        <f>'Paste Run 2'!DM14/1000</f>
        <v>232.471</v>
      </c>
      <c r="F56" s="66">
        <f t="shared" si="30"/>
        <v>3.98599999999999</v>
      </c>
      <c r="G56" s="67">
        <f t="shared" si="26"/>
        <v>209.97500000000002</v>
      </c>
      <c r="H56" s="2">
        <f t="shared" si="31"/>
        <v>213.96100000000001</v>
      </c>
      <c r="I56" s="2"/>
      <c r="J56" s="2">
        <f>'Paste Run 2'!DK14/1000</f>
        <v>232.471</v>
      </c>
      <c r="K56" s="2">
        <f>'Paste Run 2'!DX14/1000</f>
        <v>236.208</v>
      </c>
      <c r="L56" s="66">
        <f t="shared" si="32"/>
        <v>3.7369999999999948</v>
      </c>
      <c r="M56" s="67">
        <f t="shared" si="27"/>
        <v>213.96100000000001</v>
      </c>
      <c r="N56" s="2">
        <f t="shared" si="33"/>
        <v>217.69800000000001</v>
      </c>
      <c r="O56" s="2"/>
      <c r="P56" s="2">
        <f>'Paste Run 2'!DX14/1000</f>
        <v>236.208</v>
      </c>
      <c r="Q56" s="2">
        <f>'Paste Run 2'!DV14/1000</f>
        <v>239.369</v>
      </c>
      <c r="R56" s="2">
        <f t="shared" si="34"/>
        <v>3.1610000000000014</v>
      </c>
      <c r="S56" s="2">
        <f t="shared" si="28"/>
        <v>217.69800000000001</v>
      </c>
      <c r="T56" s="2">
        <f t="shared" si="35"/>
        <v>220.85900000000001</v>
      </c>
      <c r="U56" s="2"/>
      <c r="V56" s="2">
        <f>'Paste Run 2'!CJ14/1000</f>
        <v>239.477</v>
      </c>
      <c r="W56" s="2">
        <f>'Paste Run 2'!CH14/1000</f>
        <v>251.369</v>
      </c>
      <c r="X56" s="2">
        <f t="shared" si="36"/>
        <v>11.891999999999996</v>
      </c>
      <c r="Y56" s="2">
        <f>'Paste Run 2'!CD14/1000</f>
        <v>12</v>
      </c>
      <c r="Z56" s="2">
        <f t="shared" si="37"/>
        <v>-0.10800000000000409</v>
      </c>
      <c r="AA56" s="2">
        <f t="shared" si="29"/>
        <v>220.96700000000001</v>
      </c>
      <c r="AB56" s="2">
        <f t="shared" si="38"/>
        <v>232.85900000000001</v>
      </c>
    </row>
    <row r="57" spans="2:28" x14ac:dyDescent="0.2">
      <c r="B57" s="41"/>
      <c r="C57">
        <v>14</v>
      </c>
      <c r="D57" s="2">
        <f>'Paste Run 2'!AZ15/1000</f>
        <v>251.46899999999999</v>
      </c>
      <c r="E57" s="2">
        <f>'Paste Run 2'!DM15/1000</f>
        <v>255.47200000000001</v>
      </c>
      <c r="F57" s="66">
        <f t="shared" si="30"/>
        <v>4.0030000000000143</v>
      </c>
      <c r="G57" s="67">
        <f t="shared" si="26"/>
        <v>232.959</v>
      </c>
      <c r="H57" s="2">
        <f t="shared" si="31"/>
        <v>236.96200000000002</v>
      </c>
      <c r="I57" s="2"/>
      <c r="J57" s="2">
        <f>'Paste Run 2'!DK15/1000</f>
        <v>255.47200000000001</v>
      </c>
      <c r="K57" s="2">
        <f>'Paste Run 2'!DX15/1000</f>
        <v>257.774</v>
      </c>
      <c r="L57" s="66">
        <f t="shared" si="32"/>
        <v>2.3019999999999925</v>
      </c>
      <c r="M57" s="67">
        <f t="shared" si="27"/>
        <v>236.96200000000002</v>
      </c>
      <c r="N57" s="2">
        <f t="shared" si="33"/>
        <v>239.26400000000001</v>
      </c>
      <c r="O57" s="2"/>
      <c r="P57" s="2">
        <f>'Paste Run 2'!DX15/1000</f>
        <v>257.774</v>
      </c>
      <c r="Q57" s="2">
        <f>'Paste Run 2'!DV15/1000</f>
        <v>262.36900000000003</v>
      </c>
      <c r="R57" s="2">
        <f t="shared" si="34"/>
        <v>4.5950000000000273</v>
      </c>
      <c r="S57" s="2">
        <f t="shared" si="28"/>
        <v>239.26400000000001</v>
      </c>
      <c r="T57" s="2">
        <f t="shared" si="35"/>
        <v>243.85900000000004</v>
      </c>
      <c r="U57" s="2"/>
      <c r="V57" s="2">
        <f>'Paste Run 2'!CJ15/1000</f>
        <v>262.47699999999998</v>
      </c>
      <c r="W57" s="2">
        <f>'Paste Run 2'!CH15/1000</f>
        <v>266.36900000000003</v>
      </c>
      <c r="X57" s="2">
        <f t="shared" si="36"/>
        <v>3.8920000000000528</v>
      </c>
      <c r="Y57" s="2">
        <f>'Paste Run 2'!CD15/1000</f>
        <v>4</v>
      </c>
      <c r="Z57" s="2">
        <f t="shared" si="37"/>
        <v>-0.10799999999994725</v>
      </c>
      <c r="AA57" s="2">
        <f t="shared" si="29"/>
        <v>243.96699999999998</v>
      </c>
      <c r="AB57" s="2">
        <f t="shared" si="38"/>
        <v>247.85900000000004</v>
      </c>
    </row>
    <row r="58" spans="2:28" x14ac:dyDescent="0.2">
      <c r="B58" s="41"/>
      <c r="C58">
        <v>15</v>
      </c>
      <c r="D58" s="2">
        <f>'Paste Run 2'!AZ16/1000</f>
        <v>266.48</v>
      </c>
      <c r="E58" s="2">
        <f>'Paste Run 2'!DM16/1000</f>
        <v>270.48399999999998</v>
      </c>
      <c r="F58" s="66">
        <f t="shared" si="30"/>
        <v>4.0039999999999623</v>
      </c>
      <c r="G58" s="67">
        <f t="shared" si="26"/>
        <v>247.97000000000003</v>
      </c>
      <c r="H58" s="2">
        <f t="shared" si="31"/>
        <v>251.97399999999999</v>
      </c>
      <c r="I58" s="2"/>
      <c r="J58" s="2">
        <f>'Paste Run 2'!DK16/1000</f>
        <v>270.48399999999998</v>
      </c>
      <c r="K58" s="2">
        <f>'Paste Run 2'!DX16/1000</f>
        <v>272.685</v>
      </c>
      <c r="L58" s="66">
        <f t="shared" si="32"/>
        <v>2.2010000000000218</v>
      </c>
      <c r="M58" s="67">
        <f t="shared" si="27"/>
        <v>251.97399999999999</v>
      </c>
      <c r="N58" s="2">
        <f t="shared" si="33"/>
        <v>254.17500000000001</v>
      </c>
      <c r="O58" s="2"/>
      <c r="P58" s="2">
        <f>'Paste Run 2'!DX16/1000</f>
        <v>272.685</v>
      </c>
      <c r="Q58" s="2">
        <f>'Paste Run 2'!DV16/1000</f>
        <v>277.36900000000003</v>
      </c>
      <c r="R58" s="2">
        <f t="shared" si="34"/>
        <v>4.6840000000000259</v>
      </c>
      <c r="S58" s="2">
        <f t="shared" si="28"/>
        <v>254.17500000000001</v>
      </c>
      <c r="T58" s="2">
        <f t="shared" si="35"/>
        <v>258.85900000000004</v>
      </c>
      <c r="U58" s="2"/>
      <c r="V58" s="2">
        <f>'Paste Run 2'!CJ16/1000</f>
        <v>277.47199999999998</v>
      </c>
      <c r="W58" s="2">
        <f>'Paste Run 2'!CH16/1000</f>
        <v>283.36900000000003</v>
      </c>
      <c r="X58" s="2">
        <f t="shared" si="36"/>
        <v>5.8970000000000482</v>
      </c>
      <c r="Y58" s="2">
        <f>'Paste Run 2'!CD16/1000</f>
        <v>6</v>
      </c>
      <c r="Z58" s="2">
        <f t="shared" si="37"/>
        <v>-0.1029999999999518</v>
      </c>
      <c r="AA58" s="2">
        <f t="shared" si="29"/>
        <v>258.96199999999999</v>
      </c>
      <c r="AB58" s="2">
        <f t="shared" si="38"/>
        <v>264.85900000000004</v>
      </c>
    </row>
    <row r="59" spans="2:28" x14ac:dyDescent="0.2">
      <c r="B59" s="41"/>
      <c r="C59">
        <v>16</v>
      </c>
      <c r="D59" s="2">
        <f>'Paste Run 2'!AZ17/1000</f>
        <v>283.476</v>
      </c>
      <c r="E59" s="2">
        <f>'Paste Run 2'!DM17/1000</f>
        <v>287.47899999999998</v>
      </c>
      <c r="F59" s="66">
        <f t="shared" si="30"/>
        <v>4.0029999999999859</v>
      </c>
      <c r="G59" s="67">
        <f t="shared" si="26"/>
        <v>264.96600000000001</v>
      </c>
      <c r="H59" s="2">
        <f t="shared" si="31"/>
        <v>268.96899999999999</v>
      </c>
      <c r="I59" s="2"/>
      <c r="J59" s="2">
        <f>'Paste Run 2'!DK17/1000</f>
        <v>287.48</v>
      </c>
      <c r="K59" s="2">
        <f>'Paste Run 2'!DX17/1000</f>
        <v>290.26499999999999</v>
      </c>
      <c r="L59" s="66">
        <f t="shared" si="32"/>
        <v>2.7849999999999682</v>
      </c>
      <c r="M59" s="67">
        <f t="shared" si="27"/>
        <v>268.97000000000003</v>
      </c>
      <c r="N59" s="2">
        <f t="shared" si="33"/>
        <v>271.755</v>
      </c>
      <c r="O59" s="2"/>
      <c r="P59" s="2">
        <f>'Paste Run 2'!DX17/1000</f>
        <v>290.26499999999999</v>
      </c>
      <c r="Q59" s="2">
        <f>'Paste Run 2'!DV17/1000</f>
        <v>294.36900000000003</v>
      </c>
      <c r="R59" s="2">
        <f t="shared" si="34"/>
        <v>4.1040000000000418</v>
      </c>
      <c r="S59" s="2">
        <f t="shared" si="28"/>
        <v>271.755</v>
      </c>
      <c r="T59" s="2">
        <f t="shared" si="35"/>
        <v>275.85900000000004</v>
      </c>
      <c r="U59" s="2"/>
      <c r="V59" s="2">
        <f>'Paste Run 2'!CJ17/1000</f>
        <v>294.48500000000001</v>
      </c>
      <c r="W59" s="2">
        <f>'Paste Run 2'!CH17/1000</f>
        <v>298.36900000000003</v>
      </c>
      <c r="X59" s="2">
        <f t="shared" si="36"/>
        <v>3.8840000000000146</v>
      </c>
      <c r="Y59" s="2">
        <f>'Paste Run 2'!CD17/1000</f>
        <v>4</v>
      </c>
      <c r="Z59" s="2">
        <f t="shared" si="37"/>
        <v>-0.11599999999998545</v>
      </c>
      <c r="AA59" s="2">
        <f t="shared" si="29"/>
        <v>275.97500000000002</v>
      </c>
      <c r="AB59" s="2">
        <f t="shared" si="38"/>
        <v>279.85900000000004</v>
      </c>
    </row>
    <row r="60" spans="2:28" x14ac:dyDescent="0.2">
      <c r="B60" s="41"/>
      <c r="C60">
        <v>17</v>
      </c>
      <c r="D60" s="2">
        <f>'Paste Run 2'!AZ18/1000</f>
        <v>298.471</v>
      </c>
      <c r="E60" s="2">
        <f>'Paste Run 2'!DM18/1000</f>
        <v>302.47399999999999</v>
      </c>
      <c r="F60" s="66">
        <f t="shared" si="30"/>
        <v>4.0029999999999859</v>
      </c>
      <c r="G60" s="67">
        <f t="shared" si="26"/>
        <v>279.96100000000001</v>
      </c>
      <c r="H60" s="2">
        <f t="shared" si="31"/>
        <v>283.964</v>
      </c>
      <c r="I60" s="2"/>
      <c r="J60" s="2">
        <f>'Paste Run 2'!DK18/1000</f>
        <v>302.47399999999999</v>
      </c>
      <c r="K60" s="2">
        <f>'Paste Run 2'!DX18/1000</f>
        <v>304.209</v>
      </c>
      <c r="L60" s="66">
        <f t="shared" si="32"/>
        <v>1.7350000000000136</v>
      </c>
      <c r="M60" s="67">
        <f t="shared" si="27"/>
        <v>283.964</v>
      </c>
      <c r="N60" s="2">
        <f t="shared" si="33"/>
        <v>285.69900000000001</v>
      </c>
      <c r="O60" s="2"/>
      <c r="P60" s="2">
        <f>'Paste Run 2'!DX18/1000</f>
        <v>304.209</v>
      </c>
      <c r="Q60" s="2">
        <f>'Paste Run 2'!DV18/1000</f>
        <v>309.36900000000003</v>
      </c>
      <c r="R60" s="2">
        <f t="shared" si="34"/>
        <v>5.160000000000025</v>
      </c>
      <c r="S60" s="2">
        <f t="shared" si="28"/>
        <v>285.69900000000001</v>
      </c>
      <c r="T60" s="2">
        <f t="shared" si="35"/>
        <v>290.85900000000004</v>
      </c>
      <c r="U60" s="2"/>
      <c r="V60" s="2">
        <f>'Paste Run 2'!CJ18/1000</f>
        <v>309.47899999999998</v>
      </c>
      <c r="W60" s="2">
        <f>'Paste Run 2'!CH18/1000</f>
        <v>319.36900000000003</v>
      </c>
      <c r="X60" s="2">
        <f t="shared" si="36"/>
        <v>9.8900000000000432</v>
      </c>
      <c r="Y60" s="2">
        <f>'Paste Run 2'!CD18/1000</f>
        <v>10</v>
      </c>
      <c r="Z60" s="2">
        <f t="shared" si="37"/>
        <v>-0.1099999999999568</v>
      </c>
      <c r="AA60" s="2">
        <f t="shared" si="29"/>
        <v>290.96899999999999</v>
      </c>
      <c r="AB60" s="2">
        <f t="shared" si="38"/>
        <v>300.85900000000004</v>
      </c>
    </row>
    <row r="61" spans="2:28" x14ac:dyDescent="0.2">
      <c r="B61" s="41"/>
      <c r="C61">
        <v>18</v>
      </c>
      <c r="D61" s="2">
        <f>'Paste Run 2'!AZ19/1000</f>
        <v>319.47000000000003</v>
      </c>
      <c r="E61" s="2">
        <f>'Paste Run 2'!DM19/1000</f>
        <v>323.47300000000001</v>
      </c>
      <c r="F61" s="66">
        <f t="shared" si="30"/>
        <v>4.0029999999999859</v>
      </c>
      <c r="G61" s="67">
        <f t="shared" si="26"/>
        <v>300.96000000000004</v>
      </c>
      <c r="H61" s="2">
        <f t="shared" si="31"/>
        <v>304.96300000000002</v>
      </c>
      <c r="I61" s="2"/>
      <c r="J61" s="2">
        <f>'Paste Run 2'!DK19/1000</f>
        <v>323.47300000000001</v>
      </c>
      <c r="K61" s="2">
        <f>'Paste Run 2'!DX19/1000</f>
        <v>327.29300000000001</v>
      </c>
      <c r="L61" s="66">
        <f t="shared" si="32"/>
        <v>3.8199999999999932</v>
      </c>
      <c r="M61" s="67">
        <f t="shared" si="27"/>
        <v>304.96300000000002</v>
      </c>
      <c r="N61" s="2">
        <f t="shared" si="33"/>
        <v>308.78300000000002</v>
      </c>
      <c r="O61" s="2"/>
      <c r="P61" s="2">
        <f>'Paste Run 2'!DX19/1000</f>
        <v>327.29300000000001</v>
      </c>
      <c r="Q61" s="2">
        <f>'Paste Run 2'!DV19/1000</f>
        <v>330.36900000000003</v>
      </c>
      <c r="R61" s="2">
        <f t="shared" si="34"/>
        <v>3.0760000000000218</v>
      </c>
      <c r="S61" s="2">
        <f t="shared" si="28"/>
        <v>308.78300000000002</v>
      </c>
      <c r="T61" s="2">
        <f t="shared" si="35"/>
        <v>311.85900000000004</v>
      </c>
      <c r="U61" s="2"/>
      <c r="V61" s="2">
        <f>'Paste Run 2'!CJ19/1000</f>
        <v>330.47899999999998</v>
      </c>
      <c r="W61" s="2">
        <f>'Paste Run 2'!CH19/1000</f>
        <v>332.36900000000003</v>
      </c>
      <c r="X61" s="2">
        <f t="shared" si="36"/>
        <v>1.8900000000000432</v>
      </c>
      <c r="Y61" s="2">
        <f>'Paste Run 2'!CD19/1000</f>
        <v>2</v>
      </c>
      <c r="Z61" s="2">
        <f t="shared" si="37"/>
        <v>-0.1099999999999568</v>
      </c>
      <c r="AA61" s="2">
        <f t="shared" si="29"/>
        <v>311.96899999999999</v>
      </c>
      <c r="AB61" s="2">
        <f t="shared" si="38"/>
        <v>313.85900000000004</v>
      </c>
    </row>
    <row r="62" spans="2:28" x14ac:dyDescent="0.2">
      <c r="B62" s="41"/>
      <c r="C62">
        <v>19</v>
      </c>
      <c r="D62" s="2">
        <f>'Paste Run 2'!AZ20/1000</f>
        <v>332.48</v>
      </c>
      <c r="E62" s="2">
        <f>'Paste Run 2'!DM20/1000</f>
        <v>336.483</v>
      </c>
      <c r="F62" s="66">
        <f t="shared" si="30"/>
        <v>4.0029999999999859</v>
      </c>
      <c r="G62" s="67">
        <f t="shared" si="26"/>
        <v>313.97000000000003</v>
      </c>
      <c r="H62" s="2">
        <f t="shared" si="31"/>
        <v>317.97300000000001</v>
      </c>
      <c r="I62" s="2"/>
      <c r="J62" s="2">
        <f>'Paste Run 2'!DK20/1000</f>
        <v>336.483</v>
      </c>
      <c r="K62" s="2">
        <f>'Paste Run 2'!DX20/1000</f>
        <v>338.96800000000002</v>
      </c>
      <c r="L62" s="66">
        <f t="shared" si="32"/>
        <v>2.4850000000000136</v>
      </c>
      <c r="M62" s="67">
        <f t="shared" si="27"/>
        <v>317.97300000000001</v>
      </c>
      <c r="N62" s="2">
        <f t="shared" si="33"/>
        <v>320.45800000000003</v>
      </c>
      <c r="O62" s="2"/>
      <c r="P62" s="2">
        <f>'Paste Run 2'!DX20/1000</f>
        <v>338.96800000000002</v>
      </c>
      <c r="Q62" s="2">
        <f>'Paste Run 2'!DV20/1000</f>
        <v>343.36900000000003</v>
      </c>
      <c r="R62" s="2">
        <f t="shared" si="34"/>
        <v>4.4010000000000105</v>
      </c>
      <c r="S62" s="2">
        <f t="shared" si="28"/>
        <v>320.45800000000003</v>
      </c>
      <c r="T62" s="2">
        <f t="shared" si="35"/>
        <v>324.85900000000004</v>
      </c>
      <c r="U62" s="2"/>
      <c r="V62" s="2">
        <f>'Paste Run 2'!CJ20/1000</f>
        <v>343.47199999999998</v>
      </c>
      <c r="W62" s="2">
        <f>'Paste Run 2'!CH20/1000</f>
        <v>347.36900000000003</v>
      </c>
      <c r="X62" s="2">
        <f t="shared" si="36"/>
        <v>3.8970000000000482</v>
      </c>
      <c r="Y62" s="2">
        <f>'Paste Run 2'!CD20/1000</f>
        <v>4</v>
      </c>
      <c r="Z62" s="2">
        <f t="shared" si="37"/>
        <v>-0.1029999999999518</v>
      </c>
      <c r="AA62" s="2">
        <f t="shared" si="29"/>
        <v>324.96199999999999</v>
      </c>
      <c r="AB62" s="2">
        <f t="shared" si="38"/>
        <v>328.85900000000004</v>
      </c>
    </row>
    <row r="63" spans="2:28" x14ac:dyDescent="0.2">
      <c r="B63" s="41"/>
      <c r="C63">
        <v>20</v>
      </c>
      <c r="D63" s="2">
        <f>'Paste Run 2'!AZ21/1000</f>
        <v>347.47500000000002</v>
      </c>
      <c r="E63" s="2">
        <f>'Paste Run 2'!DM21/1000</f>
        <v>351.47800000000001</v>
      </c>
      <c r="F63" s="66">
        <f t="shared" si="30"/>
        <v>4.0029999999999859</v>
      </c>
      <c r="G63" s="67">
        <f t="shared" si="26"/>
        <v>328.96500000000003</v>
      </c>
      <c r="H63" s="2">
        <f t="shared" si="31"/>
        <v>332.96800000000002</v>
      </c>
      <c r="I63" s="2"/>
      <c r="J63" s="2">
        <f>'Paste Run 2'!DK21/1000</f>
        <v>351.47800000000001</v>
      </c>
      <c r="K63" s="2">
        <f>'Paste Run 2'!DX21/1000</f>
        <v>352.66199999999998</v>
      </c>
      <c r="L63" s="66">
        <f t="shared" si="32"/>
        <v>1.1839999999999691</v>
      </c>
      <c r="M63" s="67">
        <f t="shared" si="27"/>
        <v>332.96800000000002</v>
      </c>
      <c r="N63" s="2">
        <f t="shared" si="33"/>
        <v>334.15199999999999</v>
      </c>
      <c r="O63" s="2"/>
      <c r="P63" s="2">
        <f>'Paste Run 2'!DX21/1000</f>
        <v>352.66199999999998</v>
      </c>
      <c r="Q63" s="2">
        <f>'Paste Run 2'!DV21/1000</f>
        <v>358.36900000000003</v>
      </c>
      <c r="R63" s="2">
        <f t="shared" si="34"/>
        <v>5.7070000000000505</v>
      </c>
      <c r="S63" s="2">
        <f t="shared" si="28"/>
        <v>334.15199999999999</v>
      </c>
      <c r="T63" s="2">
        <f t="shared" si="35"/>
        <v>339.85900000000004</v>
      </c>
      <c r="U63" s="2"/>
      <c r="V63" s="2">
        <f>'Paste Run 2'!CJ21/1000</f>
        <v>358.483</v>
      </c>
      <c r="W63" s="2">
        <f>'Paste Run 2'!CH21/1000</f>
        <v>362.36900000000003</v>
      </c>
      <c r="X63" s="2">
        <f t="shared" si="36"/>
        <v>3.8860000000000241</v>
      </c>
      <c r="Y63" s="2">
        <f>'Paste Run 2'!CD21/1000</f>
        <v>4</v>
      </c>
      <c r="Z63" s="2">
        <f t="shared" si="37"/>
        <v>-0.1139999999999759</v>
      </c>
      <c r="AA63" s="2">
        <f t="shared" si="29"/>
        <v>339.97300000000001</v>
      </c>
      <c r="AB63" s="2">
        <f t="shared" si="38"/>
        <v>343.85900000000004</v>
      </c>
    </row>
    <row r="64" spans="2:28" x14ac:dyDescent="0.2">
      <c r="B64" s="41"/>
      <c r="C64">
        <v>21</v>
      </c>
      <c r="D64" s="2">
        <f>'Paste Run 2'!AZ22/1000</f>
        <v>362.46899999999999</v>
      </c>
      <c r="E64" s="2">
        <f>'Paste Run 2'!DM22/1000</f>
        <v>366.47199999999998</v>
      </c>
      <c r="F64" s="66">
        <f t="shared" si="30"/>
        <v>4.0029999999999859</v>
      </c>
      <c r="G64" s="67">
        <f t="shared" si="26"/>
        <v>343.959</v>
      </c>
      <c r="H64" s="2">
        <f t="shared" si="31"/>
        <v>347.96199999999999</v>
      </c>
      <c r="I64" s="2"/>
      <c r="J64" s="2">
        <f>'Paste Run 2'!DK22/1000</f>
        <v>366.47199999999998</v>
      </c>
      <c r="K64" s="2">
        <f>'Paste Run 2'!DX22/1000</f>
        <v>368.62400000000002</v>
      </c>
      <c r="L64" s="66">
        <f t="shared" si="32"/>
        <v>2.1520000000000437</v>
      </c>
      <c r="M64" s="67">
        <f t="shared" si="27"/>
        <v>347.96199999999999</v>
      </c>
      <c r="N64" s="2">
        <f t="shared" si="33"/>
        <v>350.11400000000003</v>
      </c>
      <c r="O64" s="2"/>
      <c r="P64" s="2">
        <f>'Paste Run 2'!DX22/1000</f>
        <v>368.62400000000002</v>
      </c>
      <c r="Q64" s="2">
        <f>'Paste Run 2'!DV22/1000</f>
        <v>373.36900000000003</v>
      </c>
      <c r="R64" s="2">
        <f t="shared" si="34"/>
        <v>4.7450000000000045</v>
      </c>
      <c r="S64" s="2">
        <f t="shared" si="28"/>
        <v>350.11400000000003</v>
      </c>
      <c r="T64" s="2">
        <f t="shared" si="35"/>
        <v>354.85900000000004</v>
      </c>
      <c r="U64" s="2"/>
      <c r="V64" s="2">
        <f>'Paste Run 2'!CJ22/1000</f>
        <v>373.47800000000001</v>
      </c>
      <c r="W64" s="2">
        <f>'Paste Run 2'!CH22/1000</f>
        <v>375.36900000000003</v>
      </c>
      <c r="X64" s="2">
        <f t="shared" si="36"/>
        <v>1.8910000000000196</v>
      </c>
      <c r="Y64" s="2">
        <f>'Paste Run 2'!CD22/1000</f>
        <v>2</v>
      </c>
      <c r="Z64" s="2">
        <f t="shared" si="37"/>
        <v>-0.10899999999998045</v>
      </c>
      <c r="AA64" s="2">
        <f t="shared" si="29"/>
        <v>354.96800000000002</v>
      </c>
      <c r="AB64" s="2">
        <f t="shared" si="38"/>
        <v>356.85900000000004</v>
      </c>
    </row>
    <row r="65" spans="2:28" x14ac:dyDescent="0.2">
      <c r="B65" s="41"/>
      <c r="C65">
        <v>22</v>
      </c>
      <c r="D65" s="2">
        <f>'Paste Run 2'!AZ23/1000</f>
        <v>375.47899999999998</v>
      </c>
      <c r="E65" s="2">
        <f>'Paste Run 2'!DM23/1000</f>
        <v>379.48200000000003</v>
      </c>
      <c r="F65" s="66">
        <f t="shared" si="30"/>
        <v>4.0030000000000427</v>
      </c>
      <c r="G65" s="67">
        <f t="shared" si="26"/>
        <v>356.96899999999999</v>
      </c>
      <c r="H65" s="2">
        <f t="shared" si="31"/>
        <v>360.97200000000004</v>
      </c>
      <c r="I65" s="2"/>
      <c r="J65" s="2">
        <f>'Paste Run 2'!DK23/1000</f>
        <v>379.48200000000003</v>
      </c>
      <c r="K65" s="2">
        <f>'Paste Run 2'!DX23/1000</f>
        <v>381.38400000000001</v>
      </c>
      <c r="L65" s="66">
        <f t="shared" si="32"/>
        <v>1.9019999999999868</v>
      </c>
      <c r="M65" s="67">
        <f t="shared" si="27"/>
        <v>360.97200000000004</v>
      </c>
      <c r="N65" s="2">
        <f t="shared" si="33"/>
        <v>362.87400000000002</v>
      </c>
      <c r="O65" s="2"/>
      <c r="P65" s="2">
        <f>'Paste Run 2'!DX23/1000</f>
        <v>381.38400000000001</v>
      </c>
      <c r="Q65" s="2">
        <f>'Paste Run 2'!DV23/1000</f>
        <v>386.36900000000003</v>
      </c>
      <c r="R65" s="2">
        <f t="shared" si="34"/>
        <v>4.9850000000000136</v>
      </c>
      <c r="S65" s="2">
        <f t="shared" si="28"/>
        <v>362.87400000000002</v>
      </c>
      <c r="T65" s="2">
        <f t="shared" si="35"/>
        <v>367.85900000000004</v>
      </c>
      <c r="U65" s="2"/>
      <c r="V65" s="2">
        <f>'Paste Run 2'!CJ23/1000</f>
        <v>386.471</v>
      </c>
      <c r="W65" s="2">
        <f>'Paste Run 2'!CH23/1000</f>
        <v>396.36900000000003</v>
      </c>
      <c r="X65" s="2">
        <f t="shared" si="36"/>
        <v>9.8980000000000246</v>
      </c>
      <c r="Y65" s="2">
        <f>'Paste Run 2'!CD23/1000</f>
        <v>10</v>
      </c>
      <c r="Z65" s="2">
        <f t="shared" si="37"/>
        <v>-0.10199999999997544</v>
      </c>
      <c r="AA65" s="2">
        <f t="shared" si="29"/>
        <v>367.96100000000001</v>
      </c>
      <c r="AB65" s="2">
        <f t="shared" si="38"/>
        <v>377.85900000000004</v>
      </c>
    </row>
    <row r="66" spans="2:28" x14ac:dyDescent="0.2">
      <c r="B66" s="41"/>
      <c r="C66">
        <v>23</v>
      </c>
      <c r="D66" s="2">
        <f>'Paste Run 2'!AZ24/1000</f>
        <v>396.47800000000001</v>
      </c>
      <c r="E66" s="2">
        <f>'Paste Run 2'!DM24/1000</f>
        <v>400.48099999999999</v>
      </c>
      <c r="F66" s="66">
        <f t="shared" si="30"/>
        <v>4.0029999999999859</v>
      </c>
      <c r="G66" s="67">
        <f t="shared" si="26"/>
        <v>377.96800000000002</v>
      </c>
      <c r="H66" s="2">
        <f t="shared" si="31"/>
        <v>381.971</v>
      </c>
      <c r="I66" s="2"/>
      <c r="J66" s="2">
        <f>'Paste Run 2'!DK24/1000</f>
        <v>400.48099999999999</v>
      </c>
      <c r="K66" s="2">
        <f>'Paste Run 2'!DX24/1000</f>
        <v>402.51600000000002</v>
      </c>
      <c r="L66" s="66">
        <f t="shared" si="32"/>
        <v>2.035000000000025</v>
      </c>
      <c r="M66" s="67">
        <f t="shared" si="27"/>
        <v>381.971</v>
      </c>
      <c r="N66" s="2">
        <f t="shared" si="33"/>
        <v>384.00600000000003</v>
      </c>
      <c r="O66" s="2"/>
      <c r="P66" s="2">
        <f>'Paste Run 2'!DX24/1000</f>
        <v>402.51600000000002</v>
      </c>
      <c r="Q66" s="2">
        <f>'Paste Run 2'!DV24/1000</f>
        <v>407.36900000000003</v>
      </c>
      <c r="R66" s="2">
        <f t="shared" si="34"/>
        <v>4.8530000000000086</v>
      </c>
      <c r="S66" s="2">
        <f t="shared" si="28"/>
        <v>384.00600000000003</v>
      </c>
      <c r="T66" s="2">
        <f t="shared" si="35"/>
        <v>388.85900000000004</v>
      </c>
      <c r="U66" s="2"/>
      <c r="V66" s="2">
        <f>'Paste Run 2'!CJ24/1000</f>
        <v>407.47</v>
      </c>
      <c r="W66" s="2">
        <f>'Paste Run 2'!CH24/1000</f>
        <v>411.36900000000003</v>
      </c>
      <c r="X66" s="2">
        <f t="shared" si="36"/>
        <v>3.8990000000000009</v>
      </c>
      <c r="Y66" s="2">
        <f>'Paste Run 2'!CD24/1000</f>
        <v>4</v>
      </c>
      <c r="Z66" s="2">
        <f t="shared" si="37"/>
        <v>-0.10099999999999909</v>
      </c>
      <c r="AA66" s="2">
        <f t="shared" si="29"/>
        <v>388.96000000000004</v>
      </c>
      <c r="AB66" s="2">
        <f t="shared" si="38"/>
        <v>392.85900000000004</v>
      </c>
    </row>
    <row r="67" spans="2:28" x14ac:dyDescent="0.2">
      <c r="B67" s="41"/>
      <c r="C67">
        <v>24</v>
      </c>
      <c r="D67" s="2">
        <f>'Paste Run 2'!AZ25/1000</f>
        <v>411.47300000000001</v>
      </c>
      <c r="E67" s="2">
        <f>'Paste Run 2'!DM25/1000</f>
        <v>415.476</v>
      </c>
      <c r="F67" s="66">
        <f t="shared" si="30"/>
        <v>4.0029999999999859</v>
      </c>
      <c r="G67" s="67">
        <f t="shared" si="26"/>
        <v>392.96300000000002</v>
      </c>
      <c r="H67" s="2">
        <f t="shared" si="31"/>
        <v>396.96600000000001</v>
      </c>
      <c r="I67" s="2"/>
      <c r="J67" s="2">
        <f>'Paste Run 2'!DK25/1000</f>
        <v>415.476</v>
      </c>
      <c r="K67" s="2">
        <f>'Paste Run 2'!DX25/1000</f>
        <v>416.87700000000001</v>
      </c>
      <c r="L67" s="66">
        <f t="shared" si="32"/>
        <v>1.4010000000000105</v>
      </c>
      <c r="M67" s="67">
        <f t="shared" si="27"/>
        <v>396.96600000000001</v>
      </c>
      <c r="N67" s="2">
        <f t="shared" si="33"/>
        <v>398.36700000000002</v>
      </c>
      <c r="O67" s="2"/>
      <c r="P67" s="2">
        <f>'Paste Run 2'!DX25/1000</f>
        <v>416.87700000000001</v>
      </c>
      <c r="Q67" s="2">
        <f>'Paste Run 2'!DV25/1000</f>
        <v>422.36900000000003</v>
      </c>
      <c r="R67" s="2">
        <f t="shared" si="34"/>
        <v>5.4920000000000186</v>
      </c>
      <c r="S67" s="2">
        <f t="shared" si="28"/>
        <v>398.36700000000002</v>
      </c>
      <c r="T67" s="2">
        <f t="shared" si="35"/>
        <v>403.85900000000004</v>
      </c>
      <c r="U67" s="2"/>
      <c r="V67" s="2">
        <f>'Paste Run 2'!CJ25/1000</f>
        <v>422.48099999999999</v>
      </c>
      <c r="W67" s="2">
        <f>'Paste Run 2'!CH25/1000</f>
        <v>424.36900000000003</v>
      </c>
      <c r="X67" s="2">
        <f t="shared" si="36"/>
        <v>1.8880000000000337</v>
      </c>
      <c r="Y67" s="2">
        <f>'Paste Run 2'!CD25/1000</f>
        <v>2</v>
      </c>
      <c r="Z67" s="2">
        <f t="shared" si="37"/>
        <v>-0.11199999999996635</v>
      </c>
      <c r="AA67" s="2">
        <f t="shared" si="29"/>
        <v>403.971</v>
      </c>
      <c r="AB67" s="2">
        <f t="shared" si="38"/>
        <v>405.85900000000004</v>
      </c>
    </row>
    <row r="68" spans="2:28" x14ac:dyDescent="0.2">
      <c r="B68" s="41"/>
      <c r="C68">
        <v>25</v>
      </c>
      <c r="D68" s="2">
        <f>'Paste Run 2'!AZ26/1000</f>
        <v>424.483</v>
      </c>
      <c r="E68" s="2">
        <f>'Paste Run 2'!DM26/1000</f>
        <v>428.46899999999999</v>
      </c>
      <c r="F68" s="66">
        <f t="shared" si="30"/>
        <v>3.98599999999999</v>
      </c>
      <c r="G68" s="67">
        <f t="shared" si="26"/>
        <v>405.97300000000001</v>
      </c>
      <c r="H68" s="2">
        <f t="shared" si="31"/>
        <v>409.959</v>
      </c>
      <c r="I68" s="2"/>
      <c r="J68" s="2">
        <f>'Paste Run 2'!DK26/1000</f>
        <v>428.46899999999999</v>
      </c>
      <c r="K68" s="2">
        <f>'Paste Run 2'!DX26/1000</f>
        <v>430.60399999999998</v>
      </c>
      <c r="L68" s="66">
        <f t="shared" si="32"/>
        <v>2.1349999999999909</v>
      </c>
      <c r="M68" s="67">
        <f t="shared" si="27"/>
        <v>409.959</v>
      </c>
      <c r="N68" s="2">
        <f t="shared" si="33"/>
        <v>412.09399999999999</v>
      </c>
      <c r="O68" s="2"/>
      <c r="P68" s="2">
        <f>'Paste Run 2'!DX26/1000</f>
        <v>430.60399999999998</v>
      </c>
      <c r="Q68" s="2">
        <f>'Paste Run 2'!DV26/1000</f>
        <v>435.36900000000003</v>
      </c>
      <c r="R68" s="2">
        <f t="shared" si="34"/>
        <v>4.7650000000000432</v>
      </c>
      <c r="S68" s="2">
        <f t="shared" si="28"/>
        <v>412.09399999999999</v>
      </c>
      <c r="T68" s="2">
        <f t="shared" si="35"/>
        <v>416.85900000000004</v>
      </c>
      <c r="U68" s="2"/>
      <c r="V68" s="2">
        <f>'Paste Run 2'!CJ26/1000</f>
        <v>435.47399999999999</v>
      </c>
      <c r="W68" s="2">
        <f>'Paste Run 2'!CH26/1000</f>
        <v>439.36900000000003</v>
      </c>
      <c r="X68" s="2">
        <f t="shared" si="36"/>
        <v>3.8950000000000387</v>
      </c>
      <c r="Y68" s="2">
        <f>'Paste Run 2'!CD26/1000</f>
        <v>4</v>
      </c>
      <c r="Z68" s="2">
        <f t="shared" si="37"/>
        <v>-0.10499999999996135</v>
      </c>
      <c r="AA68" s="2">
        <f t="shared" si="29"/>
        <v>416.964</v>
      </c>
      <c r="AB68" s="2">
        <f t="shared" si="38"/>
        <v>420.85900000000004</v>
      </c>
    </row>
    <row r="69" spans="2:28" x14ac:dyDescent="0.2">
      <c r="B69" s="41"/>
      <c r="C69">
        <v>26</v>
      </c>
      <c r="D69" s="2">
        <f>'Paste Run 2'!AZ27/1000</f>
        <v>439.47699999999998</v>
      </c>
      <c r="E69" s="2">
        <f>'Paste Run 2'!DM27/1000</f>
        <v>443.48</v>
      </c>
      <c r="F69" s="66">
        <f t="shared" si="30"/>
        <v>4.0030000000000427</v>
      </c>
      <c r="G69" s="67">
        <f t="shared" si="26"/>
        <v>420.96699999999998</v>
      </c>
      <c r="H69" s="2">
        <f t="shared" si="31"/>
        <v>424.97</v>
      </c>
      <c r="I69" s="2"/>
      <c r="J69" s="2">
        <f>'Paste Run 2'!DK27/1000</f>
        <v>443.48099999999999</v>
      </c>
      <c r="K69" s="2">
        <f>'Paste Run 2'!DX27/1000</f>
        <v>445.49900000000002</v>
      </c>
      <c r="L69" s="66">
        <f t="shared" si="32"/>
        <v>2.0180000000000291</v>
      </c>
      <c r="M69" s="67">
        <f t="shared" si="27"/>
        <v>424.971</v>
      </c>
      <c r="N69" s="2">
        <f t="shared" si="33"/>
        <v>426.98900000000003</v>
      </c>
      <c r="O69" s="2"/>
      <c r="P69" s="2">
        <f>'Paste Run 2'!DX27/1000</f>
        <v>445.49900000000002</v>
      </c>
      <c r="Q69" s="2">
        <f>'Paste Run 2'!DV27/1000</f>
        <v>450.36900000000003</v>
      </c>
      <c r="R69" s="2">
        <f t="shared" si="34"/>
        <v>4.8700000000000045</v>
      </c>
      <c r="S69" s="2">
        <f t="shared" si="28"/>
        <v>426.98900000000003</v>
      </c>
      <c r="T69" s="2">
        <f t="shared" si="35"/>
        <v>431.85900000000004</v>
      </c>
      <c r="U69" s="2"/>
      <c r="V69" s="2">
        <f>'Paste Run 2'!CJ27/1000</f>
        <v>450.46899999999999</v>
      </c>
      <c r="W69" s="2">
        <f>'Paste Run 2'!CH27/1000</f>
        <v>456.36900000000003</v>
      </c>
      <c r="X69" s="2">
        <f t="shared" si="36"/>
        <v>5.9000000000000341</v>
      </c>
      <c r="Y69" s="2">
        <f>'Paste Run 2'!CD27/1000</f>
        <v>6</v>
      </c>
      <c r="Z69" s="2">
        <f t="shared" si="37"/>
        <v>-9.9999999999965894E-2</v>
      </c>
      <c r="AA69" s="2">
        <f t="shared" si="29"/>
        <v>431.959</v>
      </c>
      <c r="AB69" s="2">
        <f t="shared" si="38"/>
        <v>437.85900000000004</v>
      </c>
    </row>
    <row r="70" spans="2:28" x14ac:dyDescent="0.2">
      <c r="B70" s="41"/>
      <c r="C70">
        <v>27</v>
      </c>
      <c r="D70" s="2">
        <f>'Paste Run 2'!AZ28/1000</f>
        <v>456.47300000000001</v>
      </c>
      <c r="E70" s="2">
        <f>'Paste Run 2'!DM28/1000</f>
        <v>460.476</v>
      </c>
      <c r="F70" s="66">
        <f t="shared" si="30"/>
        <v>4.0029999999999859</v>
      </c>
      <c r="G70" s="67">
        <f t="shared" si="26"/>
        <v>437.96300000000002</v>
      </c>
      <c r="H70" s="2">
        <f t="shared" si="31"/>
        <v>441.96600000000001</v>
      </c>
      <c r="I70" s="2"/>
      <c r="J70" s="2">
        <f>'Paste Run 2'!DK28/1000</f>
        <v>460.47699999999998</v>
      </c>
      <c r="K70" s="2">
        <f>'Paste Run 2'!DX28/1000</f>
        <v>462.69499999999999</v>
      </c>
      <c r="L70" s="66">
        <f t="shared" si="32"/>
        <v>2.2180000000000177</v>
      </c>
      <c r="M70" s="67">
        <f t="shared" si="27"/>
        <v>441.96699999999998</v>
      </c>
      <c r="N70" s="2">
        <f t="shared" si="33"/>
        <v>444.185</v>
      </c>
      <c r="O70" s="2"/>
      <c r="P70" s="2">
        <f>'Paste Run 2'!DX28/1000</f>
        <v>462.69499999999999</v>
      </c>
      <c r="Q70" s="2">
        <f>'Paste Run 2'!DV28/1000</f>
        <v>467.36900000000003</v>
      </c>
      <c r="R70" s="2">
        <f t="shared" si="34"/>
        <v>4.674000000000035</v>
      </c>
      <c r="S70" s="2">
        <f t="shared" si="28"/>
        <v>444.185</v>
      </c>
      <c r="T70" s="2">
        <f t="shared" si="35"/>
        <v>448.85900000000004</v>
      </c>
      <c r="U70" s="2"/>
      <c r="V70" s="2">
        <f>'Paste Run 2'!CJ28/1000</f>
        <v>467.48200000000003</v>
      </c>
      <c r="W70" s="2">
        <f>'Paste Run 2'!CH28/1000</f>
        <v>471.36900000000003</v>
      </c>
      <c r="X70" s="2">
        <f t="shared" si="36"/>
        <v>3.8870000000000005</v>
      </c>
      <c r="Y70" s="2">
        <f>'Paste Run 2'!CD28/1000</f>
        <v>4</v>
      </c>
      <c r="Z70" s="2">
        <f t="shared" si="37"/>
        <v>-0.11299999999999955</v>
      </c>
      <c r="AA70" s="2">
        <f t="shared" si="29"/>
        <v>448.97200000000004</v>
      </c>
      <c r="AB70" s="2">
        <f t="shared" si="38"/>
        <v>452.85900000000004</v>
      </c>
    </row>
    <row r="71" spans="2:28" x14ac:dyDescent="0.2">
      <c r="B71" s="41"/>
      <c r="C71">
        <v>28</v>
      </c>
      <c r="D71" s="2">
        <f>'Paste Run 2'!AZ29/1000</f>
        <v>471.48500000000001</v>
      </c>
      <c r="E71" s="2">
        <f>'Paste Run 2'!DM29/1000</f>
        <v>475.471</v>
      </c>
      <c r="F71" s="66">
        <f t="shared" ref="F71:F73" si="39">E71-D71</f>
        <v>3.98599999999999</v>
      </c>
      <c r="G71" s="67">
        <f t="shared" ref="G71:G73" si="40">(D71-D$40)+D$38</f>
        <v>452.97500000000002</v>
      </c>
      <c r="H71" s="2">
        <f t="shared" ref="H71:H73" si="41">G71+F71</f>
        <v>456.96100000000001</v>
      </c>
      <c r="I71" s="2"/>
      <c r="J71" s="2">
        <f>'Paste Run 2'!DK29/1000</f>
        <v>475.471</v>
      </c>
      <c r="K71" s="2">
        <f>'Paste Run 2'!DX29/1000</f>
        <v>477.10599999999999</v>
      </c>
      <c r="L71" s="66">
        <f t="shared" ref="L71:L73" si="42">K71-J71</f>
        <v>1.6349999999999909</v>
      </c>
      <c r="M71" s="67">
        <f t="shared" ref="M71:M73" si="43">(J71-D$40)+D$38</f>
        <v>456.96100000000001</v>
      </c>
      <c r="N71" s="2">
        <f t="shared" ref="N71:N73" si="44">M71+L71</f>
        <v>458.596</v>
      </c>
      <c r="O71" s="2"/>
      <c r="P71" s="2">
        <f>'Paste Run 2'!DX29/1000</f>
        <v>477.10599999999999</v>
      </c>
      <c r="Q71" s="2">
        <f>'Paste Run 2'!DV29/1000</f>
        <v>482.36900000000003</v>
      </c>
      <c r="R71" s="2">
        <f t="shared" ref="R71:R73" si="45">Q71-P71</f>
        <v>5.2630000000000337</v>
      </c>
      <c r="S71" s="2">
        <f t="shared" ref="S71:S73" si="46">(P71-D$40)+D$38</f>
        <v>458.596</v>
      </c>
      <c r="T71" s="2">
        <f t="shared" ref="T71:T73" si="47">S71+R71</f>
        <v>463.85900000000004</v>
      </c>
      <c r="U71" s="2"/>
      <c r="V71" s="2">
        <f>'Paste Run 2'!CJ29/1000</f>
        <v>482.476</v>
      </c>
      <c r="W71" s="2">
        <f>'Paste Run 2'!CH29/1000</f>
        <v>494.36900000000003</v>
      </c>
      <c r="X71" s="2">
        <f t="shared" ref="X71:X73" si="48">W71-V71</f>
        <v>11.893000000000029</v>
      </c>
      <c r="Y71" s="2">
        <f>'Paste Run 2'!CD29/1000</f>
        <v>12</v>
      </c>
      <c r="Z71" s="2">
        <f t="shared" ref="Z71:Z73" si="49">X71-Y71</f>
        <v>-0.1069999999999709</v>
      </c>
      <c r="AA71" s="2">
        <f t="shared" ref="AA71:AA73" si="50">(V71-D$40)+D$38</f>
        <v>463.96600000000001</v>
      </c>
      <c r="AB71" s="2">
        <f t="shared" ref="AB71:AB73" si="51">AA71+X71</f>
        <v>475.85900000000004</v>
      </c>
    </row>
    <row r="72" spans="2:28" x14ac:dyDescent="0.2">
      <c r="B72" s="41"/>
      <c r="C72">
        <v>29</v>
      </c>
      <c r="D72" s="2">
        <f>'Paste Run 2'!AZ30/1000</f>
        <v>494.46899999999999</v>
      </c>
      <c r="E72" s="2">
        <f>'Paste Run 2'!DM30/1000</f>
        <v>498.47199999999998</v>
      </c>
      <c r="F72" s="66">
        <f t="shared" si="39"/>
        <v>4.0029999999999859</v>
      </c>
      <c r="G72" s="67">
        <f t="shared" si="40"/>
        <v>475.959</v>
      </c>
      <c r="H72" s="2">
        <f t="shared" si="41"/>
        <v>479.96199999999999</v>
      </c>
      <c r="I72" s="2"/>
      <c r="J72" s="2">
        <f>'Paste Run 2'!DK30/1000</f>
        <v>498.47199999999998</v>
      </c>
      <c r="K72" s="2">
        <f>'Paste Run 2'!DX30/1000</f>
        <v>500.44</v>
      </c>
      <c r="L72" s="66">
        <f t="shared" si="42"/>
        <v>1.9680000000000177</v>
      </c>
      <c r="M72" s="67">
        <f t="shared" si="43"/>
        <v>479.96199999999999</v>
      </c>
      <c r="N72" s="2">
        <f t="shared" si="44"/>
        <v>481.93</v>
      </c>
      <c r="O72" s="2"/>
      <c r="P72" s="2">
        <f>'Paste Run 2'!DX30/1000</f>
        <v>500.44</v>
      </c>
      <c r="Q72" s="2">
        <f>'Paste Run 2'!DV30/1000</f>
        <v>505.36900000000003</v>
      </c>
      <c r="R72" s="2">
        <f t="shared" si="45"/>
        <v>4.9290000000000305</v>
      </c>
      <c r="S72" s="2">
        <f t="shared" si="46"/>
        <v>481.93</v>
      </c>
      <c r="T72" s="2">
        <f t="shared" si="47"/>
        <v>486.85900000000004</v>
      </c>
      <c r="U72" s="2"/>
      <c r="V72" s="2">
        <f>'Paste Run 2'!CJ30/1000</f>
        <v>505.47699999999998</v>
      </c>
      <c r="W72" s="2">
        <f>'Paste Run 2'!CH30/1000</f>
        <v>507.36900000000003</v>
      </c>
      <c r="X72" s="2">
        <f t="shared" si="48"/>
        <v>1.8920000000000528</v>
      </c>
      <c r="Y72" s="2">
        <f>'Paste Run 2'!CD30/1000</f>
        <v>2</v>
      </c>
      <c r="Z72" s="2">
        <f t="shared" si="49"/>
        <v>-0.10799999999994725</v>
      </c>
      <c r="AA72" s="2">
        <f t="shared" si="50"/>
        <v>486.96699999999998</v>
      </c>
      <c r="AB72" s="2">
        <f t="shared" si="51"/>
        <v>488.85900000000004</v>
      </c>
    </row>
    <row r="73" spans="2:28" x14ac:dyDescent="0.2">
      <c r="B73" s="41"/>
      <c r="C73">
        <v>30</v>
      </c>
      <c r="D73" s="2">
        <f>'Paste Run 2'!AZ31/1000</f>
        <v>507.47899999999998</v>
      </c>
      <c r="E73" s="2">
        <f>'Paste Run 2'!DM31/1000</f>
        <v>511.48200000000003</v>
      </c>
      <c r="F73" s="66">
        <f t="shared" si="39"/>
        <v>4.0030000000000427</v>
      </c>
      <c r="G73" s="67">
        <f t="shared" si="40"/>
        <v>488.96899999999999</v>
      </c>
      <c r="H73" s="2">
        <f t="shared" si="41"/>
        <v>492.97200000000004</v>
      </c>
      <c r="I73" s="2"/>
      <c r="J73" s="2">
        <f>'Paste Run 2'!DK31/1000</f>
        <v>511.48200000000003</v>
      </c>
      <c r="K73" s="2">
        <f>'Paste Run 2'!DX31/1000</f>
        <v>514.28399999999999</v>
      </c>
      <c r="L73" s="66">
        <f t="shared" si="42"/>
        <v>2.8019999999999641</v>
      </c>
      <c r="M73" s="67">
        <f t="shared" si="43"/>
        <v>492.97200000000004</v>
      </c>
      <c r="N73" s="2">
        <f t="shared" si="44"/>
        <v>495.774</v>
      </c>
      <c r="O73" s="2"/>
      <c r="P73" s="2">
        <f>'Paste Run 2'!DX31/1000</f>
        <v>514.28399999999999</v>
      </c>
      <c r="Q73" s="2">
        <f>'Paste Run 2'!DV31/1000</f>
        <v>518.36900000000003</v>
      </c>
      <c r="R73" s="2">
        <f t="shared" si="45"/>
        <v>4.0850000000000364</v>
      </c>
      <c r="S73" s="2">
        <f t="shared" si="46"/>
        <v>495.774</v>
      </c>
      <c r="T73" s="2">
        <f t="shared" si="47"/>
        <v>499.85900000000004</v>
      </c>
      <c r="U73" s="2"/>
      <c r="V73" s="2">
        <f>'Paste Run 2'!CJ31/1000</f>
        <v>518.47</v>
      </c>
      <c r="W73" s="2">
        <f>'Paste Run 2'!CH31/1000</f>
        <v>522.36900000000003</v>
      </c>
      <c r="X73" s="2">
        <f t="shared" si="48"/>
        <v>3.8990000000000009</v>
      </c>
      <c r="Y73" s="2">
        <f>'Paste Run 2'!CD31/1000</f>
        <v>4</v>
      </c>
      <c r="Z73" s="2">
        <f t="shared" si="49"/>
        <v>-0.10099999999999909</v>
      </c>
      <c r="AA73" s="2">
        <f t="shared" si="50"/>
        <v>499.96000000000004</v>
      </c>
      <c r="AB73" s="2">
        <f t="shared" si="51"/>
        <v>503.85900000000004</v>
      </c>
    </row>
    <row r="74" spans="2:28" x14ac:dyDescent="0.2">
      <c r="K74" s="56" t="s">
        <v>127</v>
      </c>
      <c r="L74" s="57">
        <f>COUNTIF(L44:L73,"&gt;7")</f>
        <v>0</v>
      </c>
    </row>
    <row r="75" spans="2:28" x14ac:dyDescent="0.2">
      <c r="B75" s="42" t="s">
        <v>12</v>
      </c>
      <c r="C75" t="s">
        <v>76</v>
      </c>
      <c r="D75" s="40">
        <v>0</v>
      </c>
      <c r="E75" s="40" t="s">
        <v>373</v>
      </c>
      <c r="AA75" s="56"/>
      <c r="AB75" s="56"/>
    </row>
    <row r="76" spans="2:28" x14ac:dyDescent="0.2">
      <c r="B76" s="42"/>
      <c r="C76" t="s">
        <v>50</v>
      </c>
      <c r="D76" s="51">
        <f>'Paste Run 3'!N2/1000</f>
        <v>20.443999999999999</v>
      </c>
      <c r="AA76" s="56"/>
      <c r="AB76" s="56"/>
    </row>
    <row r="77" spans="2:28" x14ac:dyDescent="0.2">
      <c r="B77" s="42"/>
      <c r="C77" t="s">
        <v>57</v>
      </c>
      <c r="D77">
        <f>'Paste Run 3'!L2/1000</f>
        <v>26.312000000000001</v>
      </c>
    </row>
    <row r="78" spans="2:28" ht="16" thickBot="1" x14ac:dyDescent="0.25">
      <c r="B78" s="42"/>
      <c r="D78" s="42" t="s">
        <v>58</v>
      </c>
      <c r="E78" s="42"/>
      <c r="F78" s="42"/>
      <c r="G78" s="42"/>
      <c r="H78" s="42"/>
      <c r="J78" s="43" t="s">
        <v>59</v>
      </c>
      <c r="K78" s="43"/>
      <c r="L78" s="43" t="s">
        <v>60</v>
      </c>
      <c r="M78" s="43"/>
      <c r="N78" s="43"/>
      <c r="P78" s="52" t="s">
        <v>61</v>
      </c>
      <c r="Q78" s="52"/>
      <c r="R78" s="52"/>
      <c r="S78" s="52"/>
      <c r="T78" s="52"/>
      <c r="V78" s="52" t="s">
        <v>2</v>
      </c>
      <c r="W78" s="52"/>
      <c r="X78" s="52"/>
      <c r="Y78" s="52"/>
      <c r="Z78" s="52"/>
      <c r="AA78" s="52"/>
      <c r="AB78" s="52"/>
    </row>
    <row r="79" spans="2:28" ht="16" thickBot="1" x14ac:dyDescent="0.25">
      <c r="B79" s="42"/>
      <c r="D79" t="s">
        <v>62</v>
      </c>
      <c r="E79" t="s">
        <v>63</v>
      </c>
      <c r="F79" s="53" t="s">
        <v>64</v>
      </c>
      <c r="G79" s="54" t="s">
        <v>65</v>
      </c>
      <c r="H79" t="s">
        <v>66</v>
      </c>
      <c r="I79" s="55" t="s">
        <v>21</v>
      </c>
      <c r="J79" s="55" t="s">
        <v>67</v>
      </c>
      <c r="K79" s="55" t="s">
        <v>68</v>
      </c>
      <c r="L79" s="55" t="s">
        <v>64</v>
      </c>
      <c r="M79" s="54" t="s">
        <v>69</v>
      </c>
      <c r="N79" s="55" t="s">
        <v>70</v>
      </c>
      <c r="O79" t="s">
        <v>21</v>
      </c>
      <c r="P79" t="s">
        <v>62</v>
      </c>
      <c r="Q79" t="s">
        <v>71</v>
      </c>
      <c r="R79" t="s">
        <v>64</v>
      </c>
      <c r="S79" t="s">
        <v>65</v>
      </c>
      <c r="T79" t="s">
        <v>72</v>
      </c>
      <c r="V79" t="s">
        <v>62</v>
      </c>
      <c r="W79" t="s">
        <v>71</v>
      </c>
      <c r="X79" t="s">
        <v>64</v>
      </c>
      <c r="Y79" t="s">
        <v>73</v>
      </c>
      <c r="Z79" t="s">
        <v>74</v>
      </c>
      <c r="AA79" t="s">
        <v>65</v>
      </c>
      <c r="AB79" t="s">
        <v>72</v>
      </c>
    </row>
    <row r="80" spans="2:28" ht="16" thickBot="1" x14ac:dyDescent="0.25">
      <c r="B80" s="42"/>
      <c r="C80">
        <v>1</v>
      </c>
      <c r="D80" s="2">
        <f>'Paste Run 3'!AZ2/1000</f>
        <v>26.414999999999999</v>
      </c>
      <c r="E80" s="2">
        <f>'Paste Run 3'!DM2/1000</f>
        <v>30.419</v>
      </c>
      <c r="F80" s="68">
        <f t="shared" ref="F80:F106" si="52">E80-D80</f>
        <v>4.0040000000000013</v>
      </c>
      <c r="G80" s="69">
        <f t="shared" ref="G80:G106" si="53">(D80-D$76)+D$75</f>
        <v>5.9710000000000001</v>
      </c>
      <c r="H80" s="2">
        <f>G80+F80</f>
        <v>9.9750000000000014</v>
      </c>
      <c r="I80" s="70"/>
      <c r="J80" s="70">
        <f>'Paste Run 3'!DK2/1000</f>
        <v>30.419</v>
      </c>
      <c r="K80" s="70">
        <f>'Paste Run 3'!DX2/1000</f>
        <v>33.137</v>
      </c>
      <c r="L80" s="70">
        <f>K80-J80</f>
        <v>2.718</v>
      </c>
      <c r="M80" s="69">
        <f t="shared" ref="M80:M106" si="54">(J80-D$76)+D$75</f>
        <v>9.9750000000000014</v>
      </c>
      <c r="N80" s="70">
        <f>M80+L80</f>
        <v>12.693000000000001</v>
      </c>
      <c r="O80" s="2"/>
      <c r="P80" s="2">
        <f>'Paste Run 3'!DX2/1000</f>
        <v>33.137</v>
      </c>
      <c r="Q80" s="2">
        <f>'Paste Run 3'!DV2/1000</f>
        <v>37.311999999999998</v>
      </c>
      <c r="R80" s="2">
        <f>Q80-P80</f>
        <v>4.1749999999999972</v>
      </c>
      <c r="S80" s="2">
        <f t="shared" ref="S80:S106" si="55">(P80-D$76)+D$75</f>
        <v>12.693000000000001</v>
      </c>
      <c r="T80" s="2">
        <f>S80+R80</f>
        <v>16.867999999999999</v>
      </c>
      <c r="U80" s="2"/>
      <c r="V80" s="2">
        <f>'Paste Run 3'!CJ2/1000</f>
        <v>37.423999999999999</v>
      </c>
      <c r="W80" s="2">
        <f>'Paste Run 3'!CH2/1000</f>
        <v>43.311999999999998</v>
      </c>
      <c r="X80" s="2">
        <f t="shared" ref="X80:X106" si="56">W80-V80</f>
        <v>5.8879999999999981</v>
      </c>
      <c r="Y80" s="2">
        <f>'Paste Run 3'!CD2/1000</f>
        <v>6</v>
      </c>
      <c r="Z80" s="2">
        <f>X80-Y80</f>
        <v>-0.11200000000000188</v>
      </c>
      <c r="AA80" s="2">
        <f t="shared" ref="AA80:AA106" si="57">(V80-D$76)+D$75</f>
        <v>16.98</v>
      </c>
      <c r="AB80" s="2">
        <f>AA80+X80</f>
        <v>22.867999999999999</v>
      </c>
    </row>
    <row r="81" spans="2:28" x14ac:dyDescent="0.2">
      <c r="B81" s="42"/>
      <c r="C81">
        <v>2</v>
      </c>
      <c r="D81" s="2">
        <f>'Paste Run 3'!AZ3/1000</f>
        <v>43.411999999999999</v>
      </c>
      <c r="E81" s="2">
        <f>'Paste Run 3'!DM3/1000</f>
        <v>47.414999999999999</v>
      </c>
      <c r="F81" s="64">
        <f t="shared" si="52"/>
        <v>4.0030000000000001</v>
      </c>
      <c r="G81" s="65">
        <f t="shared" si="53"/>
        <v>22.968</v>
      </c>
      <c r="H81" s="2">
        <f t="shared" ref="H81:H106" si="58">G81+F81</f>
        <v>26.971</v>
      </c>
      <c r="I81" s="2"/>
      <c r="J81" s="2">
        <f>'Paste Run 3'!DK3/1000</f>
        <v>47.414999999999999</v>
      </c>
      <c r="K81" s="2">
        <f>'Paste Run 3'!DX3/1000</f>
        <v>48.566000000000003</v>
      </c>
      <c r="L81" s="66">
        <f t="shared" ref="L81:L106" si="59">K81-J81</f>
        <v>1.1510000000000034</v>
      </c>
      <c r="M81" s="65">
        <f t="shared" si="54"/>
        <v>26.971</v>
      </c>
      <c r="N81" s="2">
        <f t="shared" ref="N81:N106" si="60">M81+L81</f>
        <v>28.122000000000003</v>
      </c>
      <c r="O81" s="2"/>
      <c r="P81" s="2">
        <f>'Paste Run 3'!DX3/1000</f>
        <v>48.566000000000003</v>
      </c>
      <c r="Q81" s="2">
        <f>'Paste Run 3'!DV3/1000</f>
        <v>54.311999999999998</v>
      </c>
      <c r="R81" s="2">
        <f t="shared" ref="R81:R106" si="61">Q81-P81</f>
        <v>5.7459999999999951</v>
      </c>
      <c r="S81" s="2">
        <f t="shared" si="55"/>
        <v>28.122000000000003</v>
      </c>
      <c r="T81" s="2">
        <f t="shared" ref="T81:T106" si="62">S81+R81</f>
        <v>33.867999999999995</v>
      </c>
      <c r="U81" s="2"/>
      <c r="V81" s="2">
        <f>'Paste Run 3'!CJ3/1000</f>
        <v>54.42</v>
      </c>
      <c r="W81" s="2">
        <f>'Paste Run 3'!CH3/1000</f>
        <v>66.311999999999998</v>
      </c>
      <c r="X81" s="2">
        <f t="shared" si="56"/>
        <v>11.891999999999996</v>
      </c>
      <c r="Y81" s="2">
        <f>'Paste Run 3'!CD3/1000</f>
        <v>12</v>
      </c>
      <c r="Z81" s="2">
        <f t="shared" ref="Z81:Z106" si="63">X81-Y81</f>
        <v>-0.10800000000000409</v>
      </c>
      <c r="AA81" s="2">
        <f t="shared" si="57"/>
        <v>33.975999999999999</v>
      </c>
      <c r="AB81" s="2">
        <f t="shared" ref="AB81:AB106" si="64">AA81+X81</f>
        <v>45.867999999999995</v>
      </c>
    </row>
    <row r="82" spans="2:28" x14ac:dyDescent="0.2">
      <c r="B82" s="42"/>
      <c r="C82">
        <v>3</v>
      </c>
      <c r="D82" s="2">
        <f>'Paste Run 3'!AZ4/1000</f>
        <v>66.412000000000006</v>
      </c>
      <c r="E82" s="2">
        <f>'Paste Run 3'!DM4/1000</f>
        <v>70.415000000000006</v>
      </c>
      <c r="F82" s="66">
        <f t="shared" si="52"/>
        <v>4.0030000000000001</v>
      </c>
      <c r="G82" s="67">
        <f t="shared" si="53"/>
        <v>45.968000000000004</v>
      </c>
      <c r="H82" s="2">
        <f t="shared" si="58"/>
        <v>49.971000000000004</v>
      </c>
      <c r="I82" s="2"/>
      <c r="J82" s="2">
        <f>'Paste Run 3'!DK4/1000</f>
        <v>70.415999999999997</v>
      </c>
      <c r="K82" s="2">
        <f>'Paste Run 3'!DX4/1000</f>
        <v>72.683999999999997</v>
      </c>
      <c r="L82" s="66">
        <f t="shared" si="59"/>
        <v>2.2680000000000007</v>
      </c>
      <c r="M82" s="67">
        <f t="shared" si="54"/>
        <v>49.971999999999994</v>
      </c>
      <c r="N82" s="2">
        <f t="shared" si="60"/>
        <v>52.239999999999995</v>
      </c>
      <c r="O82" s="2"/>
      <c r="P82" s="2">
        <f>'Paste Run 3'!DX4/1000</f>
        <v>72.683999999999997</v>
      </c>
      <c r="Q82" s="2">
        <f>'Paste Run 3'!DV4/1000</f>
        <v>77.311999999999998</v>
      </c>
      <c r="R82" s="2">
        <f t="shared" si="61"/>
        <v>4.6280000000000001</v>
      </c>
      <c r="S82" s="2">
        <f t="shared" si="55"/>
        <v>52.239999999999995</v>
      </c>
      <c r="T82" s="2">
        <f t="shared" si="62"/>
        <v>56.867999999999995</v>
      </c>
      <c r="U82" s="2"/>
      <c r="V82" s="2">
        <f>'Paste Run 3'!CJ4/1000</f>
        <v>77.421000000000006</v>
      </c>
      <c r="W82" s="2">
        <f>'Paste Run 3'!CH4/1000</f>
        <v>85.311999999999998</v>
      </c>
      <c r="X82" s="2">
        <f t="shared" si="56"/>
        <v>7.8909999999999911</v>
      </c>
      <c r="Y82" s="2">
        <f>'Paste Run 3'!CD4/1000</f>
        <v>8</v>
      </c>
      <c r="Z82" s="2">
        <f t="shared" si="63"/>
        <v>-0.10900000000000887</v>
      </c>
      <c r="AA82" s="2">
        <f t="shared" si="57"/>
        <v>56.977000000000004</v>
      </c>
      <c r="AB82" s="2">
        <f t="shared" si="64"/>
        <v>64.867999999999995</v>
      </c>
    </row>
    <row r="83" spans="2:28" x14ac:dyDescent="0.2">
      <c r="B83" s="42"/>
      <c r="C83">
        <v>4</v>
      </c>
      <c r="D83" s="2">
        <f>'Paste Run 3'!AZ5/1000</f>
        <v>85.427000000000007</v>
      </c>
      <c r="E83" s="2">
        <f>'Paste Run 3'!DM5/1000</f>
        <v>89.412999999999997</v>
      </c>
      <c r="F83" s="66">
        <f t="shared" si="52"/>
        <v>3.98599999999999</v>
      </c>
      <c r="G83" s="67">
        <f t="shared" si="53"/>
        <v>64.983000000000004</v>
      </c>
      <c r="H83" s="2">
        <f t="shared" si="58"/>
        <v>68.968999999999994</v>
      </c>
      <c r="I83" s="2"/>
      <c r="J83" s="2">
        <f>'Paste Run 3'!DK5/1000</f>
        <v>89.412999999999997</v>
      </c>
      <c r="K83" s="2">
        <f>'Paste Run 3'!DX5/1000</f>
        <v>91.381</v>
      </c>
      <c r="L83" s="66">
        <f t="shared" si="59"/>
        <v>1.9680000000000035</v>
      </c>
      <c r="M83" s="67">
        <f t="shared" si="54"/>
        <v>68.968999999999994</v>
      </c>
      <c r="N83" s="2">
        <f t="shared" si="60"/>
        <v>70.936999999999998</v>
      </c>
      <c r="O83" s="2"/>
      <c r="P83" s="2">
        <f>'Paste Run 3'!DX5/1000</f>
        <v>91.381</v>
      </c>
      <c r="Q83" s="2">
        <f>'Paste Run 3'!DV5/1000</f>
        <v>96.311999999999998</v>
      </c>
      <c r="R83" s="2">
        <f t="shared" si="61"/>
        <v>4.9309999999999974</v>
      </c>
      <c r="S83" s="2">
        <f t="shared" si="55"/>
        <v>70.936999999999998</v>
      </c>
      <c r="T83" s="2">
        <f t="shared" si="62"/>
        <v>75.867999999999995</v>
      </c>
      <c r="U83" s="2"/>
      <c r="V83" s="2">
        <f>'Paste Run 3'!CJ5/1000</f>
        <v>96.418000000000006</v>
      </c>
      <c r="W83" s="2">
        <f>'Paste Run 3'!CH5/1000</f>
        <v>100.312</v>
      </c>
      <c r="X83" s="2">
        <f t="shared" si="56"/>
        <v>3.8939999999999912</v>
      </c>
      <c r="Y83" s="2">
        <f>'Paste Run 3'!CD5/1000</f>
        <v>4</v>
      </c>
      <c r="Z83" s="2">
        <f t="shared" si="63"/>
        <v>-0.10600000000000875</v>
      </c>
      <c r="AA83" s="2">
        <f t="shared" si="57"/>
        <v>75.974000000000004</v>
      </c>
      <c r="AB83" s="2">
        <f t="shared" si="64"/>
        <v>79.867999999999995</v>
      </c>
    </row>
    <row r="84" spans="2:28" x14ac:dyDescent="0.2">
      <c r="B84" s="42"/>
      <c r="C84">
        <v>5</v>
      </c>
      <c r="D84" s="2">
        <f>'Paste Run 3'!AZ6/1000</f>
        <v>100.42100000000001</v>
      </c>
      <c r="E84" s="2">
        <f>'Paste Run 3'!DM6/1000</f>
        <v>104.42400000000001</v>
      </c>
      <c r="F84" s="66">
        <f t="shared" si="52"/>
        <v>4.0030000000000001</v>
      </c>
      <c r="G84" s="67">
        <f t="shared" si="53"/>
        <v>79.977000000000004</v>
      </c>
      <c r="H84" s="2">
        <f t="shared" si="58"/>
        <v>83.98</v>
      </c>
      <c r="I84" s="2"/>
      <c r="J84" s="2">
        <f>'Paste Run 3'!DK6/1000</f>
        <v>104.42400000000001</v>
      </c>
      <c r="K84" s="2">
        <f>'Paste Run 3'!DX6/1000</f>
        <v>106.943</v>
      </c>
      <c r="L84" s="66">
        <f t="shared" si="59"/>
        <v>2.5189999999999912</v>
      </c>
      <c r="M84" s="67">
        <f t="shared" si="54"/>
        <v>83.98</v>
      </c>
      <c r="N84" s="2">
        <f t="shared" si="60"/>
        <v>86.498999999999995</v>
      </c>
      <c r="O84" s="2"/>
      <c r="P84" s="2">
        <f>'Paste Run 3'!DX6/1000</f>
        <v>106.943</v>
      </c>
      <c r="Q84" s="2">
        <f>'Paste Run 3'!DV6/1000</f>
        <v>111.312</v>
      </c>
      <c r="R84" s="2">
        <f t="shared" si="61"/>
        <v>4.3689999999999998</v>
      </c>
      <c r="S84" s="2">
        <f t="shared" si="55"/>
        <v>86.498999999999995</v>
      </c>
      <c r="T84" s="2">
        <f t="shared" si="62"/>
        <v>90.867999999999995</v>
      </c>
      <c r="U84" s="2"/>
      <c r="V84" s="2">
        <f>'Paste Run 3'!CJ6/1000</f>
        <v>111.413</v>
      </c>
      <c r="W84" s="2">
        <f>'Paste Run 3'!CH6/1000</f>
        <v>115.312</v>
      </c>
      <c r="X84" s="2">
        <f t="shared" si="56"/>
        <v>3.8990000000000009</v>
      </c>
      <c r="Y84" s="2">
        <f>'Paste Run 3'!CD6/1000</f>
        <v>4</v>
      </c>
      <c r="Z84" s="2">
        <f t="shared" si="63"/>
        <v>-0.10099999999999909</v>
      </c>
      <c r="AA84" s="2">
        <f t="shared" si="57"/>
        <v>90.968999999999994</v>
      </c>
      <c r="AB84" s="2">
        <f t="shared" si="64"/>
        <v>94.867999999999995</v>
      </c>
    </row>
    <row r="85" spans="2:28" x14ac:dyDescent="0.2">
      <c r="B85" s="42"/>
      <c r="C85">
        <v>6</v>
      </c>
      <c r="D85" s="2">
        <f>'Paste Run 3'!AZ7/1000</f>
        <v>115.416</v>
      </c>
      <c r="E85" s="2">
        <f>'Paste Run 3'!DM7/1000</f>
        <v>119.419</v>
      </c>
      <c r="F85" s="66">
        <f t="shared" si="52"/>
        <v>4.0030000000000001</v>
      </c>
      <c r="G85" s="67">
        <f t="shared" si="53"/>
        <v>94.971999999999994</v>
      </c>
      <c r="H85" s="2">
        <f t="shared" si="58"/>
        <v>98.974999999999994</v>
      </c>
      <c r="I85" s="2"/>
      <c r="J85" s="2">
        <f>'Paste Run 3'!DK7/1000</f>
        <v>119.419</v>
      </c>
      <c r="K85" s="2">
        <f>'Paste Run 3'!DX7/1000</f>
        <v>121.20399999999999</v>
      </c>
      <c r="L85" s="66">
        <f t="shared" si="59"/>
        <v>1.7849999999999966</v>
      </c>
      <c r="M85" s="67">
        <f t="shared" si="54"/>
        <v>98.974999999999994</v>
      </c>
      <c r="N85" s="2">
        <f t="shared" si="60"/>
        <v>100.75999999999999</v>
      </c>
      <c r="O85" s="2"/>
      <c r="P85" s="2">
        <f>'Paste Run 3'!DX7/1000</f>
        <v>121.20399999999999</v>
      </c>
      <c r="Q85" s="2">
        <f>'Paste Run 3'!DV7/1000</f>
        <v>126.312</v>
      </c>
      <c r="R85" s="2">
        <f t="shared" si="61"/>
        <v>5.1080000000000041</v>
      </c>
      <c r="S85" s="2">
        <f t="shared" si="55"/>
        <v>100.75999999999999</v>
      </c>
      <c r="T85" s="2">
        <f t="shared" si="62"/>
        <v>105.86799999999999</v>
      </c>
      <c r="U85" s="2"/>
      <c r="V85" s="2">
        <f>'Paste Run 3'!CJ7/1000</f>
        <v>126.42400000000001</v>
      </c>
      <c r="W85" s="2">
        <f>'Paste Run 3'!CH7/1000</f>
        <v>128.31200000000001</v>
      </c>
      <c r="X85" s="2">
        <f t="shared" si="56"/>
        <v>1.8880000000000052</v>
      </c>
      <c r="Y85" s="2">
        <f>'Paste Run 3'!CD7/1000</f>
        <v>2</v>
      </c>
      <c r="Z85" s="2">
        <f t="shared" si="63"/>
        <v>-0.11199999999999477</v>
      </c>
      <c r="AA85" s="2">
        <f t="shared" si="57"/>
        <v>105.98</v>
      </c>
      <c r="AB85" s="2">
        <f t="shared" si="64"/>
        <v>107.86800000000001</v>
      </c>
    </row>
    <row r="86" spans="2:28" x14ac:dyDescent="0.2">
      <c r="B86" s="42"/>
      <c r="C86">
        <v>7</v>
      </c>
      <c r="D86" s="2">
        <f>'Paste Run 3'!AZ8/1000</f>
        <v>128.42599999999999</v>
      </c>
      <c r="E86" s="2">
        <f>'Paste Run 3'!DM8/1000</f>
        <v>132.41200000000001</v>
      </c>
      <c r="F86" s="66">
        <f t="shared" si="52"/>
        <v>3.9860000000000184</v>
      </c>
      <c r="G86" s="67">
        <f t="shared" si="53"/>
        <v>107.98199999999999</v>
      </c>
      <c r="H86" s="2">
        <f t="shared" si="58"/>
        <v>111.968</v>
      </c>
      <c r="I86" s="2"/>
      <c r="J86" s="2">
        <f>'Paste Run 3'!DK8/1000</f>
        <v>132.41200000000001</v>
      </c>
      <c r="K86" s="2">
        <f>'Paste Run 3'!DX8/1000</f>
        <v>135.24799999999999</v>
      </c>
      <c r="L86" s="66">
        <f t="shared" si="59"/>
        <v>2.8359999999999843</v>
      </c>
      <c r="M86" s="67">
        <f t="shared" si="54"/>
        <v>111.968</v>
      </c>
      <c r="N86" s="2">
        <f t="shared" si="60"/>
        <v>114.80399999999999</v>
      </c>
      <c r="O86" s="2"/>
      <c r="P86" s="2">
        <f>'Paste Run 3'!DX8/1000</f>
        <v>135.24799999999999</v>
      </c>
      <c r="Q86" s="2">
        <f>'Paste Run 3'!DV8/1000</f>
        <v>139.31200000000001</v>
      </c>
      <c r="R86" s="2">
        <f t="shared" si="61"/>
        <v>4.0640000000000214</v>
      </c>
      <c r="S86" s="2">
        <f t="shared" si="55"/>
        <v>114.80399999999999</v>
      </c>
      <c r="T86" s="2">
        <f t="shared" si="62"/>
        <v>118.86800000000001</v>
      </c>
      <c r="U86" s="2"/>
      <c r="V86" s="2">
        <f>'Paste Run 3'!CJ8/1000</f>
        <v>139.417</v>
      </c>
      <c r="W86" s="2">
        <f>'Paste Run 3'!CH8/1000</f>
        <v>147.31200000000001</v>
      </c>
      <c r="X86" s="2">
        <f t="shared" si="56"/>
        <v>7.8950000000000102</v>
      </c>
      <c r="Y86" s="2">
        <f>'Paste Run 3'!CD8/1000</f>
        <v>8</v>
      </c>
      <c r="Z86" s="2">
        <f t="shared" si="63"/>
        <v>-0.10499999999998977</v>
      </c>
      <c r="AA86" s="2">
        <f t="shared" si="57"/>
        <v>118.973</v>
      </c>
      <c r="AB86" s="2">
        <f t="shared" si="64"/>
        <v>126.86800000000001</v>
      </c>
    </row>
    <row r="87" spans="2:28" x14ac:dyDescent="0.2">
      <c r="B87" s="42"/>
      <c r="C87">
        <v>8</v>
      </c>
      <c r="D87" s="2">
        <f>'Paste Run 3'!AZ9/1000</f>
        <v>147.423</v>
      </c>
      <c r="E87" s="2">
        <f>'Paste Run 3'!DM9/1000</f>
        <v>151.42599999999999</v>
      </c>
      <c r="F87" s="66">
        <f t="shared" si="52"/>
        <v>4.0029999999999859</v>
      </c>
      <c r="G87" s="67">
        <f t="shared" si="53"/>
        <v>126.979</v>
      </c>
      <c r="H87" s="2">
        <f t="shared" si="58"/>
        <v>130.98199999999997</v>
      </c>
      <c r="I87" s="2"/>
      <c r="J87" s="2">
        <f>'Paste Run 3'!DK9/1000</f>
        <v>151.42599999999999</v>
      </c>
      <c r="K87" s="2">
        <f>'Paste Run 3'!DX9/1000</f>
        <v>154.31200000000001</v>
      </c>
      <c r="L87" s="66">
        <f t="shared" si="59"/>
        <v>2.8860000000000241</v>
      </c>
      <c r="M87" s="67">
        <f t="shared" si="54"/>
        <v>130.982</v>
      </c>
      <c r="N87" s="2">
        <f t="shared" si="60"/>
        <v>133.86800000000002</v>
      </c>
      <c r="O87" s="2"/>
      <c r="P87" s="2">
        <f>'Paste Run 3'!DX9/1000</f>
        <v>154.31200000000001</v>
      </c>
      <c r="Q87" s="2">
        <f>'Paste Run 3'!DV9/1000</f>
        <v>158.31200000000001</v>
      </c>
      <c r="R87" s="2">
        <f t="shared" si="61"/>
        <v>4</v>
      </c>
      <c r="S87" s="2">
        <f t="shared" si="55"/>
        <v>133.86800000000002</v>
      </c>
      <c r="T87" s="2">
        <f t="shared" si="62"/>
        <v>137.86800000000002</v>
      </c>
      <c r="U87" s="2"/>
      <c r="V87" s="2">
        <f>'Paste Run 3'!CJ9/1000</f>
        <v>158.41499999999999</v>
      </c>
      <c r="W87" s="2">
        <f>'Paste Run 3'!CH9/1000</f>
        <v>166.31200000000001</v>
      </c>
      <c r="X87" s="2">
        <f t="shared" si="56"/>
        <v>7.8970000000000198</v>
      </c>
      <c r="Y87" s="2">
        <f>'Paste Run 3'!CD9/1000</f>
        <v>8</v>
      </c>
      <c r="Z87" s="2">
        <f t="shared" si="63"/>
        <v>-0.10299999999998022</v>
      </c>
      <c r="AA87" s="2">
        <f t="shared" si="57"/>
        <v>137.971</v>
      </c>
      <c r="AB87" s="2">
        <f t="shared" si="64"/>
        <v>145.86800000000002</v>
      </c>
    </row>
    <row r="88" spans="2:28" x14ac:dyDescent="0.2">
      <c r="B88" s="42"/>
      <c r="C88">
        <v>9</v>
      </c>
      <c r="D88" s="2">
        <f>'Paste Run 3'!AZ10/1000</f>
        <v>166.42099999999999</v>
      </c>
      <c r="E88" s="2">
        <f>'Paste Run 3'!DM10/1000</f>
        <v>170.42400000000001</v>
      </c>
      <c r="F88" s="66">
        <f t="shared" si="52"/>
        <v>4.0030000000000143</v>
      </c>
      <c r="G88" s="67">
        <f t="shared" si="53"/>
        <v>145.977</v>
      </c>
      <c r="H88" s="2">
        <f t="shared" si="58"/>
        <v>149.98000000000002</v>
      </c>
      <c r="I88" s="2"/>
      <c r="J88" s="2">
        <f>'Paste Run 3'!DK10/1000</f>
        <v>170.42400000000001</v>
      </c>
      <c r="K88" s="2">
        <f>'Paste Run 3'!DX10/1000</f>
        <v>172.75899999999999</v>
      </c>
      <c r="L88" s="66">
        <f t="shared" si="59"/>
        <v>2.3349999999999795</v>
      </c>
      <c r="M88" s="67">
        <f t="shared" si="54"/>
        <v>149.98000000000002</v>
      </c>
      <c r="N88" s="2">
        <f t="shared" si="60"/>
        <v>152.315</v>
      </c>
      <c r="O88" s="2"/>
      <c r="P88" s="2">
        <f>'Paste Run 3'!DX10/1000</f>
        <v>172.75899999999999</v>
      </c>
      <c r="Q88" s="2">
        <f>'Paste Run 3'!DV10/1000</f>
        <v>177.31200000000001</v>
      </c>
      <c r="R88" s="2">
        <f t="shared" si="61"/>
        <v>4.5530000000000257</v>
      </c>
      <c r="S88" s="2">
        <f t="shared" si="55"/>
        <v>152.315</v>
      </c>
      <c r="T88" s="2">
        <f t="shared" si="62"/>
        <v>156.86800000000002</v>
      </c>
      <c r="U88" s="2"/>
      <c r="V88" s="2">
        <f>'Paste Run 3'!CJ10/1000</f>
        <v>177.41300000000001</v>
      </c>
      <c r="W88" s="2">
        <f>'Paste Run 3'!CH10/1000</f>
        <v>187.31200000000001</v>
      </c>
      <c r="X88" s="2">
        <f t="shared" si="56"/>
        <v>9.8990000000000009</v>
      </c>
      <c r="Y88" s="2">
        <f>'Paste Run 3'!CD10/1000</f>
        <v>10</v>
      </c>
      <c r="Z88" s="2">
        <f t="shared" si="63"/>
        <v>-0.10099999999999909</v>
      </c>
      <c r="AA88" s="2">
        <f t="shared" si="57"/>
        <v>156.96900000000002</v>
      </c>
      <c r="AB88" s="2">
        <f t="shared" si="64"/>
        <v>166.86800000000002</v>
      </c>
    </row>
    <row r="89" spans="2:28" x14ac:dyDescent="0.2">
      <c r="B89" s="42"/>
      <c r="C89">
        <v>10</v>
      </c>
      <c r="D89" s="2">
        <f>'Paste Run 3'!AZ11/1000</f>
        <v>187.42</v>
      </c>
      <c r="E89" s="2">
        <f>'Paste Run 3'!DM11/1000</f>
        <v>191.423</v>
      </c>
      <c r="F89" s="66">
        <f t="shared" si="52"/>
        <v>4.0030000000000143</v>
      </c>
      <c r="G89" s="67">
        <f t="shared" si="53"/>
        <v>166.976</v>
      </c>
      <c r="H89" s="2">
        <f t="shared" si="58"/>
        <v>170.97900000000001</v>
      </c>
      <c r="I89" s="2"/>
      <c r="J89" s="2">
        <f>'Paste Run 3'!DK11/1000</f>
        <v>191.423</v>
      </c>
      <c r="K89" s="2">
        <f>'Paste Run 3'!DX11/1000</f>
        <v>194.02500000000001</v>
      </c>
      <c r="L89" s="66">
        <f t="shared" si="59"/>
        <v>2.6020000000000039</v>
      </c>
      <c r="M89" s="67">
        <f t="shared" si="54"/>
        <v>170.97900000000001</v>
      </c>
      <c r="N89" s="2">
        <f t="shared" si="60"/>
        <v>173.58100000000002</v>
      </c>
      <c r="O89" s="2"/>
      <c r="P89" s="2">
        <f>'Paste Run 3'!DX11/1000</f>
        <v>194.02500000000001</v>
      </c>
      <c r="Q89" s="2">
        <f>'Paste Run 3'!DV11/1000</f>
        <v>198.31200000000001</v>
      </c>
      <c r="R89" s="2">
        <f t="shared" si="61"/>
        <v>4.2870000000000061</v>
      </c>
      <c r="S89" s="2">
        <f t="shared" si="55"/>
        <v>173.58100000000002</v>
      </c>
      <c r="T89" s="2">
        <f t="shared" si="62"/>
        <v>177.86800000000002</v>
      </c>
      <c r="U89" s="2"/>
      <c r="V89" s="2">
        <f>'Paste Run 3'!CJ11/1000</f>
        <v>198.41200000000001</v>
      </c>
      <c r="W89" s="2">
        <f>'Paste Run 3'!CH11/1000</f>
        <v>202.31200000000001</v>
      </c>
      <c r="X89" s="2">
        <f t="shared" si="56"/>
        <v>3.9000000000000057</v>
      </c>
      <c r="Y89" s="2">
        <f>'Paste Run 3'!CD11/1000</f>
        <v>4</v>
      </c>
      <c r="Z89" s="2">
        <f t="shared" si="63"/>
        <v>-9.9999999999994316E-2</v>
      </c>
      <c r="AA89" s="2">
        <f t="shared" si="57"/>
        <v>177.96800000000002</v>
      </c>
      <c r="AB89" s="2">
        <f t="shared" si="64"/>
        <v>181.86800000000002</v>
      </c>
    </row>
    <row r="90" spans="2:28" x14ac:dyDescent="0.2">
      <c r="B90" s="42"/>
      <c r="C90">
        <v>11</v>
      </c>
      <c r="D90" s="2">
        <f>'Paste Run 3'!AZ12/1000</f>
        <v>202.41499999999999</v>
      </c>
      <c r="E90" s="2">
        <f>'Paste Run 3'!DM12/1000</f>
        <v>206.41800000000001</v>
      </c>
      <c r="F90" s="66">
        <f t="shared" si="52"/>
        <v>4.0030000000000143</v>
      </c>
      <c r="G90" s="67">
        <f t="shared" si="53"/>
        <v>181.971</v>
      </c>
      <c r="H90" s="2">
        <f t="shared" si="58"/>
        <v>185.97400000000002</v>
      </c>
      <c r="I90" s="2"/>
      <c r="J90" s="2">
        <f>'Paste Run 3'!DK12/1000</f>
        <v>206.41800000000001</v>
      </c>
      <c r="K90" s="2">
        <f>'Paste Run 3'!DX12/1000</f>
        <v>208.90299999999999</v>
      </c>
      <c r="L90" s="66">
        <f t="shared" si="59"/>
        <v>2.4849999999999852</v>
      </c>
      <c r="M90" s="67">
        <f t="shared" si="54"/>
        <v>185.97400000000002</v>
      </c>
      <c r="N90" s="2">
        <f t="shared" si="60"/>
        <v>188.459</v>
      </c>
      <c r="O90" s="2"/>
      <c r="P90" s="2">
        <f>'Paste Run 3'!DX12/1000</f>
        <v>208.90299999999999</v>
      </c>
      <c r="Q90" s="2">
        <f>'Paste Run 3'!DV12/1000</f>
        <v>213.31200000000001</v>
      </c>
      <c r="R90" s="2">
        <f t="shared" si="61"/>
        <v>4.4090000000000202</v>
      </c>
      <c r="S90" s="2">
        <f t="shared" si="55"/>
        <v>188.459</v>
      </c>
      <c r="T90" s="2">
        <f t="shared" si="62"/>
        <v>192.86800000000002</v>
      </c>
      <c r="U90" s="2"/>
      <c r="V90" s="2">
        <f>'Paste Run 3'!CJ12/1000</f>
        <v>213.423</v>
      </c>
      <c r="W90" s="2">
        <f>'Paste Run 3'!CH12/1000</f>
        <v>217.31200000000001</v>
      </c>
      <c r="X90" s="2">
        <f t="shared" si="56"/>
        <v>3.88900000000001</v>
      </c>
      <c r="Y90" s="2">
        <f>'Paste Run 3'!CD12/1000</f>
        <v>4</v>
      </c>
      <c r="Z90" s="2">
        <f t="shared" si="63"/>
        <v>-0.11099999999999</v>
      </c>
      <c r="AA90" s="2">
        <f t="shared" si="57"/>
        <v>192.97900000000001</v>
      </c>
      <c r="AB90" s="2">
        <f t="shared" si="64"/>
        <v>196.86800000000002</v>
      </c>
    </row>
    <row r="91" spans="2:28" x14ac:dyDescent="0.2">
      <c r="B91" s="42"/>
      <c r="C91">
        <v>12</v>
      </c>
      <c r="D91" s="2">
        <f>'Paste Run 3'!AZ13/1000</f>
        <v>217.42599999999999</v>
      </c>
      <c r="E91" s="2">
        <f>'Paste Run 3'!DM13/1000</f>
        <v>221.41200000000001</v>
      </c>
      <c r="F91" s="66">
        <f t="shared" si="52"/>
        <v>3.9860000000000184</v>
      </c>
      <c r="G91" s="67">
        <f t="shared" si="53"/>
        <v>196.982</v>
      </c>
      <c r="H91" s="2">
        <f t="shared" si="58"/>
        <v>200.96800000000002</v>
      </c>
      <c r="I91" s="2"/>
      <c r="J91" s="2">
        <f>'Paste Run 3'!DK13/1000</f>
        <v>221.41200000000001</v>
      </c>
      <c r="K91" s="2">
        <f>'Paste Run 3'!DX13/1000</f>
        <v>224.24799999999999</v>
      </c>
      <c r="L91" s="66">
        <f t="shared" si="59"/>
        <v>2.8359999999999843</v>
      </c>
      <c r="M91" s="67">
        <f t="shared" si="54"/>
        <v>200.96800000000002</v>
      </c>
      <c r="N91" s="2">
        <f t="shared" si="60"/>
        <v>203.804</v>
      </c>
      <c r="O91" s="2"/>
      <c r="P91" s="2">
        <f>'Paste Run 3'!DX13/1000</f>
        <v>224.24799999999999</v>
      </c>
      <c r="Q91" s="2">
        <f>'Paste Run 3'!DV13/1000</f>
        <v>228.31200000000001</v>
      </c>
      <c r="R91" s="2">
        <f t="shared" si="61"/>
        <v>4.0640000000000214</v>
      </c>
      <c r="S91" s="2">
        <f t="shared" si="55"/>
        <v>203.804</v>
      </c>
      <c r="T91" s="2">
        <f t="shared" si="62"/>
        <v>207.86800000000002</v>
      </c>
      <c r="U91" s="2"/>
      <c r="V91" s="2">
        <f>'Paste Run 3'!CJ13/1000</f>
        <v>228.41800000000001</v>
      </c>
      <c r="W91" s="2">
        <f>'Paste Run 3'!CH13/1000</f>
        <v>230.31200000000001</v>
      </c>
      <c r="X91" s="2">
        <f t="shared" si="56"/>
        <v>1.8940000000000055</v>
      </c>
      <c r="Y91" s="2">
        <f>'Paste Run 3'!CD13/1000</f>
        <v>2</v>
      </c>
      <c r="Z91" s="2">
        <f t="shared" si="63"/>
        <v>-0.10599999999999454</v>
      </c>
      <c r="AA91" s="2">
        <f t="shared" si="57"/>
        <v>207.97400000000002</v>
      </c>
      <c r="AB91" s="2">
        <f t="shared" si="64"/>
        <v>209.86800000000002</v>
      </c>
    </row>
    <row r="92" spans="2:28" x14ac:dyDescent="0.2">
      <c r="B92" s="42"/>
      <c r="C92">
        <v>13</v>
      </c>
      <c r="D92" s="2">
        <f>'Paste Run 3'!AZ14/1000</f>
        <v>230.41900000000001</v>
      </c>
      <c r="E92" s="2">
        <f>'Paste Run 3'!DM14/1000</f>
        <v>234.422</v>
      </c>
      <c r="F92" s="66">
        <f t="shared" si="52"/>
        <v>4.0029999999999859</v>
      </c>
      <c r="G92" s="67">
        <f t="shared" si="53"/>
        <v>209.97500000000002</v>
      </c>
      <c r="H92" s="2">
        <f t="shared" si="58"/>
        <v>213.97800000000001</v>
      </c>
      <c r="I92" s="2"/>
      <c r="J92" s="2">
        <f>'Paste Run 3'!DK14/1000</f>
        <v>234.422</v>
      </c>
      <c r="K92" s="2">
        <f>'Paste Run 3'!DX14/1000</f>
        <v>236.17400000000001</v>
      </c>
      <c r="L92" s="66">
        <f t="shared" si="59"/>
        <v>1.7520000000000095</v>
      </c>
      <c r="M92" s="67">
        <f t="shared" si="54"/>
        <v>213.97800000000001</v>
      </c>
      <c r="N92" s="2">
        <f t="shared" si="60"/>
        <v>215.73000000000002</v>
      </c>
      <c r="O92" s="2"/>
      <c r="P92" s="2">
        <f>'Paste Run 3'!DX14/1000</f>
        <v>236.17400000000001</v>
      </c>
      <c r="Q92" s="2">
        <f>'Paste Run 3'!DV14/1000</f>
        <v>241.31200000000001</v>
      </c>
      <c r="R92" s="2">
        <f t="shared" si="61"/>
        <v>5.1380000000000052</v>
      </c>
      <c r="S92" s="2">
        <f t="shared" si="55"/>
        <v>215.73000000000002</v>
      </c>
      <c r="T92" s="2">
        <f t="shared" si="62"/>
        <v>220.86800000000002</v>
      </c>
      <c r="U92" s="2"/>
      <c r="V92" s="2">
        <f>'Paste Run 3'!CJ14/1000</f>
        <v>241.42699999999999</v>
      </c>
      <c r="W92" s="2">
        <f>'Paste Run 3'!CH14/1000</f>
        <v>253.31200000000001</v>
      </c>
      <c r="X92" s="2">
        <f t="shared" si="56"/>
        <v>11.885000000000019</v>
      </c>
      <c r="Y92" s="2">
        <f>'Paste Run 3'!CD14/1000</f>
        <v>12</v>
      </c>
      <c r="Z92" s="2">
        <f t="shared" si="63"/>
        <v>-0.11499999999998067</v>
      </c>
      <c r="AA92" s="2">
        <f t="shared" si="57"/>
        <v>220.983</v>
      </c>
      <c r="AB92" s="2">
        <f t="shared" si="64"/>
        <v>232.86800000000002</v>
      </c>
    </row>
    <row r="93" spans="2:28" x14ac:dyDescent="0.2">
      <c r="B93" s="42"/>
      <c r="C93">
        <v>14</v>
      </c>
      <c r="D93" s="2">
        <f>'Paste Run 3'!AZ15/1000</f>
        <v>253.42</v>
      </c>
      <c r="E93" s="2">
        <f>'Paste Run 3'!DM15/1000</f>
        <v>257.423</v>
      </c>
      <c r="F93" s="66">
        <f t="shared" si="52"/>
        <v>4.0030000000000143</v>
      </c>
      <c r="G93" s="67">
        <f t="shared" si="53"/>
        <v>232.976</v>
      </c>
      <c r="H93" s="2">
        <f t="shared" si="58"/>
        <v>236.97900000000001</v>
      </c>
      <c r="I93" s="2"/>
      <c r="J93" s="2">
        <f>'Paste Run 3'!DK15/1000</f>
        <v>257.423</v>
      </c>
      <c r="K93" s="2">
        <f>'Paste Run 3'!DX15/1000</f>
        <v>259.82499999999999</v>
      </c>
      <c r="L93" s="66">
        <f t="shared" si="59"/>
        <v>2.4019999999999868</v>
      </c>
      <c r="M93" s="67">
        <f t="shared" si="54"/>
        <v>236.97900000000001</v>
      </c>
      <c r="N93" s="2">
        <f t="shared" si="60"/>
        <v>239.381</v>
      </c>
      <c r="O93" s="2"/>
      <c r="P93" s="2">
        <f>'Paste Run 3'!DX15/1000</f>
        <v>259.82499999999999</v>
      </c>
      <c r="Q93" s="2">
        <f>'Paste Run 3'!DV15/1000</f>
        <v>264.31200000000001</v>
      </c>
      <c r="R93" s="2">
        <f t="shared" si="61"/>
        <v>4.4870000000000232</v>
      </c>
      <c r="S93" s="2">
        <f t="shared" si="55"/>
        <v>239.381</v>
      </c>
      <c r="T93" s="2">
        <f t="shared" si="62"/>
        <v>243.86800000000002</v>
      </c>
      <c r="U93" s="2"/>
      <c r="V93" s="2">
        <f>'Paste Run 3'!CJ15/1000</f>
        <v>264.428</v>
      </c>
      <c r="W93" s="2">
        <f>'Paste Run 3'!CH15/1000</f>
        <v>268.31200000000001</v>
      </c>
      <c r="X93" s="2">
        <f t="shared" si="56"/>
        <v>3.8840000000000146</v>
      </c>
      <c r="Y93" s="2">
        <f>'Paste Run 3'!CD15/1000</f>
        <v>4</v>
      </c>
      <c r="Z93" s="2">
        <f t="shared" si="63"/>
        <v>-0.11599999999998545</v>
      </c>
      <c r="AA93" s="2">
        <f t="shared" si="57"/>
        <v>243.98400000000001</v>
      </c>
      <c r="AB93" s="2">
        <f t="shared" si="64"/>
        <v>247.86800000000002</v>
      </c>
    </row>
    <row r="94" spans="2:28" x14ac:dyDescent="0.2">
      <c r="B94" s="42"/>
      <c r="C94">
        <v>15</v>
      </c>
      <c r="D94" s="2">
        <f>'Paste Run 3'!AZ16/1000</f>
        <v>268.41399999999999</v>
      </c>
      <c r="E94" s="2">
        <f>'Paste Run 3'!DM16/1000</f>
        <v>272.41699999999997</v>
      </c>
      <c r="F94" s="66">
        <f t="shared" si="52"/>
        <v>4.0029999999999859</v>
      </c>
      <c r="G94" s="67">
        <f t="shared" si="53"/>
        <v>247.97</v>
      </c>
      <c r="H94" s="2">
        <f t="shared" si="58"/>
        <v>251.97299999999998</v>
      </c>
      <c r="I94" s="2"/>
      <c r="J94" s="2">
        <f>'Paste Run 3'!DK16/1000</f>
        <v>272.41800000000001</v>
      </c>
      <c r="K94" s="2">
        <f>'Paste Run 3'!DX16/1000</f>
        <v>274.48599999999999</v>
      </c>
      <c r="L94" s="66">
        <f t="shared" si="59"/>
        <v>2.0679999999999836</v>
      </c>
      <c r="M94" s="67">
        <f t="shared" si="54"/>
        <v>251.97400000000002</v>
      </c>
      <c r="N94" s="2">
        <f t="shared" si="60"/>
        <v>254.042</v>
      </c>
      <c r="O94" s="2"/>
      <c r="P94" s="2">
        <f>'Paste Run 3'!DX16/1000</f>
        <v>274.48599999999999</v>
      </c>
      <c r="Q94" s="2">
        <f>'Paste Run 3'!DV16/1000</f>
        <v>279.31200000000001</v>
      </c>
      <c r="R94" s="2">
        <f t="shared" si="61"/>
        <v>4.8260000000000218</v>
      </c>
      <c r="S94" s="2">
        <f t="shared" si="55"/>
        <v>254.042</v>
      </c>
      <c r="T94" s="2">
        <f t="shared" si="62"/>
        <v>258.86800000000005</v>
      </c>
      <c r="U94" s="2"/>
      <c r="V94" s="2">
        <f>'Paste Run 3'!CJ16/1000</f>
        <v>279.423</v>
      </c>
      <c r="W94" s="2">
        <f>'Paste Run 3'!CH16/1000</f>
        <v>285.31200000000001</v>
      </c>
      <c r="X94" s="2">
        <f t="shared" si="56"/>
        <v>5.88900000000001</v>
      </c>
      <c r="Y94" s="2">
        <f>'Paste Run 3'!CD16/1000</f>
        <v>6</v>
      </c>
      <c r="Z94" s="2">
        <f t="shared" si="63"/>
        <v>-0.11099999999999</v>
      </c>
      <c r="AA94" s="2">
        <f t="shared" si="57"/>
        <v>258.97899999999998</v>
      </c>
      <c r="AB94" s="2">
        <f t="shared" si="64"/>
        <v>264.86799999999999</v>
      </c>
    </row>
    <row r="95" spans="2:28" x14ac:dyDescent="0.2">
      <c r="B95" s="42"/>
      <c r="C95">
        <v>16</v>
      </c>
      <c r="D95" s="2">
        <f>'Paste Run 3'!AZ17/1000</f>
        <v>285.42700000000002</v>
      </c>
      <c r="E95" s="2">
        <f>'Paste Run 3'!DM17/1000</f>
        <v>289.41399999999999</v>
      </c>
      <c r="F95" s="66">
        <f t="shared" si="52"/>
        <v>3.9869999999999663</v>
      </c>
      <c r="G95" s="67">
        <f t="shared" si="53"/>
        <v>264.983</v>
      </c>
      <c r="H95" s="2">
        <f t="shared" si="58"/>
        <v>268.96999999999997</v>
      </c>
      <c r="I95" s="2"/>
      <c r="J95" s="2">
        <f>'Paste Run 3'!DK17/1000</f>
        <v>289.41399999999999</v>
      </c>
      <c r="K95" s="2">
        <f>'Paste Run 3'!DX17/1000</f>
        <v>290.89800000000002</v>
      </c>
      <c r="L95" s="66">
        <f t="shared" si="59"/>
        <v>1.4840000000000373</v>
      </c>
      <c r="M95" s="67">
        <f t="shared" si="54"/>
        <v>268.96999999999997</v>
      </c>
      <c r="N95" s="2">
        <f t="shared" si="60"/>
        <v>270.45400000000001</v>
      </c>
      <c r="O95" s="2"/>
      <c r="P95" s="2">
        <f>'Paste Run 3'!DX17/1000</f>
        <v>290.89800000000002</v>
      </c>
      <c r="Q95" s="2">
        <f>'Paste Run 3'!DV17/1000</f>
        <v>296.31200000000001</v>
      </c>
      <c r="R95" s="2">
        <f t="shared" si="61"/>
        <v>5.4139999999999873</v>
      </c>
      <c r="S95" s="2">
        <f t="shared" si="55"/>
        <v>270.45400000000001</v>
      </c>
      <c r="T95" s="2">
        <f t="shared" si="62"/>
        <v>275.86799999999999</v>
      </c>
      <c r="U95" s="2"/>
      <c r="V95" s="2">
        <f>'Paste Run 3'!CJ17/1000</f>
        <v>296.41899999999998</v>
      </c>
      <c r="W95" s="2">
        <f>'Paste Run 3'!CH17/1000</f>
        <v>300.31200000000001</v>
      </c>
      <c r="X95" s="2">
        <f t="shared" si="56"/>
        <v>3.8930000000000291</v>
      </c>
      <c r="Y95" s="2">
        <f>'Paste Run 3'!CD17/1000</f>
        <v>4</v>
      </c>
      <c r="Z95" s="2">
        <f t="shared" si="63"/>
        <v>-0.1069999999999709</v>
      </c>
      <c r="AA95" s="2">
        <f t="shared" si="57"/>
        <v>275.97499999999997</v>
      </c>
      <c r="AB95" s="2">
        <f t="shared" si="64"/>
        <v>279.86799999999999</v>
      </c>
    </row>
    <row r="96" spans="2:28" x14ac:dyDescent="0.2">
      <c r="B96" s="42"/>
      <c r="C96">
        <v>17</v>
      </c>
      <c r="D96" s="2">
        <f>'Paste Run 3'!AZ18/1000</f>
        <v>300.42200000000003</v>
      </c>
      <c r="E96" s="2">
        <f>'Paste Run 3'!DM18/1000</f>
        <v>304.42500000000001</v>
      </c>
      <c r="F96" s="66">
        <f t="shared" si="52"/>
        <v>4.0029999999999859</v>
      </c>
      <c r="G96" s="67">
        <f t="shared" si="53"/>
        <v>279.97800000000001</v>
      </c>
      <c r="H96" s="2">
        <f t="shared" si="58"/>
        <v>283.98099999999999</v>
      </c>
      <c r="I96" s="2"/>
      <c r="J96" s="2">
        <f>'Paste Run 3'!DK18/1000</f>
        <v>304.42500000000001</v>
      </c>
      <c r="K96" s="2">
        <f>'Paste Run 3'!DX18/1000</f>
        <v>306.67700000000002</v>
      </c>
      <c r="L96" s="66">
        <f t="shared" si="59"/>
        <v>2.2520000000000095</v>
      </c>
      <c r="M96" s="67">
        <f t="shared" si="54"/>
        <v>283.98099999999999</v>
      </c>
      <c r="N96" s="2">
        <f t="shared" si="60"/>
        <v>286.233</v>
      </c>
      <c r="O96" s="2"/>
      <c r="P96" s="2">
        <f>'Paste Run 3'!DX18/1000</f>
        <v>306.67700000000002</v>
      </c>
      <c r="Q96" s="2">
        <f>'Paste Run 3'!DV18/1000</f>
        <v>311.31200000000001</v>
      </c>
      <c r="R96" s="2">
        <f t="shared" si="61"/>
        <v>4.6349999999999909</v>
      </c>
      <c r="S96" s="2">
        <f t="shared" si="55"/>
        <v>286.233</v>
      </c>
      <c r="T96" s="2">
        <f t="shared" si="62"/>
        <v>290.86799999999999</v>
      </c>
      <c r="U96" s="2"/>
      <c r="V96" s="2">
        <f>'Paste Run 3'!CJ18/1000</f>
        <v>311.41399999999999</v>
      </c>
      <c r="W96" s="2">
        <f>'Paste Run 3'!CH18/1000</f>
        <v>321.31200000000001</v>
      </c>
      <c r="X96" s="2">
        <f t="shared" si="56"/>
        <v>9.8980000000000246</v>
      </c>
      <c r="Y96" s="2">
        <f>'Paste Run 3'!CD18/1000</f>
        <v>10</v>
      </c>
      <c r="Z96" s="2">
        <f t="shared" si="63"/>
        <v>-0.10199999999997544</v>
      </c>
      <c r="AA96" s="2">
        <f t="shared" si="57"/>
        <v>290.96999999999997</v>
      </c>
      <c r="AB96" s="2">
        <f t="shared" si="64"/>
        <v>300.86799999999999</v>
      </c>
    </row>
    <row r="97" spans="2:28" x14ac:dyDescent="0.2">
      <c r="B97" s="42"/>
      <c r="C97">
        <v>18</v>
      </c>
      <c r="D97" s="2">
        <f>'Paste Run 3'!AZ19/1000</f>
        <v>321.42099999999999</v>
      </c>
      <c r="E97" s="2">
        <f>'Paste Run 3'!DM19/1000</f>
        <v>325.42399999999998</v>
      </c>
      <c r="F97" s="66">
        <f t="shared" si="52"/>
        <v>4.0029999999999859</v>
      </c>
      <c r="G97" s="67">
        <f t="shared" si="53"/>
        <v>300.97699999999998</v>
      </c>
      <c r="H97" s="2">
        <f t="shared" si="58"/>
        <v>304.97999999999996</v>
      </c>
      <c r="I97" s="2"/>
      <c r="J97" s="2">
        <f>'Paste Run 3'!DK19/1000</f>
        <v>325.42399999999998</v>
      </c>
      <c r="K97" s="2">
        <f>'Paste Run 3'!DX19/1000</f>
        <v>327.19200000000001</v>
      </c>
      <c r="L97" s="66">
        <f t="shared" si="59"/>
        <v>1.7680000000000291</v>
      </c>
      <c r="M97" s="67">
        <f t="shared" si="54"/>
        <v>304.97999999999996</v>
      </c>
      <c r="N97" s="2">
        <f t="shared" si="60"/>
        <v>306.74799999999999</v>
      </c>
      <c r="O97" s="2"/>
      <c r="P97" s="2">
        <f>'Paste Run 3'!DX19/1000</f>
        <v>327.19200000000001</v>
      </c>
      <c r="Q97" s="2">
        <f>'Paste Run 3'!DV19/1000</f>
        <v>332.31200000000001</v>
      </c>
      <c r="R97" s="2">
        <f t="shared" si="61"/>
        <v>5.1200000000000045</v>
      </c>
      <c r="S97" s="2">
        <f t="shared" si="55"/>
        <v>306.74799999999999</v>
      </c>
      <c r="T97" s="2">
        <f t="shared" si="62"/>
        <v>311.86799999999999</v>
      </c>
      <c r="U97" s="2"/>
      <c r="V97" s="2">
        <f>'Paste Run 3'!CJ19/1000</f>
        <v>332.41300000000001</v>
      </c>
      <c r="W97" s="2">
        <f>'Paste Run 3'!CH19/1000</f>
        <v>334.31200000000001</v>
      </c>
      <c r="X97" s="2">
        <f t="shared" si="56"/>
        <v>1.8990000000000009</v>
      </c>
      <c r="Y97" s="2">
        <f>'Paste Run 3'!CD19/1000</f>
        <v>2</v>
      </c>
      <c r="Z97" s="2">
        <f t="shared" si="63"/>
        <v>-0.10099999999999909</v>
      </c>
      <c r="AA97" s="2">
        <f t="shared" si="57"/>
        <v>311.96899999999999</v>
      </c>
      <c r="AB97" s="2">
        <f t="shared" si="64"/>
        <v>313.86799999999999</v>
      </c>
    </row>
    <row r="98" spans="2:28" x14ac:dyDescent="0.2">
      <c r="B98" s="42"/>
      <c r="C98">
        <v>19</v>
      </c>
      <c r="D98" s="2">
        <f>'Paste Run 3'!AZ20/1000</f>
        <v>334.41399999999999</v>
      </c>
      <c r="E98" s="2">
        <f>'Paste Run 3'!DM20/1000</f>
        <v>338.41699999999997</v>
      </c>
      <c r="F98" s="66">
        <f t="shared" si="52"/>
        <v>4.0029999999999859</v>
      </c>
      <c r="G98" s="67">
        <f t="shared" si="53"/>
        <v>313.96999999999997</v>
      </c>
      <c r="H98" s="2">
        <f t="shared" si="58"/>
        <v>317.97299999999996</v>
      </c>
      <c r="I98" s="2"/>
      <c r="J98" s="2">
        <f>'Paste Run 3'!DK20/1000</f>
        <v>338.41699999999997</v>
      </c>
      <c r="K98" s="2">
        <f>'Paste Run 3'!DX20/1000</f>
        <v>340.26900000000001</v>
      </c>
      <c r="L98" s="66">
        <f t="shared" si="59"/>
        <v>1.8520000000000323</v>
      </c>
      <c r="M98" s="67">
        <f t="shared" si="54"/>
        <v>317.97299999999996</v>
      </c>
      <c r="N98" s="2">
        <f t="shared" si="60"/>
        <v>319.82499999999999</v>
      </c>
      <c r="O98" s="2"/>
      <c r="P98" s="2">
        <f>'Paste Run 3'!DX20/1000</f>
        <v>340.26900000000001</v>
      </c>
      <c r="Q98" s="2">
        <f>'Paste Run 3'!DV20/1000</f>
        <v>345.31200000000001</v>
      </c>
      <c r="R98" s="2">
        <f t="shared" si="61"/>
        <v>5.0430000000000064</v>
      </c>
      <c r="S98" s="2">
        <f t="shared" si="55"/>
        <v>319.82499999999999</v>
      </c>
      <c r="T98" s="2">
        <f t="shared" si="62"/>
        <v>324.86799999999999</v>
      </c>
      <c r="U98" s="2"/>
      <c r="V98" s="2">
        <f>'Paste Run 3'!CJ20/1000</f>
        <v>345.42200000000003</v>
      </c>
      <c r="W98" s="2">
        <f>'Paste Run 3'!CH20/1000</f>
        <v>349.31200000000001</v>
      </c>
      <c r="X98" s="2">
        <f t="shared" si="56"/>
        <v>3.8899999999999864</v>
      </c>
      <c r="Y98" s="2">
        <f>'Paste Run 3'!CD20/1000</f>
        <v>4</v>
      </c>
      <c r="Z98" s="2">
        <f t="shared" si="63"/>
        <v>-0.11000000000001364</v>
      </c>
      <c r="AA98" s="2">
        <f t="shared" si="57"/>
        <v>324.97800000000001</v>
      </c>
      <c r="AB98" s="2">
        <f t="shared" si="64"/>
        <v>328.86799999999999</v>
      </c>
    </row>
    <row r="99" spans="2:28" x14ac:dyDescent="0.2">
      <c r="B99" s="42"/>
      <c r="C99">
        <v>20</v>
      </c>
      <c r="D99" s="2">
        <f>'Paste Run 3'!AZ21/1000</f>
        <v>349.42500000000001</v>
      </c>
      <c r="E99" s="2">
        <f>'Paste Run 3'!DM21/1000</f>
        <v>353.41199999999998</v>
      </c>
      <c r="F99" s="66">
        <f t="shared" si="52"/>
        <v>3.9869999999999663</v>
      </c>
      <c r="G99" s="67">
        <f t="shared" si="53"/>
        <v>328.98099999999999</v>
      </c>
      <c r="H99" s="2">
        <f t="shared" si="58"/>
        <v>332.96799999999996</v>
      </c>
      <c r="I99" s="2"/>
      <c r="J99" s="2">
        <f>'Paste Run 3'!DK21/1000</f>
        <v>353.41199999999998</v>
      </c>
      <c r="K99" s="2">
        <f>'Paste Run 3'!DX21/1000</f>
        <v>356.14699999999999</v>
      </c>
      <c r="L99" s="66">
        <f t="shared" si="59"/>
        <v>2.7350000000000136</v>
      </c>
      <c r="M99" s="67">
        <f t="shared" si="54"/>
        <v>332.96799999999996</v>
      </c>
      <c r="N99" s="2">
        <f t="shared" si="60"/>
        <v>335.70299999999997</v>
      </c>
      <c r="O99" s="2"/>
      <c r="P99" s="2">
        <f>'Paste Run 3'!DX21/1000</f>
        <v>356.14699999999999</v>
      </c>
      <c r="Q99" s="2">
        <f>'Paste Run 3'!DV21/1000</f>
        <v>360.31200000000001</v>
      </c>
      <c r="R99" s="2">
        <f t="shared" si="61"/>
        <v>4.1650000000000205</v>
      </c>
      <c r="S99" s="2">
        <f t="shared" si="55"/>
        <v>335.70299999999997</v>
      </c>
      <c r="T99" s="2">
        <f t="shared" si="62"/>
        <v>339.86799999999999</v>
      </c>
      <c r="U99" s="2"/>
      <c r="V99" s="2">
        <f>'Paste Run 3'!CJ21/1000</f>
        <v>360.41699999999997</v>
      </c>
      <c r="W99" s="2">
        <f>'Paste Run 3'!CH21/1000</f>
        <v>364.31200000000001</v>
      </c>
      <c r="X99" s="2">
        <f t="shared" si="56"/>
        <v>3.8950000000000387</v>
      </c>
      <c r="Y99" s="2">
        <f>'Paste Run 3'!CD21/1000</f>
        <v>4</v>
      </c>
      <c r="Z99" s="2">
        <f t="shared" si="63"/>
        <v>-0.10499999999996135</v>
      </c>
      <c r="AA99" s="2">
        <f t="shared" si="57"/>
        <v>339.97299999999996</v>
      </c>
      <c r="AB99" s="2">
        <f t="shared" si="64"/>
        <v>343.86799999999999</v>
      </c>
    </row>
    <row r="100" spans="2:28" x14ac:dyDescent="0.2">
      <c r="B100" s="42"/>
      <c r="C100">
        <v>21</v>
      </c>
      <c r="D100" s="2">
        <f>'Paste Run 3'!AZ22/1000</f>
        <v>364.42</v>
      </c>
      <c r="E100" s="2">
        <f>'Paste Run 3'!DM22/1000</f>
        <v>368.423</v>
      </c>
      <c r="F100" s="66">
        <f t="shared" si="52"/>
        <v>4.0029999999999859</v>
      </c>
      <c r="G100" s="67">
        <f t="shared" si="53"/>
        <v>343.976</v>
      </c>
      <c r="H100" s="2">
        <f t="shared" si="58"/>
        <v>347.97899999999998</v>
      </c>
      <c r="I100" s="2"/>
      <c r="J100" s="2">
        <f>'Paste Run 3'!DK22/1000</f>
        <v>368.423</v>
      </c>
      <c r="K100" s="2">
        <f>'Paste Run 3'!DX22/1000</f>
        <v>370.25799999999998</v>
      </c>
      <c r="L100" s="66">
        <f t="shared" si="59"/>
        <v>1.8349999999999795</v>
      </c>
      <c r="M100" s="67">
        <f t="shared" si="54"/>
        <v>347.97899999999998</v>
      </c>
      <c r="N100" s="2">
        <f t="shared" si="60"/>
        <v>349.81399999999996</v>
      </c>
      <c r="O100" s="2"/>
      <c r="P100" s="2">
        <f>'Paste Run 3'!DX22/1000</f>
        <v>370.25799999999998</v>
      </c>
      <c r="Q100" s="2">
        <f>'Paste Run 3'!DV22/1000</f>
        <v>375.31200000000001</v>
      </c>
      <c r="R100" s="2">
        <f t="shared" si="61"/>
        <v>5.0540000000000305</v>
      </c>
      <c r="S100" s="2">
        <f t="shared" si="55"/>
        <v>349.81399999999996</v>
      </c>
      <c r="T100" s="2">
        <f t="shared" si="62"/>
        <v>354.86799999999999</v>
      </c>
      <c r="U100" s="2"/>
      <c r="V100" s="2">
        <f>'Paste Run 3'!CJ22/1000</f>
        <v>375.41199999999998</v>
      </c>
      <c r="W100" s="2">
        <f>'Paste Run 3'!CH22/1000</f>
        <v>377.31200000000001</v>
      </c>
      <c r="X100" s="2">
        <f t="shared" si="56"/>
        <v>1.9000000000000341</v>
      </c>
      <c r="Y100" s="2">
        <f>'Paste Run 3'!CD22/1000</f>
        <v>2</v>
      </c>
      <c r="Z100" s="2">
        <f t="shared" si="63"/>
        <v>-9.9999999999965894E-2</v>
      </c>
      <c r="AA100" s="2">
        <f t="shared" si="57"/>
        <v>354.96799999999996</v>
      </c>
      <c r="AB100" s="2">
        <f t="shared" si="64"/>
        <v>356.86799999999999</v>
      </c>
    </row>
    <row r="101" spans="2:28" x14ac:dyDescent="0.2">
      <c r="B101" s="42"/>
      <c r="C101">
        <v>22</v>
      </c>
      <c r="D101" s="2">
        <f>'Paste Run 3'!AZ23/1000</f>
        <v>377.41300000000001</v>
      </c>
      <c r="E101" s="2">
        <f>'Paste Run 3'!DM23/1000</f>
        <v>381.416</v>
      </c>
      <c r="F101" s="66">
        <f t="shared" si="52"/>
        <v>4.0029999999999859</v>
      </c>
      <c r="G101" s="67">
        <f t="shared" si="53"/>
        <v>356.96899999999999</v>
      </c>
      <c r="H101" s="2">
        <f t="shared" si="58"/>
        <v>360.97199999999998</v>
      </c>
      <c r="I101" s="2"/>
      <c r="J101" s="2">
        <f>'Paste Run 3'!DK23/1000</f>
        <v>381.416</v>
      </c>
      <c r="K101" s="2">
        <f>'Paste Run 3'!DX23/1000</f>
        <v>384.952</v>
      </c>
      <c r="L101" s="66">
        <f t="shared" si="59"/>
        <v>3.5360000000000014</v>
      </c>
      <c r="M101" s="67">
        <f t="shared" si="54"/>
        <v>360.97199999999998</v>
      </c>
      <c r="N101" s="2">
        <f t="shared" si="60"/>
        <v>364.50799999999998</v>
      </c>
      <c r="O101" s="2"/>
      <c r="P101" s="2">
        <f>'Paste Run 3'!DX23/1000</f>
        <v>384.952</v>
      </c>
      <c r="Q101" s="2">
        <f>'Paste Run 3'!DV23/1000</f>
        <v>388.31200000000001</v>
      </c>
      <c r="R101" s="2">
        <f t="shared" si="61"/>
        <v>3.3600000000000136</v>
      </c>
      <c r="S101" s="2">
        <f t="shared" si="55"/>
        <v>364.50799999999998</v>
      </c>
      <c r="T101" s="2">
        <f t="shared" si="62"/>
        <v>367.86799999999999</v>
      </c>
      <c r="U101" s="2"/>
      <c r="V101" s="2">
        <f>'Paste Run 3'!CJ23/1000</f>
        <v>388.42200000000003</v>
      </c>
      <c r="W101" s="2">
        <f>'Paste Run 3'!CH23/1000</f>
        <v>398.31200000000001</v>
      </c>
      <c r="X101" s="2">
        <f t="shared" si="56"/>
        <v>9.8899999999999864</v>
      </c>
      <c r="Y101" s="2">
        <f>'Paste Run 3'!CD23/1000</f>
        <v>10</v>
      </c>
      <c r="Z101" s="2">
        <f t="shared" si="63"/>
        <v>-0.11000000000001364</v>
      </c>
      <c r="AA101" s="2">
        <f t="shared" si="57"/>
        <v>367.97800000000001</v>
      </c>
      <c r="AB101" s="2">
        <f t="shared" si="64"/>
        <v>377.86799999999999</v>
      </c>
    </row>
    <row r="102" spans="2:28" x14ac:dyDescent="0.2">
      <c r="B102" s="42"/>
      <c r="C102">
        <v>23</v>
      </c>
      <c r="D102" s="2">
        <f>'Paste Run 3'!AZ24/1000</f>
        <v>398.41199999999998</v>
      </c>
      <c r="E102" s="2">
        <f>'Paste Run 3'!DM24/1000</f>
        <v>402.41500000000002</v>
      </c>
      <c r="F102" s="66">
        <f t="shared" si="52"/>
        <v>4.0030000000000427</v>
      </c>
      <c r="G102" s="67">
        <f t="shared" si="53"/>
        <v>377.96799999999996</v>
      </c>
      <c r="H102" s="2">
        <f t="shared" si="58"/>
        <v>381.971</v>
      </c>
      <c r="I102" s="2"/>
      <c r="J102" s="2">
        <f>'Paste Run 3'!DK24/1000</f>
        <v>402.416</v>
      </c>
      <c r="K102" s="2">
        <f>'Paste Run 3'!DX24/1000</f>
        <v>404</v>
      </c>
      <c r="L102" s="66">
        <f t="shared" si="59"/>
        <v>1.5840000000000032</v>
      </c>
      <c r="M102" s="67">
        <f t="shared" si="54"/>
        <v>381.97199999999998</v>
      </c>
      <c r="N102" s="2">
        <f t="shared" si="60"/>
        <v>383.55599999999998</v>
      </c>
      <c r="O102" s="2"/>
      <c r="P102" s="2">
        <f>'Paste Run 3'!DX24/1000</f>
        <v>404</v>
      </c>
      <c r="Q102" s="2">
        <f>'Paste Run 3'!DV24/1000</f>
        <v>409.31200000000001</v>
      </c>
      <c r="R102" s="2">
        <f t="shared" si="61"/>
        <v>5.3120000000000118</v>
      </c>
      <c r="S102" s="2">
        <f t="shared" si="55"/>
        <v>383.55599999999998</v>
      </c>
      <c r="T102" s="2">
        <f t="shared" si="62"/>
        <v>388.86799999999999</v>
      </c>
      <c r="U102" s="2"/>
      <c r="V102" s="2">
        <f>'Paste Run 3'!CJ24/1000</f>
        <v>409.42099999999999</v>
      </c>
      <c r="W102" s="2">
        <f>'Paste Run 3'!CH24/1000</f>
        <v>413.31200000000001</v>
      </c>
      <c r="X102" s="2">
        <f t="shared" si="56"/>
        <v>3.8910000000000196</v>
      </c>
      <c r="Y102" s="2">
        <f>'Paste Run 3'!CD24/1000</f>
        <v>4</v>
      </c>
      <c r="Z102" s="2">
        <f t="shared" si="63"/>
        <v>-0.10899999999998045</v>
      </c>
      <c r="AA102" s="2">
        <f t="shared" si="57"/>
        <v>388.97699999999998</v>
      </c>
      <c r="AB102" s="2">
        <f t="shared" si="64"/>
        <v>392.86799999999999</v>
      </c>
    </row>
    <row r="103" spans="2:28" x14ac:dyDescent="0.2">
      <c r="B103" s="42"/>
      <c r="C103">
        <v>24</v>
      </c>
      <c r="D103" s="2">
        <f>'Paste Run 3'!AZ25/1000</f>
        <v>413.42399999999998</v>
      </c>
      <c r="E103" s="2">
        <f>'Paste Run 3'!DM25/1000</f>
        <v>417.42700000000002</v>
      </c>
      <c r="F103" s="66">
        <f t="shared" si="52"/>
        <v>4.0030000000000427</v>
      </c>
      <c r="G103" s="67">
        <f t="shared" si="53"/>
        <v>392.97999999999996</v>
      </c>
      <c r="H103" s="2">
        <f t="shared" si="58"/>
        <v>396.983</v>
      </c>
      <c r="I103" s="2"/>
      <c r="J103" s="2">
        <f>'Paste Run 3'!DK25/1000</f>
        <v>417.42700000000002</v>
      </c>
      <c r="K103" s="2">
        <f>'Paste Run 3'!DX25/1000</f>
        <v>419.91199999999998</v>
      </c>
      <c r="L103" s="66">
        <f t="shared" si="59"/>
        <v>2.4849999999999568</v>
      </c>
      <c r="M103" s="67">
        <f t="shared" si="54"/>
        <v>396.983</v>
      </c>
      <c r="N103" s="2">
        <f t="shared" si="60"/>
        <v>399.46799999999996</v>
      </c>
      <c r="O103" s="2"/>
      <c r="P103" s="2">
        <f>'Paste Run 3'!DX25/1000</f>
        <v>419.91199999999998</v>
      </c>
      <c r="Q103" s="2">
        <f>'Paste Run 3'!DV25/1000</f>
        <v>424.31200000000001</v>
      </c>
      <c r="R103" s="2">
        <f t="shared" si="61"/>
        <v>4.4000000000000341</v>
      </c>
      <c r="S103" s="2">
        <f t="shared" si="55"/>
        <v>399.46799999999996</v>
      </c>
      <c r="T103" s="2">
        <f t="shared" si="62"/>
        <v>403.86799999999999</v>
      </c>
      <c r="U103" s="2"/>
      <c r="V103" s="2">
        <f>'Paste Run 3'!CJ25/1000</f>
        <v>424.41500000000002</v>
      </c>
      <c r="W103" s="2">
        <f>'Paste Run 3'!CH25/1000</f>
        <v>426.31200000000001</v>
      </c>
      <c r="X103" s="2">
        <f t="shared" si="56"/>
        <v>1.8969999999999914</v>
      </c>
      <c r="Y103" s="2">
        <f>'Paste Run 3'!CD25/1000</f>
        <v>2</v>
      </c>
      <c r="Z103" s="2">
        <f t="shared" si="63"/>
        <v>-0.10300000000000864</v>
      </c>
      <c r="AA103" s="2">
        <f t="shared" si="57"/>
        <v>403.971</v>
      </c>
      <c r="AB103" s="2">
        <f t="shared" si="64"/>
        <v>405.86799999999999</v>
      </c>
    </row>
    <row r="104" spans="2:28" x14ac:dyDescent="0.2">
      <c r="B104" s="42"/>
      <c r="C104">
        <v>25</v>
      </c>
      <c r="D104" s="2">
        <f>'Paste Run 3'!AZ26/1000</f>
        <v>426.41699999999997</v>
      </c>
      <c r="E104" s="2">
        <f>'Paste Run 3'!DM26/1000</f>
        <v>430.42</v>
      </c>
      <c r="F104" s="66">
        <f t="shared" si="52"/>
        <v>4.0030000000000427</v>
      </c>
      <c r="G104" s="67">
        <f t="shared" si="53"/>
        <v>405.97299999999996</v>
      </c>
      <c r="H104" s="2">
        <f t="shared" si="58"/>
        <v>409.976</v>
      </c>
      <c r="I104" s="2"/>
      <c r="J104" s="2">
        <f>'Paste Run 3'!DK26/1000</f>
        <v>430.42</v>
      </c>
      <c r="K104" s="2">
        <f>'Paste Run 3'!DX26/1000</f>
        <v>432.18799999999999</v>
      </c>
      <c r="L104" s="66">
        <f t="shared" si="59"/>
        <v>1.7679999999999723</v>
      </c>
      <c r="M104" s="67">
        <f t="shared" si="54"/>
        <v>409.976</v>
      </c>
      <c r="N104" s="2">
        <f t="shared" si="60"/>
        <v>411.74399999999997</v>
      </c>
      <c r="O104" s="2"/>
      <c r="P104" s="2">
        <f>'Paste Run 3'!DX26/1000</f>
        <v>432.18799999999999</v>
      </c>
      <c r="Q104" s="2">
        <f>'Paste Run 3'!DV26/1000</f>
        <v>437.31200000000001</v>
      </c>
      <c r="R104" s="2">
        <f t="shared" si="61"/>
        <v>5.1240000000000236</v>
      </c>
      <c r="S104" s="2">
        <f t="shared" si="55"/>
        <v>411.74399999999997</v>
      </c>
      <c r="T104" s="2">
        <f t="shared" si="62"/>
        <v>416.86799999999999</v>
      </c>
      <c r="U104" s="2"/>
      <c r="V104" s="2">
        <f>'Paste Run 3'!CJ26/1000</f>
        <v>437.42500000000001</v>
      </c>
      <c r="W104" s="2">
        <f>'Paste Run 3'!CH26/1000</f>
        <v>441.31200000000001</v>
      </c>
      <c r="X104" s="2">
        <f t="shared" si="56"/>
        <v>3.8870000000000005</v>
      </c>
      <c r="Y104" s="2">
        <f>'Paste Run 3'!CD26/1000</f>
        <v>4</v>
      </c>
      <c r="Z104" s="2">
        <f t="shared" si="63"/>
        <v>-0.11299999999999955</v>
      </c>
      <c r="AA104" s="2">
        <f t="shared" si="57"/>
        <v>416.98099999999999</v>
      </c>
      <c r="AB104" s="2">
        <f t="shared" si="64"/>
        <v>420.86799999999999</v>
      </c>
    </row>
    <row r="105" spans="2:28" x14ac:dyDescent="0.2">
      <c r="B105" s="42"/>
      <c r="C105">
        <v>26</v>
      </c>
      <c r="D105" s="2">
        <f>'Paste Run 3'!AZ27/1000</f>
        <v>441.428</v>
      </c>
      <c r="E105" s="2">
        <f>'Paste Run 3'!DM27/1000</f>
        <v>445.41399999999999</v>
      </c>
      <c r="F105" s="66">
        <f t="shared" si="52"/>
        <v>3.98599999999999</v>
      </c>
      <c r="G105" s="67">
        <f t="shared" si="53"/>
        <v>420.98399999999998</v>
      </c>
      <c r="H105" s="2">
        <f t="shared" si="58"/>
        <v>424.96999999999997</v>
      </c>
      <c r="I105" s="2"/>
      <c r="J105" s="2">
        <f>'Paste Run 3'!DK27/1000</f>
        <v>445.41500000000002</v>
      </c>
      <c r="K105" s="2">
        <f>'Paste Run 3'!DX27/1000</f>
        <v>447.19900000000001</v>
      </c>
      <c r="L105" s="66">
        <f t="shared" si="59"/>
        <v>1.7839999999999918</v>
      </c>
      <c r="M105" s="67">
        <f t="shared" si="54"/>
        <v>424.971</v>
      </c>
      <c r="N105" s="2">
        <f t="shared" si="60"/>
        <v>426.755</v>
      </c>
      <c r="O105" s="2"/>
      <c r="P105" s="2">
        <f>'Paste Run 3'!DX27/1000</f>
        <v>447.19900000000001</v>
      </c>
      <c r="Q105" s="2">
        <f>'Paste Run 3'!DV27/1000</f>
        <v>452.31200000000001</v>
      </c>
      <c r="R105" s="2">
        <f t="shared" si="61"/>
        <v>5.1129999999999995</v>
      </c>
      <c r="S105" s="2">
        <f t="shared" si="55"/>
        <v>426.755</v>
      </c>
      <c r="T105" s="2">
        <f t="shared" si="62"/>
        <v>431.86799999999999</v>
      </c>
      <c r="U105" s="2"/>
      <c r="V105" s="2">
        <f>'Paste Run 3'!CJ27/1000</f>
        <v>452.42</v>
      </c>
      <c r="W105" s="2">
        <f>'Paste Run 3'!CH27/1000</f>
        <v>458.31200000000001</v>
      </c>
      <c r="X105" s="2">
        <f t="shared" si="56"/>
        <v>5.8919999999999959</v>
      </c>
      <c r="Y105" s="2">
        <f>'Paste Run 3'!CD27/1000</f>
        <v>6</v>
      </c>
      <c r="Z105" s="2">
        <f t="shared" si="63"/>
        <v>-0.10800000000000409</v>
      </c>
      <c r="AA105" s="2">
        <f t="shared" si="57"/>
        <v>431.976</v>
      </c>
      <c r="AB105" s="2">
        <f t="shared" si="64"/>
        <v>437.86799999999999</v>
      </c>
    </row>
    <row r="106" spans="2:28" x14ac:dyDescent="0.2">
      <c r="B106" s="42"/>
      <c r="C106">
        <v>27</v>
      </c>
      <c r="D106" s="2">
        <f>'Paste Run 3'!AZ28/1000</f>
        <v>458.42399999999998</v>
      </c>
      <c r="E106" s="2">
        <f>'Paste Run 3'!DM28/1000</f>
        <v>462.42700000000002</v>
      </c>
      <c r="F106" s="66">
        <f t="shared" si="52"/>
        <v>4.0030000000000427</v>
      </c>
      <c r="G106" s="67">
        <f t="shared" si="53"/>
        <v>437.97999999999996</v>
      </c>
      <c r="H106" s="2">
        <f t="shared" si="58"/>
        <v>441.983</v>
      </c>
      <c r="I106" s="2"/>
      <c r="J106" s="2">
        <f>'Paste Run 3'!DK28/1000</f>
        <v>462.42700000000002</v>
      </c>
      <c r="K106" s="2">
        <f>'Paste Run 3'!DX28/1000</f>
        <v>464.72899999999998</v>
      </c>
      <c r="L106" s="66">
        <f t="shared" si="59"/>
        <v>2.3019999999999641</v>
      </c>
      <c r="M106" s="67">
        <f t="shared" si="54"/>
        <v>441.983</v>
      </c>
      <c r="N106" s="2">
        <f t="shared" si="60"/>
        <v>444.28499999999997</v>
      </c>
      <c r="O106" s="2"/>
      <c r="P106" s="2">
        <f>'Paste Run 3'!DX28/1000</f>
        <v>464.72899999999998</v>
      </c>
      <c r="Q106" s="2">
        <f>'Paste Run 3'!DV28/1000</f>
        <v>469.31200000000001</v>
      </c>
      <c r="R106" s="2">
        <f t="shared" si="61"/>
        <v>4.5830000000000268</v>
      </c>
      <c r="S106" s="2">
        <f t="shared" si="55"/>
        <v>444.28499999999997</v>
      </c>
      <c r="T106" s="2">
        <f t="shared" si="62"/>
        <v>448.86799999999999</v>
      </c>
      <c r="U106" s="2"/>
      <c r="V106" s="2">
        <f>'Paste Run 3'!CJ28/1000</f>
        <v>469.416</v>
      </c>
      <c r="W106" s="2">
        <f>'Paste Run 3'!CH28/1000</f>
        <v>473.31200000000001</v>
      </c>
      <c r="X106" s="2">
        <f t="shared" si="56"/>
        <v>3.896000000000015</v>
      </c>
      <c r="Y106" s="2">
        <f>'Paste Run 3'!CD28/1000</f>
        <v>4</v>
      </c>
      <c r="Z106" s="2">
        <f t="shared" si="63"/>
        <v>-0.10399999999998499</v>
      </c>
      <c r="AA106" s="2">
        <f t="shared" si="57"/>
        <v>448.97199999999998</v>
      </c>
      <c r="AB106" s="2">
        <f t="shared" si="64"/>
        <v>452.86799999999999</v>
      </c>
    </row>
    <row r="107" spans="2:28" x14ac:dyDescent="0.2">
      <c r="B107" s="42"/>
      <c r="C107">
        <v>28</v>
      </c>
      <c r="D107" s="2">
        <f>'Paste Run 3'!AZ29/1000</f>
        <v>473.41899999999998</v>
      </c>
      <c r="E107" s="2">
        <f>'Paste Run 3'!DM29/1000</f>
        <v>477.42200000000003</v>
      </c>
      <c r="F107" s="66">
        <f t="shared" ref="F107:F109" si="65">E107-D107</f>
        <v>4.0030000000000427</v>
      </c>
      <c r="G107" s="67">
        <f t="shared" ref="G107:G109" si="66">(D107-D$76)+D$75</f>
        <v>452.97499999999997</v>
      </c>
      <c r="H107" s="2">
        <f t="shared" ref="H107:H109" si="67">G107+F107</f>
        <v>456.97800000000001</v>
      </c>
      <c r="I107" s="2"/>
      <c r="J107" s="2">
        <f>'Paste Run 3'!DK29/1000</f>
        <v>477.42200000000003</v>
      </c>
      <c r="K107" s="2">
        <f>'Paste Run 3'!DX29/1000</f>
        <v>482.75900000000001</v>
      </c>
      <c r="L107" s="66">
        <f t="shared" ref="L107:L109" si="68">K107-J107</f>
        <v>5.3369999999999891</v>
      </c>
      <c r="M107" s="67">
        <f t="shared" ref="M107:M109" si="69">(J107-D$76)+D$75</f>
        <v>456.97800000000001</v>
      </c>
      <c r="N107" s="2">
        <f t="shared" ref="N107:N109" si="70">M107+L107</f>
        <v>462.315</v>
      </c>
      <c r="O107" s="2"/>
      <c r="P107" s="2">
        <f>'Paste Run 3'!DX29/1000</f>
        <v>482.75900000000001</v>
      </c>
      <c r="Q107" s="2">
        <f>'Paste Run 3'!DV29/1000</f>
        <v>484.31200000000001</v>
      </c>
      <c r="R107" s="2">
        <f t="shared" ref="R107:R109" si="71">Q107-P107</f>
        <v>1.5529999999999973</v>
      </c>
      <c r="S107" s="2">
        <f t="shared" ref="S107:S109" si="72">(P107-D$76)+D$75</f>
        <v>462.315</v>
      </c>
      <c r="T107" s="2">
        <f t="shared" ref="T107:T109" si="73">S107+R107</f>
        <v>463.86799999999999</v>
      </c>
      <c r="U107" s="2"/>
      <c r="V107" s="2">
        <f>'Paste Run 3'!CJ29/1000</f>
        <v>484.42700000000002</v>
      </c>
      <c r="W107" s="2">
        <f>'Paste Run 3'!CH29/1000</f>
        <v>496.31200000000001</v>
      </c>
      <c r="X107" s="2">
        <f t="shared" ref="X107:X109" si="74">W107-V107</f>
        <v>11.884999999999991</v>
      </c>
      <c r="Y107" s="2">
        <f>'Paste Run 3'!CD29/1000</f>
        <v>12</v>
      </c>
      <c r="Z107" s="2">
        <f t="shared" ref="Z107:Z109" si="75">X107-Y107</f>
        <v>-0.11500000000000909</v>
      </c>
      <c r="AA107" s="2">
        <f t="shared" ref="AA107:AA109" si="76">(V107-D$76)+D$75</f>
        <v>463.983</v>
      </c>
      <c r="AB107" s="2">
        <f t="shared" ref="AB107:AB109" si="77">AA107+X107</f>
        <v>475.86799999999999</v>
      </c>
    </row>
    <row r="108" spans="2:28" x14ac:dyDescent="0.2">
      <c r="B108" s="42"/>
      <c r="C108">
        <v>29</v>
      </c>
      <c r="D108" s="2">
        <f>'Paste Run 3'!AZ30/1000</f>
        <v>496.42</v>
      </c>
      <c r="E108" s="2">
        <f>'Paste Run 3'!DM30/1000</f>
        <v>500.423</v>
      </c>
      <c r="F108" s="66">
        <f t="shared" si="65"/>
        <v>4.0029999999999859</v>
      </c>
      <c r="G108" s="67">
        <f t="shared" si="66"/>
        <v>475.976</v>
      </c>
      <c r="H108" s="2">
        <f t="shared" si="67"/>
        <v>479.97899999999998</v>
      </c>
      <c r="I108" s="2"/>
      <c r="J108" s="2">
        <f>'Paste Run 3'!DK30/1000</f>
        <v>500.423</v>
      </c>
      <c r="K108" s="2">
        <f>'Paste Run 3'!DX30/1000</f>
        <v>502.82499999999999</v>
      </c>
      <c r="L108" s="66">
        <f t="shared" si="68"/>
        <v>2.4019999999999868</v>
      </c>
      <c r="M108" s="67">
        <f t="shared" si="69"/>
        <v>479.97899999999998</v>
      </c>
      <c r="N108" s="2">
        <f t="shared" si="70"/>
        <v>482.38099999999997</v>
      </c>
      <c r="O108" s="2"/>
      <c r="P108" s="2">
        <f>'Paste Run 3'!DX30/1000</f>
        <v>502.82499999999999</v>
      </c>
      <c r="Q108" s="2">
        <f>'Paste Run 3'!DV30/1000</f>
        <v>507.31200000000001</v>
      </c>
      <c r="R108" s="2">
        <f t="shared" si="71"/>
        <v>4.4870000000000232</v>
      </c>
      <c r="S108" s="2">
        <f t="shared" si="72"/>
        <v>482.38099999999997</v>
      </c>
      <c r="T108" s="2">
        <f t="shared" si="73"/>
        <v>486.86799999999999</v>
      </c>
      <c r="U108" s="2"/>
      <c r="V108" s="2">
        <f>'Paste Run 3'!CJ30/1000</f>
        <v>507.428</v>
      </c>
      <c r="W108" s="2">
        <f>'Paste Run 3'!CH30/1000</f>
        <v>509.31200000000001</v>
      </c>
      <c r="X108" s="2">
        <f t="shared" si="74"/>
        <v>1.8840000000000146</v>
      </c>
      <c r="Y108" s="2">
        <f>'Paste Run 3'!CD30/1000</f>
        <v>2</v>
      </c>
      <c r="Z108" s="2">
        <f t="shared" si="75"/>
        <v>-0.11599999999998545</v>
      </c>
      <c r="AA108" s="2">
        <f t="shared" si="76"/>
        <v>486.98399999999998</v>
      </c>
      <c r="AB108" s="2">
        <f t="shared" si="77"/>
        <v>488.86799999999999</v>
      </c>
    </row>
    <row r="109" spans="2:28" x14ac:dyDescent="0.2">
      <c r="B109" s="42"/>
      <c r="C109">
        <v>30</v>
      </c>
      <c r="D109" s="2">
        <f>'Paste Run 3'!AZ31/1000</f>
        <v>509.41300000000001</v>
      </c>
      <c r="E109" s="2">
        <f>'Paste Run 3'!DM31/1000</f>
        <v>513.41600000000005</v>
      </c>
      <c r="F109" s="66">
        <f t="shared" si="65"/>
        <v>4.0030000000000427</v>
      </c>
      <c r="G109" s="67">
        <f t="shared" si="66"/>
        <v>488.96899999999999</v>
      </c>
      <c r="H109" s="2">
        <f t="shared" si="67"/>
        <v>492.97200000000004</v>
      </c>
      <c r="I109" s="2"/>
      <c r="J109" s="2">
        <f>'Paste Run 3'!DK31/1000</f>
        <v>513.41600000000005</v>
      </c>
      <c r="K109" s="2">
        <f>'Paste Run 3'!DX31/1000</f>
        <v>515.08399999999995</v>
      </c>
      <c r="L109" s="66">
        <f t="shared" si="68"/>
        <v>1.6679999999998927</v>
      </c>
      <c r="M109" s="67">
        <f t="shared" si="69"/>
        <v>492.97200000000004</v>
      </c>
      <c r="N109" s="2">
        <f t="shared" si="70"/>
        <v>494.63999999999993</v>
      </c>
      <c r="O109" s="2"/>
      <c r="P109" s="2">
        <f>'Paste Run 3'!DX31/1000</f>
        <v>515.08399999999995</v>
      </c>
      <c r="Q109" s="2">
        <f>'Paste Run 3'!DV31/1000</f>
        <v>520.31200000000001</v>
      </c>
      <c r="R109" s="2">
        <f t="shared" si="71"/>
        <v>5.2280000000000655</v>
      </c>
      <c r="S109" s="2">
        <f t="shared" si="72"/>
        <v>494.63999999999993</v>
      </c>
      <c r="T109" s="2">
        <f t="shared" si="73"/>
        <v>499.86799999999999</v>
      </c>
      <c r="U109" s="2"/>
      <c r="V109" s="2">
        <f>'Paste Run 3'!CJ31/1000</f>
        <v>520.42100000000005</v>
      </c>
      <c r="W109" s="2">
        <f>'Paste Run 3'!CH31/1000</f>
        <v>524.31200000000001</v>
      </c>
      <c r="X109" s="2">
        <f t="shared" si="74"/>
        <v>3.8909999999999627</v>
      </c>
      <c r="Y109" s="2">
        <f>'Paste Run 3'!CD31/1000</f>
        <v>4</v>
      </c>
      <c r="Z109" s="2">
        <f t="shared" si="75"/>
        <v>-0.10900000000003729</v>
      </c>
      <c r="AA109" s="2">
        <f t="shared" si="76"/>
        <v>499.97700000000003</v>
      </c>
      <c r="AB109" s="2">
        <f t="shared" si="77"/>
        <v>503.86799999999999</v>
      </c>
    </row>
    <row r="110" spans="2:28" x14ac:dyDescent="0.2">
      <c r="K110" s="56" t="s">
        <v>127</v>
      </c>
      <c r="L110" s="57">
        <f>COUNTIF(L80:L109,"&gt;7")</f>
        <v>0</v>
      </c>
    </row>
    <row r="112" spans="2:28" x14ac:dyDescent="0.2">
      <c r="AB112" s="56"/>
    </row>
    <row r="113" spans="27:28" x14ac:dyDescent="0.2">
      <c r="AA113" s="56"/>
      <c r="AB113" s="56"/>
    </row>
    <row r="114" spans="27:28" x14ac:dyDescent="0.2">
      <c r="AA114" s="56"/>
      <c r="AB114" s="56"/>
    </row>
    <row r="117" spans="27:28" x14ac:dyDescent="0.2">
      <c r="AB117" s="56"/>
    </row>
    <row r="119" spans="27:28" x14ac:dyDescent="0.2">
      <c r="AB119" s="56"/>
    </row>
  </sheetData>
  <conditionalFormatting sqref="L7:L36">
    <cfRule type="cellIs" dxfId="2" priority="6" operator="greaterThan">
      <formula>6</formula>
    </cfRule>
  </conditionalFormatting>
  <conditionalFormatting sqref="L44:L73">
    <cfRule type="cellIs" dxfId="1" priority="5" operator="greaterThan">
      <formula>6</formula>
    </cfRule>
  </conditionalFormatting>
  <conditionalFormatting sqref="L81:L109">
    <cfRule type="cellIs" dxfId="0" priority="1" operator="greaterThan">
      <formula>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C136"/>
  <sheetViews>
    <sheetView topLeftCell="T7" zoomScale="113" zoomScaleNormal="70" zoomScalePageLayoutView="70" workbookViewId="0">
      <selection activeCell="AH37" sqref="AH37"/>
    </sheetView>
  </sheetViews>
  <sheetFormatPr baseColWidth="10" defaultColWidth="8.83203125" defaultRowHeight="15" x14ac:dyDescent="0.2"/>
  <cols>
    <col min="5" max="5" width="11.33203125" bestFit="1" customWidth="1"/>
    <col min="6" max="6" width="17.6640625" bestFit="1" customWidth="1"/>
    <col min="12" max="12" width="11.33203125" bestFit="1" customWidth="1"/>
    <col min="13" max="13" width="17.6640625" bestFit="1" customWidth="1"/>
    <col min="19" max="19" width="11.33203125" bestFit="1" customWidth="1"/>
    <col min="20" max="20" width="17.6640625" bestFit="1" customWidth="1"/>
    <col min="29" max="31" width="11.33203125" bestFit="1" customWidth="1"/>
    <col min="33" max="46" width="15.83203125" customWidth="1"/>
    <col min="47" max="47" width="14.83203125" customWidth="1"/>
    <col min="48" max="48" width="14" customWidth="1"/>
    <col min="49" max="49" width="15.5" customWidth="1"/>
    <col min="50" max="50" width="16.33203125" customWidth="1"/>
    <col min="51" max="51" width="15" customWidth="1"/>
    <col min="52" max="52" width="14.5" customWidth="1"/>
    <col min="53" max="53" width="14.83203125" customWidth="1"/>
    <col min="54" max="54" width="14.5" customWidth="1"/>
    <col min="55" max="55" width="15.83203125" customWidth="1"/>
  </cols>
  <sheetData>
    <row r="1" spans="1:55" x14ac:dyDescent="0.2">
      <c r="A1" s="71"/>
      <c r="B1" s="71" t="s">
        <v>10</v>
      </c>
      <c r="C1" s="71"/>
      <c r="D1" s="71"/>
      <c r="E1" s="71"/>
      <c r="F1" s="71"/>
      <c r="G1" s="72"/>
      <c r="H1" s="73"/>
      <c r="I1" s="73" t="s">
        <v>11</v>
      </c>
      <c r="J1" s="73"/>
      <c r="K1" s="73"/>
      <c r="L1" s="73"/>
      <c r="M1" s="73"/>
      <c r="N1" s="72"/>
      <c r="O1" s="74"/>
      <c r="P1" s="74" t="s">
        <v>12</v>
      </c>
      <c r="Q1" s="74"/>
      <c r="R1" s="74"/>
      <c r="S1" s="74"/>
      <c r="T1" s="74"/>
      <c r="U1" s="72"/>
      <c r="V1" s="72"/>
      <c r="W1" s="72"/>
    </row>
    <row r="2" spans="1:55" ht="16" thickBot="1" x14ac:dyDescent="0.25">
      <c r="A2" s="78" t="s">
        <v>3</v>
      </c>
      <c r="B2" s="78" t="s">
        <v>18</v>
      </c>
      <c r="C2" s="78" t="s">
        <v>1</v>
      </c>
      <c r="D2" s="78" t="s">
        <v>43</v>
      </c>
      <c r="E2" s="78" t="s">
        <v>113</v>
      </c>
      <c r="F2" s="130" t="s">
        <v>112</v>
      </c>
      <c r="G2" s="79"/>
      <c r="H2" s="78" t="s">
        <v>3</v>
      </c>
      <c r="I2" s="78" t="s">
        <v>18</v>
      </c>
      <c r="J2" s="78" t="s">
        <v>1</v>
      </c>
      <c r="K2" s="78" t="s">
        <v>43</v>
      </c>
      <c r="L2" s="78" t="s">
        <v>113</v>
      </c>
      <c r="M2" s="130" t="s">
        <v>112</v>
      </c>
      <c r="N2" s="79"/>
      <c r="O2" s="78" t="s">
        <v>3</v>
      </c>
      <c r="P2" s="78" t="s">
        <v>18</v>
      </c>
      <c r="Q2" s="78" t="s">
        <v>1</v>
      </c>
      <c r="R2" s="78" t="s">
        <v>43</v>
      </c>
      <c r="S2" s="78" t="s">
        <v>113</v>
      </c>
      <c r="T2" s="130" t="s">
        <v>112</v>
      </c>
      <c r="U2" s="79"/>
      <c r="V2" s="79"/>
      <c r="W2" s="79"/>
      <c r="Y2" s="78" t="s">
        <v>81</v>
      </c>
      <c r="Z2" s="78" t="s">
        <v>82</v>
      </c>
      <c r="AA2" s="78" t="s">
        <v>83</v>
      </c>
      <c r="AC2" s="78" t="s">
        <v>84</v>
      </c>
      <c r="AD2" s="78" t="s">
        <v>85</v>
      </c>
      <c r="AE2" s="78" t="s">
        <v>86</v>
      </c>
      <c r="AG2" s="200" t="s">
        <v>313</v>
      </c>
      <c r="AS2" s="199" t="s">
        <v>314</v>
      </c>
      <c r="AT2" s="94"/>
    </row>
    <row r="3" spans="1:55" ht="16" thickBot="1" x14ac:dyDescent="0.25">
      <c r="A3" s="149">
        <v>0.01</v>
      </c>
      <c r="B3">
        <v>1</v>
      </c>
      <c r="C3" s="91">
        <f>'Combined R1-R3'!G6</f>
        <v>7</v>
      </c>
      <c r="D3" s="91">
        <f>MAX(C$3:C$29)</f>
        <v>9</v>
      </c>
      <c r="E3" s="82" t="str">
        <f>IF(C3&lt;&gt;"?",IF(C3=D3,"Approach",IF(C3&lt;&gt;0,"Ambivalent","Avoid")),"Missing")</f>
        <v>Ambivalent</v>
      </c>
      <c r="F3" s="131" t="str">
        <f>IF(C3&lt;&gt;"?",IF(OR(C3=D3,C3=D3-1),"Approach",IF(C3&lt;&gt;0,"Ambivalent","Avoid")),"Missing")</f>
        <v>Ambivalent</v>
      </c>
      <c r="G3" s="83"/>
      <c r="H3" s="146">
        <v>0.03</v>
      </c>
      <c r="I3">
        <v>1</v>
      </c>
      <c r="J3" s="91">
        <f>'Combined R1-R3'!K6</f>
        <v>8</v>
      </c>
      <c r="K3" s="91">
        <f>MAX(J$3:J$29)</f>
        <v>9</v>
      </c>
      <c r="L3" s="82" t="str">
        <f>IF(J3&lt;&gt;"?",IF(J3=K3,"Approach",IF(J3&lt;&gt;0,"Ambivalent","Avoid")),"Missing")</f>
        <v>Ambivalent</v>
      </c>
      <c r="M3" s="131" t="str">
        <f>IF(J3&lt;&gt;"?",IF(OR(J3=K3,J3=K3-1),"Approach",IF(J3&lt;&gt;0,"Ambivalent","Avoid")),"Missing")</f>
        <v>Approach</v>
      </c>
      <c r="N3" s="83"/>
      <c r="O3" s="151">
        <v>0</v>
      </c>
      <c r="P3">
        <v>1</v>
      </c>
      <c r="Q3" s="91">
        <f>'Combined R1-R3'!O6</f>
        <v>9</v>
      </c>
      <c r="R3" s="91">
        <f>MAX(Q$3:Q$29)</f>
        <v>9</v>
      </c>
      <c r="S3" s="82" t="str">
        <f>IF(Q3&lt;&gt;"?",IF(Q3=R3,"Approach",IF(Q3&lt;&gt;0,"Ambivalent","Avoid")),"Missing")</f>
        <v>Approach</v>
      </c>
      <c r="T3" s="131" t="str">
        <f>IF(Q3&lt;&gt;"?",IF(OR(Q3=R3,Q3=R3-1),"Approach",IF(Q3&lt;&gt;0,"Ambivalent","Avoid")),"Missing")</f>
        <v>Approach</v>
      </c>
      <c r="U3" s="83"/>
      <c r="V3" s="83"/>
      <c r="W3" s="83"/>
      <c r="Y3">
        <f>ResponseTimes!E3</f>
        <v>4760</v>
      </c>
      <c r="Z3">
        <f>ResponseTimes!N3</f>
        <v>2818</v>
      </c>
      <c r="AA3">
        <f>ResponseTimes!W3</f>
        <v>2670</v>
      </c>
      <c r="AC3" t="str">
        <f>E3</f>
        <v>Ambivalent</v>
      </c>
      <c r="AD3" t="str">
        <f t="shared" ref="AD3:AD32" si="0">L3</f>
        <v>Ambivalent</v>
      </c>
      <c r="AE3" t="str">
        <f t="shared" ref="AE3:AE32" si="1">S3</f>
        <v>Approach</v>
      </c>
      <c r="AG3" s="75" t="s">
        <v>77</v>
      </c>
      <c r="AH3" s="76"/>
      <c r="AI3" s="201"/>
      <c r="AK3" s="75" t="s">
        <v>78</v>
      </c>
      <c r="AL3" s="76"/>
      <c r="AM3" s="203"/>
      <c r="AO3" s="77" t="s">
        <v>79</v>
      </c>
      <c r="AP3" s="76"/>
      <c r="AQ3" s="203"/>
      <c r="AS3" s="204" t="s">
        <v>77</v>
      </c>
      <c r="AT3" s="205"/>
      <c r="AU3" s="206"/>
      <c r="AW3" s="204" t="s">
        <v>78</v>
      </c>
      <c r="AX3" s="205"/>
      <c r="AY3" s="206"/>
      <c r="BA3" s="207" t="s">
        <v>79</v>
      </c>
      <c r="BB3" s="208"/>
      <c r="BC3" s="206"/>
    </row>
    <row r="4" spans="1:55" x14ac:dyDescent="0.2">
      <c r="A4" s="42">
        <v>5</v>
      </c>
      <c r="B4">
        <v>2</v>
      </c>
      <c r="C4" s="91">
        <f>'Combined R1-R3'!G7</f>
        <v>5</v>
      </c>
      <c r="D4" s="91">
        <f t="shared" ref="D4:D32" si="2">MAX(C$3:C$29)</f>
        <v>9</v>
      </c>
      <c r="E4" s="82" t="str">
        <f t="shared" ref="E4:E32" si="3">IF(C4&lt;&gt;"?",IF(C4=D4,"Approach",IF(C4&lt;&gt;0,"Ambivalent","Avoid")),"Missing")</f>
        <v>Ambivalent</v>
      </c>
      <c r="F4" s="131" t="str">
        <f t="shared" ref="F4:F32" si="4">IF(C4&lt;&gt;"?",IF(OR(C4=D4,C4=D4-1),"Approach",IF(C4&lt;&gt;0,"Ambivalent","Avoid")),"Missing")</f>
        <v>Ambivalent</v>
      </c>
      <c r="G4" s="83"/>
      <c r="H4" s="147">
        <v>5</v>
      </c>
      <c r="I4">
        <v>2</v>
      </c>
      <c r="J4" s="91">
        <f>'Combined R1-R3'!K7</f>
        <v>7</v>
      </c>
      <c r="K4" s="91">
        <f t="shared" ref="K4:K32" si="5">MAX(J$3:J$29)</f>
        <v>9</v>
      </c>
      <c r="L4" s="82" t="str">
        <f t="shared" ref="L4:L32" si="6">IF(J4&lt;&gt;"?",IF(J4=K4,"Approach",IF(J4&lt;&gt;0,"Ambivalent","Avoid")),"Missing")</f>
        <v>Ambivalent</v>
      </c>
      <c r="M4" s="131" t="str">
        <f t="shared" ref="M4:M32" si="7">IF(J4&lt;&gt;"?",IF(OR(J4=K4,J4=K4-1),"Approach",IF(J4&lt;&gt;0,"Ambivalent","Avoid")),"Missing")</f>
        <v>Ambivalent</v>
      </c>
      <c r="N4" s="83"/>
      <c r="O4" s="152">
        <v>7</v>
      </c>
      <c r="P4">
        <v>2</v>
      </c>
      <c r="Q4" s="91">
        <f>'Combined R1-R3'!O7</f>
        <v>5</v>
      </c>
      <c r="R4" s="91">
        <f t="shared" ref="R4:R32" si="8">MAX(Q$3:Q$29)</f>
        <v>9</v>
      </c>
      <c r="S4" s="82" t="str">
        <f t="shared" ref="S4:S32" si="9">IF(Q4&lt;&gt;"?",IF(Q4=R4,"Approach",IF(Q4&lt;&gt;0,"Ambivalent","Avoid")),"Missing")</f>
        <v>Ambivalent</v>
      </c>
      <c r="T4" s="131" t="str">
        <f t="shared" ref="T4:T32" si="10">IF(Q4&lt;&gt;"?",IF(OR(Q4=R4,Q4=R4-1),"Approach",IF(Q4&lt;&gt;0,"Ambivalent","Avoid")),"Missing")</f>
        <v>Ambivalent</v>
      </c>
      <c r="U4" s="83"/>
      <c r="V4" s="83"/>
      <c r="W4" s="83"/>
      <c r="Y4">
        <f>ResponseTimes!E4</f>
        <v>3682</v>
      </c>
      <c r="Z4">
        <f>ResponseTimes!N4</f>
        <v>2300</v>
      </c>
      <c r="AA4">
        <f>ResponseTimes!W4</f>
        <v>1105</v>
      </c>
      <c r="AC4" t="str">
        <f t="shared" ref="AC4:AC32" si="11">E4</f>
        <v>Ambivalent</v>
      </c>
      <c r="AD4" t="str">
        <f t="shared" si="0"/>
        <v>Ambivalent</v>
      </c>
      <c r="AE4" t="str">
        <f t="shared" si="1"/>
        <v>Ambivalent</v>
      </c>
      <c r="AG4" s="80" t="s">
        <v>81</v>
      </c>
      <c r="AH4" s="81" t="s">
        <v>82</v>
      </c>
      <c r="AI4" s="93" t="s">
        <v>83</v>
      </c>
      <c r="AK4" s="80" t="s">
        <v>81</v>
      </c>
      <c r="AL4" s="78" t="s">
        <v>82</v>
      </c>
      <c r="AM4" s="202" t="s">
        <v>83</v>
      </c>
      <c r="AO4" s="80" t="s">
        <v>81</v>
      </c>
      <c r="AP4" s="78" t="s">
        <v>82</v>
      </c>
      <c r="AQ4" s="202" t="s">
        <v>83</v>
      </c>
      <c r="AS4" s="80" t="s">
        <v>81</v>
      </c>
      <c r="AT4" s="78" t="s">
        <v>82</v>
      </c>
      <c r="AU4" s="202" t="s">
        <v>83</v>
      </c>
      <c r="AW4" s="80" t="s">
        <v>81</v>
      </c>
      <c r="AX4" s="81" t="s">
        <v>82</v>
      </c>
      <c r="AY4" s="202" t="s">
        <v>83</v>
      </c>
      <c r="BA4" s="80" t="s">
        <v>81</v>
      </c>
      <c r="BB4" s="81" t="s">
        <v>82</v>
      </c>
      <c r="BC4" s="93" t="s">
        <v>83</v>
      </c>
    </row>
    <row r="5" spans="1:55" x14ac:dyDescent="0.2">
      <c r="A5" s="159">
        <v>50</v>
      </c>
      <c r="B5">
        <v>3</v>
      </c>
      <c r="C5" s="91">
        <f>'Combined R1-R3'!G8</f>
        <v>0</v>
      </c>
      <c r="D5" s="91">
        <f t="shared" si="2"/>
        <v>9</v>
      </c>
      <c r="E5" s="82" t="str">
        <f t="shared" si="3"/>
        <v>Avoid</v>
      </c>
      <c r="F5" s="131" t="str">
        <f t="shared" si="4"/>
        <v>Avoid</v>
      </c>
      <c r="G5" s="83"/>
      <c r="H5" s="148">
        <v>80</v>
      </c>
      <c r="I5">
        <v>3</v>
      </c>
      <c r="J5" s="91">
        <f>'Combined R1-R3'!K8</f>
        <v>0</v>
      </c>
      <c r="K5" s="91">
        <f t="shared" si="5"/>
        <v>9</v>
      </c>
      <c r="L5" s="82" t="str">
        <f t="shared" si="6"/>
        <v>Avoid</v>
      </c>
      <c r="M5" s="131" t="str">
        <f t="shared" si="7"/>
        <v>Avoid</v>
      </c>
      <c r="N5" s="83"/>
      <c r="O5" s="153">
        <v>60</v>
      </c>
      <c r="P5">
        <v>3</v>
      </c>
      <c r="Q5" s="91">
        <f>'Combined R1-R3'!O8</f>
        <v>0</v>
      </c>
      <c r="R5" s="91">
        <f t="shared" si="8"/>
        <v>9</v>
      </c>
      <c r="S5" s="82" t="str">
        <f t="shared" si="9"/>
        <v>Avoid</v>
      </c>
      <c r="T5" s="131" t="str">
        <f t="shared" si="10"/>
        <v>Avoid</v>
      </c>
      <c r="U5" s="83"/>
      <c r="V5" s="83"/>
      <c r="W5" s="83"/>
      <c r="Y5">
        <f>ResponseTimes!E5</f>
        <v>3816</v>
      </c>
      <c r="Z5">
        <f>ResponseTimes!N5</f>
        <v>2515</v>
      </c>
      <c r="AA5">
        <f>ResponseTimes!W5</f>
        <v>2222</v>
      </c>
      <c r="AC5" t="str">
        <f t="shared" si="11"/>
        <v>Avoid</v>
      </c>
      <c r="AD5" t="str">
        <f t="shared" si="0"/>
        <v>Avoid</v>
      </c>
      <c r="AE5" t="str">
        <f t="shared" si="1"/>
        <v>Avoid</v>
      </c>
      <c r="AG5" s="16" t="str">
        <f t="shared" ref="AG5:AG34" si="12">IF(AC3="approach",Y3,"")</f>
        <v/>
      </c>
      <c r="AH5" t="str">
        <f t="shared" ref="AH5:AH34" si="13">IF(AD3="approach",Z3,"")</f>
        <v/>
      </c>
      <c r="AI5" s="62">
        <f t="shared" ref="AI5:AI34" si="14">IF(AE3="approach",AA3,"")</f>
        <v>2670</v>
      </c>
      <c r="AK5" s="16">
        <f t="shared" ref="AK5:AK34" si="15">IF(AC3="Ambivalent",Y3,"")</f>
        <v>4760</v>
      </c>
      <c r="AL5">
        <f t="shared" ref="AL5:AL34" si="16">IF(AD3="ambivalent",Z3,"")</f>
        <v>2818</v>
      </c>
      <c r="AM5" s="62" t="str">
        <f t="shared" ref="AM5:AM34" si="17">IF(AE3="ambivalent",AA3,"")</f>
        <v/>
      </c>
      <c r="AO5" s="16" t="str">
        <f t="shared" ref="AO5:AO34" si="18">IF(AC3="avoid",Y3,"")</f>
        <v/>
      </c>
      <c r="AP5" t="str">
        <f t="shared" ref="AP5:AP34" si="19">IF(AD3="avoid",Z3,"")</f>
        <v/>
      </c>
      <c r="AQ5" s="62" t="str">
        <f t="shared" ref="AQ5:AQ34" si="20">IF(AE3="avoid",AA3,"")</f>
        <v/>
      </c>
      <c r="AS5" s="16" t="str">
        <f>IF(AC36="approach",Y36,"")</f>
        <v/>
      </c>
      <c r="AT5">
        <f>IF(AD36="approach",Z36,"")</f>
        <v>2818</v>
      </c>
      <c r="AU5" s="62">
        <f>IF(AE36="approach",AA36,"")</f>
        <v>2670</v>
      </c>
      <c r="AW5" s="16">
        <f>IF(AC36="Ambivalent",Y36,"")</f>
        <v>4760</v>
      </c>
      <c r="AX5" t="str">
        <f>IF(AD36="Ambivalent",Z36,"")</f>
        <v/>
      </c>
      <c r="AY5" s="62" t="str">
        <f>IF(AE36="ambivalent",AA36,"")</f>
        <v/>
      </c>
      <c r="BA5" s="16" t="str">
        <f>IF(AC36="Avoid",Y36,"")</f>
        <v/>
      </c>
      <c r="BB5" t="str">
        <f>IF(AD36="Avoid",Z36,"")</f>
        <v/>
      </c>
      <c r="BC5" s="62" t="str">
        <f>IF(AE36="Avoid",AA36,"")</f>
        <v/>
      </c>
    </row>
    <row r="6" spans="1:55" x14ac:dyDescent="0.2">
      <c r="A6" s="149">
        <v>0</v>
      </c>
      <c r="B6">
        <v>4</v>
      </c>
      <c r="C6" s="91">
        <f>'Combined R1-R3'!G9</f>
        <v>8</v>
      </c>
      <c r="D6" s="91">
        <f t="shared" si="2"/>
        <v>9</v>
      </c>
      <c r="E6" s="82" t="str">
        <f t="shared" si="3"/>
        <v>Ambivalent</v>
      </c>
      <c r="F6" s="131" t="str">
        <f t="shared" si="4"/>
        <v>Approach</v>
      </c>
      <c r="G6" s="83"/>
      <c r="H6" s="149">
        <v>0.01</v>
      </c>
      <c r="I6">
        <v>4</v>
      </c>
      <c r="J6" s="91">
        <f>'Combined R1-R3'!K9</f>
        <v>8</v>
      </c>
      <c r="K6" s="91">
        <f t="shared" si="5"/>
        <v>9</v>
      </c>
      <c r="L6" s="82" t="str">
        <f t="shared" si="6"/>
        <v>Ambivalent</v>
      </c>
      <c r="M6" s="131" t="str">
        <f t="shared" si="7"/>
        <v>Approach</v>
      </c>
      <c r="N6" s="83"/>
      <c r="O6" s="154">
        <v>0.02</v>
      </c>
      <c r="P6">
        <v>4</v>
      </c>
      <c r="Q6" s="91">
        <f>'Combined R1-R3'!O9</f>
        <v>8</v>
      </c>
      <c r="R6" s="91">
        <f t="shared" si="8"/>
        <v>9</v>
      </c>
      <c r="S6" s="82" t="str">
        <f t="shared" si="9"/>
        <v>Ambivalent</v>
      </c>
      <c r="T6" s="131" t="str">
        <f t="shared" si="10"/>
        <v>Approach</v>
      </c>
      <c r="U6" s="83"/>
      <c r="V6" s="83"/>
      <c r="W6" s="83"/>
      <c r="Y6">
        <f>ResponseTimes!E6</f>
        <v>2528</v>
      </c>
      <c r="Z6">
        <f>ResponseTimes!N6</f>
        <v>2531</v>
      </c>
      <c r="AA6">
        <f>ResponseTimes!W6</f>
        <v>1912</v>
      </c>
      <c r="AC6" t="str">
        <f t="shared" si="11"/>
        <v>Ambivalent</v>
      </c>
      <c r="AD6" t="str">
        <f t="shared" si="0"/>
        <v>Ambivalent</v>
      </c>
      <c r="AE6" t="str">
        <f t="shared" si="1"/>
        <v>Ambivalent</v>
      </c>
      <c r="AG6" s="16" t="str">
        <f t="shared" si="12"/>
        <v/>
      </c>
      <c r="AH6" t="str">
        <f t="shared" si="13"/>
        <v/>
      </c>
      <c r="AI6" s="62" t="str">
        <f t="shared" si="14"/>
        <v/>
      </c>
      <c r="AK6" s="16">
        <f t="shared" si="15"/>
        <v>3682</v>
      </c>
      <c r="AL6">
        <f t="shared" si="16"/>
        <v>2300</v>
      </c>
      <c r="AM6" s="62">
        <f t="shared" si="17"/>
        <v>1105</v>
      </c>
      <c r="AO6" s="16" t="str">
        <f t="shared" si="18"/>
        <v/>
      </c>
      <c r="AP6" t="str">
        <f t="shared" si="19"/>
        <v/>
      </c>
      <c r="AQ6" s="62" t="str">
        <f t="shared" si="20"/>
        <v/>
      </c>
      <c r="AS6" s="16" t="str">
        <f t="shared" ref="AS6:AS34" si="21">IF(AC37="approach",Y37,"")</f>
        <v/>
      </c>
      <c r="AT6" t="str">
        <f t="shared" ref="AT6:AT34" si="22">IF(AD37="approach",Z37,"")</f>
        <v/>
      </c>
      <c r="AU6" s="62" t="str">
        <f t="shared" ref="AU6:AU33" si="23">IF(AE37="approach",AA37,"")</f>
        <v/>
      </c>
      <c r="AW6" s="16">
        <f t="shared" ref="AW6:AW34" si="24">IF(AC37="Ambivalent",Y37,"")</f>
        <v>3682</v>
      </c>
      <c r="AX6">
        <f t="shared" ref="AX6:AX34" si="25">IF(AD37="Ambivalent",Z37,"")</f>
        <v>2300</v>
      </c>
      <c r="AY6" s="62">
        <f t="shared" ref="AY6:AY34" si="26">IF(AE37="ambivalent",AA37,"")</f>
        <v>1105</v>
      </c>
      <c r="BA6" s="16" t="str">
        <f t="shared" ref="BA6:BA34" si="27">IF(AC37="Avoid",Y37,"")</f>
        <v/>
      </c>
      <c r="BB6" t="str">
        <f t="shared" ref="BB6:BB34" si="28">IF(AD37="Avoid",Z37,"")</f>
        <v/>
      </c>
      <c r="BC6" s="62" t="str">
        <f t="shared" ref="BC6:BC34" si="29">IF(AE37="Avoid",AA37,"")</f>
        <v/>
      </c>
    </row>
    <row r="7" spans="1:55" x14ac:dyDescent="0.2">
      <c r="A7" s="147">
        <v>15</v>
      </c>
      <c r="B7">
        <v>5</v>
      </c>
      <c r="C7" s="91">
        <f>'Combined R1-R3'!G10</f>
        <v>2</v>
      </c>
      <c r="D7" s="91">
        <f t="shared" si="2"/>
        <v>9</v>
      </c>
      <c r="E7" s="82" t="str">
        <f t="shared" si="3"/>
        <v>Ambivalent</v>
      </c>
      <c r="F7" s="131" t="str">
        <f t="shared" si="4"/>
        <v>Ambivalent</v>
      </c>
      <c r="G7" s="83"/>
      <c r="H7" s="147">
        <v>7</v>
      </c>
      <c r="I7">
        <v>5</v>
      </c>
      <c r="J7" s="91">
        <f>'Combined R1-R3'!K10</f>
        <v>5</v>
      </c>
      <c r="K7" s="91">
        <f t="shared" si="5"/>
        <v>9</v>
      </c>
      <c r="L7" s="82" t="str">
        <f t="shared" si="6"/>
        <v>Ambivalent</v>
      </c>
      <c r="M7" s="131" t="str">
        <f t="shared" si="7"/>
        <v>Ambivalent</v>
      </c>
      <c r="N7" s="83"/>
      <c r="O7" s="152">
        <v>15</v>
      </c>
      <c r="P7">
        <v>5</v>
      </c>
      <c r="Q7" s="91">
        <f>'Combined R1-R3'!O10</f>
        <v>3</v>
      </c>
      <c r="R7" s="91">
        <f t="shared" si="8"/>
        <v>9</v>
      </c>
      <c r="S7" s="82" t="str">
        <f t="shared" si="9"/>
        <v>Ambivalent</v>
      </c>
      <c r="T7" s="131" t="str">
        <f t="shared" si="10"/>
        <v>Ambivalent</v>
      </c>
      <c r="U7" s="83"/>
      <c r="V7" s="83"/>
      <c r="W7" s="83"/>
      <c r="Y7">
        <f>ResponseTimes!E7</f>
        <v>4877</v>
      </c>
      <c r="Z7">
        <f>ResponseTimes!N7</f>
        <v>1615</v>
      </c>
      <c r="AA7">
        <f>ResponseTimes!W7</f>
        <v>2459</v>
      </c>
      <c r="AC7" t="str">
        <f t="shared" si="11"/>
        <v>Ambivalent</v>
      </c>
      <c r="AD7" t="str">
        <f t="shared" si="0"/>
        <v>Ambivalent</v>
      </c>
      <c r="AE7" t="str">
        <f t="shared" si="1"/>
        <v>Ambivalent</v>
      </c>
      <c r="AG7" s="16" t="str">
        <f t="shared" si="12"/>
        <v/>
      </c>
      <c r="AH7" t="str">
        <f t="shared" si="13"/>
        <v/>
      </c>
      <c r="AI7" s="62" t="str">
        <f t="shared" si="14"/>
        <v/>
      </c>
      <c r="AK7" s="16" t="str">
        <f t="shared" si="15"/>
        <v/>
      </c>
      <c r="AL7" t="str">
        <f t="shared" si="16"/>
        <v/>
      </c>
      <c r="AM7" s="62" t="str">
        <f t="shared" si="17"/>
        <v/>
      </c>
      <c r="AO7" s="16">
        <f t="shared" si="18"/>
        <v>3816</v>
      </c>
      <c r="AP7">
        <f t="shared" si="19"/>
        <v>2515</v>
      </c>
      <c r="AQ7" s="62">
        <f t="shared" si="20"/>
        <v>2222</v>
      </c>
      <c r="AS7" s="16" t="str">
        <f t="shared" si="21"/>
        <v/>
      </c>
      <c r="AT7" t="str">
        <f t="shared" si="22"/>
        <v/>
      </c>
      <c r="AU7" s="62" t="str">
        <f t="shared" si="23"/>
        <v/>
      </c>
      <c r="AW7" s="16" t="str">
        <f t="shared" si="24"/>
        <v/>
      </c>
      <c r="AX7" t="str">
        <f t="shared" si="25"/>
        <v/>
      </c>
      <c r="AY7" s="62" t="str">
        <f t="shared" si="26"/>
        <v/>
      </c>
      <c r="BA7" s="16">
        <f t="shared" si="27"/>
        <v>3816</v>
      </c>
      <c r="BB7">
        <f t="shared" si="28"/>
        <v>2515</v>
      </c>
      <c r="BC7" s="62">
        <f t="shared" si="29"/>
        <v>2222</v>
      </c>
    </row>
    <row r="8" spans="1:55" x14ac:dyDescent="0.2">
      <c r="A8" s="149">
        <v>0.05</v>
      </c>
      <c r="B8">
        <v>6</v>
      </c>
      <c r="C8" s="91">
        <f>'Combined R1-R3'!G11</f>
        <v>8</v>
      </c>
      <c r="D8" s="91">
        <f t="shared" si="2"/>
        <v>9</v>
      </c>
      <c r="E8" s="82" t="str">
        <f t="shared" si="3"/>
        <v>Ambivalent</v>
      </c>
      <c r="F8" s="131" t="str">
        <f t="shared" si="4"/>
        <v>Approach</v>
      </c>
      <c r="G8" s="83"/>
      <c r="H8" s="149">
        <v>0.04</v>
      </c>
      <c r="I8">
        <v>6</v>
      </c>
      <c r="J8" s="91">
        <f>'Combined R1-R3'!K11</f>
        <v>8</v>
      </c>
      <c r="K8" s="91">
        <f t="shared" si="5"/>
        <v>9</v>
      </c>
      <c r="L8" s="82" t="str">
        <f t="shared" si="6"/>
        <v>Ambivalent</v>
      </c>
      <c r="M8" s="131" t="str">
        <f t="shared" si="7"/>
        <v>Approach</v>
      </c>
      <c r="N8" s="83"/>
      <c r="O8" s="154">
        <v>0.03</v>
      </c>
      <c r="P8">
        <v>6</v>
      </c>
      <c r="Q8" s="91">
        <f>'Combined R1-R3'!O11</f>
        <v>8</v>
      </c>
      <c r="R8" s="91">
        <f t="shared" si="8"/>
        <v>9</v>
      </c>
      <c r="S8" s="82" t="str">
        <f t="shared" si="9"/>
        <v>Ambivalent</v>
      </c>
      <c r="T8" s="131" t="str">
        <f t="shared" si="10"/>
        <v>Approach</v>
      </c>
      <c r="U8" s="83"/>
      <c r="V8" s="83"/>
      <c r="W8" s="83"/>
      <c r="Y8">
        <f>ResponseTimes!E8</f>
        <v>3656</v>
      </c>
      <c r="Z8">
        <f>ResponseTimes!N8</f>
        <v>1819</v>
      </c>
      <c r="AA8">
        <f>ResponseTimes!W8</f>
        <v>1727</v>
      </c>
      <c r="AC8" t="str">
        <f t="shared" si="11"/>
        <v>Ambivalent</v>
      </c>
      <c r="AD8" t="str">
        <f t="shared" si="0"/>
        <v>Ambivalent</v>
      </c>
      <c r="AE8" t="str">
        <f t="shared" si="1"/>
        <v>Ambivalent</v>
      </c>
      <c r="AG8" s="16" t="str">
        <f t="shared" si="12"/>
        <v/>
      </c>
      <c r="AH8" t="str">
        <f t="shared" si="13"/>
        <v/>
      </c>
      <c r="AI8" s="62" t="str">
        <f t="shared" si="14"/>
        <v/>
      </c>
      <c r="AK8" s="16">
        <f t="shared" si="15"/>
        <v>2528</v>
      </c>
      <c r="AL8">
        <f t="shared" si="16"/>
        <v>2531</v>
      </c>
      <c r="AM8" s="62">
        <f t="shared" si="17"/>
        <v>1912</v>
      </c>
      <c r="AO8" s="16" t="str">
        <f t="shared" si="18"/>
        <v/>
      </c>
      <c r="AP8" t="str">
        <f t="shared" si="19"/>
        <v/>
      </c>
      <c r="AQ8" s="62" t="str">
        <f t="shared" si="20"/>
        <v/>
      </c>
      <c r="AS8" s="16">
        <f t="shared" si="21"/>
        <v>2528</v>
      </c>
      <c r="AT8">
        <f t="shared" si="22"/>
        <v>2531</v>
      </c>
      <c r="AU8" s="62">
        <f t="shared" si="23"/>
        <v>1912</v>
      </c>
      <c r="AW8" s="16" t="str">
        <f t="shared" si="24"/>
        <v/>
      </c>
      <c r="AX8" t="str">
        <f t="shared" si="25"/>
        <v/>
      </c>
      <c r="AY8" s="62" t="str">
        <f t="shared" si="26"/>
        <v/>
      </c>
      <c r="BA8" s="16" t="str">
        <f t="shared" si="27"/>
        <v/>
      </c>
      <c r="BB8" t="str">
        <f t="shared" si="28"/>
        <v/>
      </c>
      <c r="BC8" s="62" t="str">
        <f t="shared" si="29"/>
        <v/>
      </c>
    </row>
    <row r="9" spans="1:55" x14ac:dyDescent="0.2">
      <c r="A9" s="160">
        <v>40</v>
      </c>
      <c r="B9">
        <v>7</v>
      </c>
      <c r="C9" s="91">
        <f>'Combined R1-R3'!G12</f>
        <v>0</v>
      </c>
      <c r="D9" s="91">
        <f t="shared" si="2"/>
        <v>9</v>
      </c>
      <c r="E9" s="82" t="str">
        <f t="shared" si="3"/>
        <v>Avoid</v>
      </c>
      <c r="F9" s="131" t="str">
        <f t="shared" si="4"/>
        <v>Avoid</v>
      </c>
      <c r="G9" s="83"/>
      <c r="H9" s="148">
        <v>50</v>
      </c>
      <c r="I9">
        <v>7</v>
      </c>
      <c r="J9" s="91">
        <f>'Combined R1-R3'!K12</f>
        <v>0</v>
      </c>
      <c r="K9" s="91">
        <f t="shared" si="5"/>
        <v>9</v>
      </c>
      <c r="L9" s="82" t="str">
        <f t="shared" si="6"/>
        <v>Avoid</v>
      </c>
      <c r="M9" s="131" t="str">
        <f t="shared" si="7"/>
        <v>Avoid</v>
      </c>
      <c r="N9" s="83"/>
      <c r="O9" s="154">
        <v>0</v>
      </c>
      <c r="P9">
        <v>7</v>
      </c>
      <c r="Q9" s="91">
        <f>'Combined R1-R3'!O12</f>
        <v>9</v>
      </c>
      <c r="R9" s="91">
        <f t="shared" si="8"/>
        <v>9</v>
      </c>
      <c r="S9" s="82" t="str">
        <f t="shared" si="9"/>
        <v>Approach</v>
      </c>
      <c r="T9" s="131" t="str">
        <f t="shared" si="10"/>
        <v>Approach</v>
      </c>
      <c r="U9" s="83"/>
      <c r="V9" s="83"/>
      <c r="W9" s="83"/>
      <c r="Y9">
        <f>ResponseTimes!E9</f>
        <v>3614</v>
      </c>
      <c r="Z9">
        <f>ResponseTimes!N9</f>
        <v>3889</v>
      </c>
      <c r="AA9">
        <f>ResponseTimes!W9</f>
        <v>2781</v>
      </c>
      <c r="AC9" t="str">
        <f t="shared" si="11"/>
        <v>Avoid</v>
      </c>
      <c r="AD9" t="str">
        <f t="shared" si="0"/>
        <v>Avoid</v>
      </c>
      <c r="AE9" t="str">
        <f t="shared" si="1"/>
        <v>Approach</v>
      </c>
      <c r="AG9" s="16" t="str">
        <f t="shared" si="12"/>
        <v/>
      </c>
      <c r="AH9" t="str">
        <f t="shared" si="13"/>
        <v/>
      </c>
      <c r="AI9" s="62" t="str">
        <f t="shared" si="14"/>
        <v/>
      </c>
      <c r="AK9" s="16">
        <f t="shared" si="15"/>
        <v>4877</v>
      </c>
      <c r="AL9">
        <f t="shared" si="16"/>
        <v>1615</v>
      </c>
      <c r="AM9" s="62">
        <f t="shared" si="17"/>
        <v>2459</v>
      </c>
      <c r="AO9" s="16" t="str">
        <f t="shared" si="18"/>
        <v/>
      </c>
      <c r="AP9" t="str">
        <f t="shared" si="19"/>
        <v/>
      </c>
      <c r="AQ9" s="62" t="str">
        <f t="shared" si="20"/>
        <v/>
      </c>
      <c r="AS9" s="16" t="str">
        <f t="shared" si="21"/>
        <v/>
      </c>
      <c r="AT9" t="str">
        <f t="shared" si="22"/>
        <v/>
      </c>
      <c r="AU9" s="62" t="str">
        <f t="shared" si="23"/>
        <v/>
      </c>
      <c r="AW9" s="16">
        <f t="shared" si="24"/>
        <v>4877</v>
      </c>
      <c r="AX9">
        <f t="shared" si="25"/>
        <v>1615</v>
      </c>
      <c r="AY9" s="62">
        <f t="shared" si="26"/>
        <v>2459</v>
      </c>
      <c r="BA9" s="16" t="str">
        <f t="shared" si="27"/>
        <v/>
      </c>
      <c r="BB9" t="str">
        <f t="shared" si="28"/>
        <v/>
      </c>
      <c r="BC9" s="62" t="str">
        <f t="shared" si="29"/>
        <v/>
      </c>
    </row>
    <row r="10" spans="1:55" x14ac:dyDescent="0.2">
      <c r="A10" s="147">
        <v>13</v>
      </c>
      <c r="B10">
        <v>8</v>
      </c>
      <c r="C10" s="91">
        <f>'Combined R1-R3'!G13</f>
        <v>3</v>
      </c>
      <c r="D10" s="91">
        <f t="shared" si="2"/>
        <v>9</v>
      </c>
      <c r="E10" s="82" t="str">
        <f t="shared" si="3"/>
        <v>Ambivalent</v>
      </c>
      <c r="F10" s="131" t="str">
        <f t="shared" si="4"/>
        <v>Ambivalent</v>
      </c>
      <c r="G10" s="83"/>
      <c r="H10" s="147">
        <v>15</v>
      </c>
      <c r="I10">
        <v>8</v>
      </c>
      <c r="J10" s="91">
        <f>'Combined R1-R3'!K13</f>
        <v>3</v>
      </c>
      <c r="K10" s="91">
        <f t="shared" si="5"/>
        <v>9</v>
      </c>
      <c r="L10" s="82" t="str">
        <f t="shared" si="6"/>
        <v>Ambivalent</v>
      </c>
      <c r="M10" s="131" t="str">
        <f t="shared" si="7"/>
        <v>Ambivalent</v>
      </c>
      <c r="N10" s="83"/>
      <c r="O10" s="152">
        <v>11</v>
      </c>
      <c r="P10">
        <v>8</v>
      </c>
      <c r="Q10" s="91">
        <f>'Combined R1-R3'!O13</f>
        <v>4</v>
      </c>
      <c r="R10" s="91">
        <f t="shared" si="8"/>
        <v>9</v>
      </c>
      <c r="S10" s="82" t="str">
        <f t="shared" si="9"/>
        <v>Ambivalent</v>
      </c>
      <c r="T10" s="131" t="str">
        <f t="shared" si="10"/>
        <v>Ambivalent</v>
      </c>
      <c r="U10" s="83"/>
      <c r="V10" s="83"/>
      <c r="W10" s="83"/>
      <c r="Y10">
        <f>ResponseTimes!E10</f>
        <v>2927</v>
      </c>
      <c r="Z10">
        <f>ResponseTimes!N10</f>
        <v>2041</v>
      </c>
      <c r="AA10">
        <f>ResponseTimes!W10</f>
        <v>2838</v>
      </c>
      <c r="AC10" t="str">
        <f t="shared" si="11"/>
        <v>Ambivalent</v>
      </c>
      <c r="AD10" t="str">
        <f t="shared" si="0"/>
        <v>Ambivalent</v>
      </c>
      <c r="AE10" t="str">
        <f t="shared" si="1"/>
        <v>Ambivalent</v>
      </c>
      <c r="AG10" s="16" t="str">
        <f t="shared" si="12"/>
        <v/>
      </c>
      <c r="AH10" t="str">
        <f t="shared" si="13"/>
        <v/>
      </c>
      <c r="AI10" s="62" t="str">
        <f t="shared" si="14"/>
        <v/>
      </c>
      <c r="AK10" s="16">
        <f t="shared" si="15"/>
        <v>3656</v>
      </c>
      <c r="AL10">
        <f t="shared" si="16"/>
        <v>1819</v>
      </c>
      <c r="AM10" s="62">
        <f t="shared" si="17"/>
        <v>1727</v>
      </c>
      <c r="AO10" s="16" t="str">
        <f t="shared" si="18"/>
        <v/>
      </c>
      <c r="AP10" t="str">
        <f t="shared" si="19"/>
        <v/>
      </c>
      <c r="AQ10" s="62" t="str">
        <f t="shared" si="20"/>
        <v/>
      </c>
      <c r="AS10" s="16">
        <f t="shared" si="21"/>
        <v>3656</v>
      </c>
      <c r="AT10">
        <f t="shared" si="22"/>
        <v>1819</v>
      </c>
      <c r="AU10" s="62">
        <f t="shared" si="23"/>
        <v>1727</v>
      </c>
      <c r="AW10" s="16" t="str">
        <f t="shared" si="24"/>
        <v/>
      </c>
      <c r="AX10" t="str">
        <f t="shared" si="25"/>
        <v/>
      </c>
      <c r="AY10" s="62" t="str">
        <f t="shared" si="26"/>
        <v/>
      </c>
      <c r="BA10" s="16" t="str">
        <f t="shared" si="27"/>
        <v/>
      </c>
      <c r="BB10" t="str">
        <f t="shared" si="28"/>
        <v/>
      </c>
      <c r="BC10" s="62" t="str">
        <f t="shared" si="29"/>
        <v/>
      </c>
    </row>
    <row r="11" spans="1:55" x14ac:dyDescent="0.2">
      <c r="A11" s="159">
        <v>80</v>
      </c>
      <c r="B11">
        <v>9</v>
      </c>
      <c r="C11" s="91">
        <f>'Combined R1-R3'!G14</f>
        <v>0</v>
      </c>
      <c r="D11" s="91">
        <f t="shared" si="2"/>
        <v>9</v>
      </c>
      <c r="E11" s="82" t="str">
        <f t="shared" si="3"/>
        <v>Avoid</v>
      </c>
      <c r="F11" s="131" t="str">
        <f t="shared" si="4"/>
        <v>Avoid</v>
      </c>
      <c r="G11" s="83"/>
      <c r="H11" s="148">
        <v>50</v>
      </c>
      <c r="I11">
        <v>9</v>
      </c>
      <c r="J11" s="91">
        <f>'Combined R1-R3'!K14</f>
        <v>0</v>
      </c>
      <c r="K11" s="91">
        <f t="shared" si="5"/>
        <v>9</v>
      </c>
      <c r="L11" s="82" t="str">
        <f t="shared" si="6"/>
        <v>Avoid</v>
      </c>
      <c r="M11" s="131" t="str">
        <f t="shared" si="7"/>
        <v>Avoid</v>
      </c>
      <c r="N11" s="83"/>
      <c r="O11" s="153">
        <v>70</v>
      </c>
      <c r="P11">
        <v>9</v>
      </c>
      <c r="Q11" s="91">
        <f>'Combined R1-R3'!O14</f>
        <v>0</v>
      </c>
      <c r="R11" s="91">
        <f t="shared" si="8"/>
        <v>9</v>
      </c>
      <c r="S11" s="82" t="str">
        <f t="shared" si="9"/>
        <v>Avoid</v>
      </c>
      <c r="T11" s="131" t="str">
        <f t="shared" si="10"/>
        <v>Avoid</v>
      </c>
      <c r="U11" s="83"/>
      <c r="V11" s="83"/>
      <c r="W11" s="83"/>
      <c r="Y11">
        <f>ResponseTimes!E11</f>
        <v>3312</v>
      </c>
      <c r="Z11">
        <f>ResponseTimes!N11</f>
        <v>2283</v>
      </c>
      <c r="AA11">
        <f>ResponseTimes!W11</f>
        <v>2286</v>
      </c>
      <c r="AC11" t="str">
        <f t="shared" si="11"/>
        <v>Avoid</v>
      </c>
      <c r="AD11" t="str">
        <f t="shared" si="0"/>
        <v>Avoid</v>
      </c>
      <c r="AE11" t="str">
        <f t="shared" si="1"/>
        <v>Avoid</v>
      </c>
      <c r="AG11" s="16" t="str">
        <f t="shared" si="12"/>
        <v/>
      </c>
      <c r="AH11" t="str">
        <f t="shared" si="13"/>
        <v/>
      </c>
      <c r="AI11" s="62">
        <f t="shared" si="14"/>
        <v>2781</v>
      </c>
      <c r="AK11" s="16" t="str">
        <f t="shared" si="15"/>
        <v/>
      </c>
      <c r="AL11" t="str">
        <f t="shared" si="16"/>
        <v/>
      </c>
      <c r="AM11" s="62" t="str">
        <f t="shared" si="17"/>
        <v/>
      </c>
      <c r="AO11" s="16">
        <f t="shared" si="18"/>
        <v>3614</v>
      </c>
      <c r="AP11">
        <f t="shared" si="19"/>
        <v>3889</v>
      </c>
      <c r="AQ11" s="62" t="str">
        <f t="shared" si="20"/>
        <v/>
      </c>
      <c r="AS11" s="16" t="str">
        <f t="shared" si="21"/>
        <v/>
      </c>
      <c r="AT11" t="str">
        <f t="shared" si="22"/>
        <v/>
      </c>
      <c r="AU11" s="62">
        <f t="shared" si="23"/>
        <v>2781</v>
      </c>
      <c r="AW11" s="16" t="str">
        <f t="shared" si="24"/>
        <v/>
      </c>
      <c r="AX11" t="str">
        <f t="shared" si="25"/>
        <v/>
      </c>
      <c r="AY11" s="62" t="str">
        <f t="shared" si="26"/>
        <v/>
      </c>
      <c r="BA11" s="16">
        <f t="shared" si="27"/>
        <v>3614</v>
      </c>
      <c r="BB11">
        <f t="shared" si="28"/>
        <v>3889</v>
      </c>
      <c r="BC11" s="62" t="str">
        <f t="shared" si="29"/>
        <v/>
      </c>
    </row>
    <row r="12" spans="1:55" x14ac:dyDescent="0.2">
      <c r="A12" s="149">
        <v>0.01</v>
      </c>
      <c r="B12">
        <v>10</v>
      </c>
      <c r="C12" s="91">
        <f>'Combined R1-R3'!G15</f>
        <v>8</v>
      </c>
      <c r="D12" s="91">
        <f t="shared" si="2"/>
        <v>9</v>
      </c>
      <c r="E12" s="82" t="str">
        <f t="shared" si="3"/>
        <v>Ambivalent</v>
      </c>
      <c r="F12" s="131" t="str">
        <f t="shared" si="4"/>
        <v>Approach</v>
      </c>
      <c r="G12" s="83"/>
      <c r="H12" s="149">
        <v>0.04</v>
      </c>
      <c r="I12">
        <v>10</v>
      </c>
      <c r="J12" s="91">
        <f>'Combined R1-R3'!K15</f>
        <v>8</v>
      </c>
      <c r="K12" s="91">
        <f t="shared" si="5"/>
        <v>9</v>
      </c>
      <c r="L12" s="82" t="str">
        <f t="shared" si="6"/>
        <v>Ambivalent</v>
      </c>
      <c r="M12" s="131" t="str">
        <f t="shared" si="7"/>
        <v>Approach</v>
      </c>
      <c r="N12" s="83"/>
      <c r="O12" s="154">
        <v>0.04</v>
      </c>
      <c r="P12">
        <v>10</v>
      </c>
      <c r="Q12" s="91">
        <f>'Combined R1-R3'!O15</f>
        <v>8</v>
      </c>
      <c r="R12" s="91">
        <f t="shared" si="8"/>
        <v>9</v>
      </c>
      <c r="S12" s="82" t="str">
        <f t="shared" si="9"/>
        <v>Ambivalent</v>
      </c>
      <c r="T12" s="131" t="str">
        <f t="shared" si="10"/>
        <v>Approach</v>
      </c>
      <c r="U12" s="83"/>
      <c r="V12" s="83"/>
      <c r="W12" s="83"/>
      <c r="Y12">
        <f>ResponseTimes!E12</f>
        <v>2336</v>
      </c>
      <c r="Z12">
        <f>ResponseTimes!N12</f>
        <v>1778</v>
      </c>
      <c r="AA12">
        <f>ResponseTimes!W12</f>
        <v>2558</v>
      </c>
      <c r="AC12" t="str">
        <f t="shared" si="11"/>
        <v>Ambivalent</v>
      </c>
      <c r="AD12" t="str">
        <f t="shared" si="0"/>
        <v>Ambivalent</v>
      </c>
      <c r="AE12" t="str">
        <f t="shared" si="1"/>
        <v>Ambivalent</v>
      </c>
      <c r="AG12" s="16" t="str">
        <f t="shared" si="12"/>
        <v/>
      </c>
      <c r="AH12" t="str">
        <f t="shared" si="13"/>
        <v/>
      </c>
      <c r="AI12" s="62" t="str">
        <f t="shared" si="14"/>
        <v/>
      </c>
      <c r="AK12" s="16">
        <f t="shared" si="15"/>
        <v>2927</v>
      </c>
      <c r="AL12">
        <f t="shared" si="16"/>
        <v>2041</v>
      </c>
      <c r="AM12" s="62">
        <f t="shared" si="17"/>
        <v>2838</v>
      </c>
      <c r="AO12" s="16" t="str">
        <f t="shared" si="18"/>
        <v/>
      </c>
      <c r="AP12" t="str">
        <f t="shared" si="19"/>
        <v/>
      </c>
      <c r="AQ12" s="62" t="str">
        <f t="shared" si="20"/>
        <v/>
      </c>
      <c r="AS12" s="16" t="str">
        <f t="shared" si="21"/>
        <v/>
      </c>
      <c r="AT12" t="str">
        <f t="shared" si="22"/>
        <v/>
      </c>
      <c r="AU12" s="62" t="str">
        <f t="shared" si="23"/>
        <v/>
      </c>
      <c r="AW12" s="16">
        <f t="shared" si="24"/>
        <v>2927</v>
      </c>
      <c r="AX12">
        <f t="shared" si="25"/>
        <v>2041</v>
      </c>
      <c r="AY12" s="62">
        <f t="shared" si="26"/>
        <v>2838</v>
      </c>
      <c r="BA12" s="16" t="str">
        <f t="shared" si="27"/>
        <v/>
      </c>
      <c r="BB12" t="str">
        <f t="shared" si="28"/>
        <v/>
      </c>
      <c r="BC12" s="62" t="str">
        <f t="shared" si="29"/>
        <v/>
      </c>
    </row>
    <row r="13" spans="1:55" x14ac:dyDescent="0.2">
      <c r="A13" s="159">
        <v>30</v>
      </c>
      <c r="B13">
        <v>11</v>
      </c>
      <c r="C13" s="91">
        <f>'Combined R1-R3'!G16</f>
        <v>0</v>
      </c>
      <c r="D13" s="91">
        <f t="shared" si="2"/>
        <v>9</v>
      </c>
      <c r="E13" s="82" t="str">
        <f t="shared" si="3"/>
        <v>Avoid</v>
      </c>
      <c r="F13" s="131" t="str">
        <f t="shared" si="4"/>
        <v>Avoid</v>
      </c>
      <c r="G13" s="83"/>
      <c r="H13" s="148">
        <v>30</v>
      </c>
      <c r="I13">
        <v>11</v>
      </c>
      <c r="J13" s="91">
        <f>'Combined R1-R3'!K16</f>
        <v>0</v>
      </c>
      <c r="K13" s="91">
        <f t="shared" si="5"/>
        <v>9</v>
      </c>
      <c r="L13" s="82" t="str">
        <f t="shared" si="6"/>
        <v>Avoid</v>
      </c>
      <c r="M13" s="131" t="str">
        <f t="shared" si="7"/>
        <v>Avoid</v>
      </c>
      <c r="N13" s="83"/>
      <c r="O13" s="153">
        <v>60</v>
      </c>
      <c r="P13">
        <v>11</v>
      </c>
      <c r="Q13" s="91">
        <f>'Combined R1-R3'!O16</f>
        <v>0</v>
      </c>
      <c r="R13" s="91">
        <f t="shared" si="8"/>
        <v>9</v>
      </c>
      <c r="S13" s="82" t="str">
        <f t="shared" si="9"/>
        <v>Avoid</v>
      </c>
      <c r="T13" s="131" t="str">
        <f t="shared" si="10"/>
        <v>Avoid</v>
      </c>
      <c r="U13" s="83"/>
      <c r="V13" s="83"/>
      <c r="W13" s="83"/>
      <c r="Y13">
        <f>ResponseTimes!E13</f>
        <v>3482</v>
      </c>
      <c r="Z13">
        <f>ResponseTimes!N13</f>
        <v>2237</v>
      </c>
      <c r="AA13">
        <f>ResponseTimes!W13</f>
        <v>2442</v>
      </c>
      <c r="AC13" t="str">
        <f t="shared" si="11"/>
        <v>Avoid</v>
      </c>
      <c r="AD13" t="str">
        <f t="shared" si="0"/>
        <v>Avoid</v>
      </c>
      <c r="AE13" t="str">
        <f t="shared" si="1"/>
        <v>Avoid</v>
      </c>
      <c r="AG13" s="16" t="str">
        <f t="shared" si="12"/>
        <v/>
      </c>
      <c r="AH13" t="str">
        <f t="shared" si="13"/>
        <v/>
      </c>
      <c r="AI13" s="62" t="str">
        <f t="shared" si="14"/>
        <v/>
      </c>
      <c r="AK13" s="16" t="str">
        <f t="shared" si="15"/>
        <v/>
      </c>
      <c r="AL13" t="str">
        <f t="shared" si="16"/>
        <v/>
      </c>
      <c r="AM13" s="62" t="str">
        <f t="shared" si="17"/>
        <v/>
      </c>
      <c r="AO13" s="16">
        <f t="shared" si="18"/>
        <v>3312</v>
      </c>
      <c r="AP13">
        <f t="shared" si="19"/>
        <v>2283</v>
      </c>
      <c r="AQ13" s="62">
        <f t="shared" si="20"/>
        <v>2286</v>
      </c>
      <c r="AS13" s="16" t="str">
        <f t="shared" si="21"/>
        <v/>
      </c>
      <c r="AT13" t="str">
        <f t="shared" si="22"/>
        <v/>
      </c>
      <c r="AU13" s="62" t="str">
        <f t="shared" si="23"/>
        <v/>
      </c>
      <c r="AW13" s="16" t="str">
        <f t="shared" si="24"/>
        <v/>
      </c>
      <c r="AX13" t="str">
        <f t="shared" si="25"/>
        <v/>
      </c>
      <c r="AY13" s="62" t="str">
        <f t="shared" si="26"/>
        <v/>
      </c>
      <c r="BA13" s="16">
        <f t="shared" si="27"/>
        <v>3312</v>
      </c>
      <c r="BB13">
        <f t="shared" si="28"/>
        <v>2283</v>
      </c>
      <c r="BC13" s="62">
        <f t="shared" si="29"/>
        <v>2286</v>
      </c>
    </row>
    <row r="14" spans="1:55" x14ac:dyDescent="0.2">
      <c r="A14" s="149">
        <v>0.02</v>
      </c>
      <c r="B14">
        <v>12</v>
      </c>
      <c r="C14" s="91">
        <f>'Combined R1-R3'!G17</f>
        <v>8</v>
      </c>
      <c r="D14" s="91">
        <f t="shared" si="2"/>
        <v>9</v>
      </c>
      <c r="E14" s="82" t="str">
        <f t="shared" si="3"/>
        <v>Ambivalent</v>
      </c>
      <c r="F14" s="131" t="str">
        <f t="shared" si="4"/>
        <v>Approach</v>
      </c>
      <c r="G14" s="83"/>
      <c r="H14" s="149">
        <v>0.01</v>
      </c>
      <c r="I14">
        <v>12</v>
      </c>
      <c r="J14" s="91">
        <f>'Combined R1-R3'!K17</f>
        <v>8</v>
      </c>
      <c r="K14" s="91">
        <f t="shared" si="5"/>
        <v>9</v>
      </c>
      <c r="L14" s="82" t="str">
        <f t="shared" si="6"/>
        <v>Ambivalent</v>
      </c>
      <c r="M14" s="131" t="str">
        <f t="shared" si="7"/>
        <v>Approach</v>
      </c>
      <c r="N14" s="83"/>
      <c r="O14" s="154">
        <v>0</v>
      </c>
      <c r="P14">
        <v>12</v>
      </c>
      <c r="Q14" s="91">
        <f>'Combined R1-R3'!O17</f>
        <v>9</v>
      </c>
      <c r="R14" s="91">
        <f t="shared" si="8"/>
        <v>9</v>
      </c>
      <c r="S14" s="82" t="str">
        <f t="shared" si="9"/>
        <v>Approach</v>
      </c>
      <c r="T14" s="131" t="str">
        <f t="shared" si="10"/>
        <v>Approach</v>
      </c>
      <c r="U14" s="83"/>
      <c r="V14" s="83"/>
      <c r="W14" s="83"/>
      <c r="Y14">
        <f>ResponseTimes!E14</f>
        <v>2231</v>
      </c>
      <c r="Z14">
        <f>ResponseTimes!N14</f>
        <v>1826</v>
      </c>
      <c r="AA14">
        <f>ResponseTimes!W14</f>
        <v>2782</v>
      </c>
      <c r="AC14" t="str">
        <f t="shared" si="11"/>
        <v>Ambivalent</v>
      </c>
      <c r="AD14" t="str">
        <f t="shared" si="0"/>
        <v>Ambivalent</v>
      </c>
      <c r="AE14" t="str">
        <f t="shared" si="1"/>
        <v>Approach</v>
      </c>
      <c r="AG14" s="16" t="str">
        <f t="shared" si="12"/>
        <v/>
      </c>
      <c r="AH14" t="str">
        <f t="shared" si="13"/>
        <v/>
      </c>
      <c r="AI14" s="62" t="str">
        <f t="shared" si="14"/>
        <v/>
      </c>
      <c r="AK14" s="16">
        <f t="shared" si="15"/>
        <v>2336</v>
      </c>
      <c r="AL14">
        <f t="shared" si="16"/>
        <v>1778</v>
      </c>
      <c r="AM14" s="62">
        <f t="shared" si="17"/>
        <v>2558</v>
      </c>
      <c r="AO14" s="16" t="str">
        <f t="shared" si="18"/>
        <v/>
      </c>
      <c r="AP14" t="str">
        <f t="shared" si="19"/>
        <v/>
      </c>
      <c r="AQ14" s="62" t="str">
        <f t="shared" si="20"/>
        <v/>
      </c>
      <c r="AS14" s="16">
        <f t="shared" si="21"/>
        <v>2336</v>
      </c>
      <c r="AT14">
        <f t="shared" si="22"/>
        <v>1778</v>
      </c>
      <c r="AU14" s="62">
        <f t="shared" si="23"/>
        <v>2558</v>
      </c>
      <c r="AW14" s="16" t="str">
        <f t="shared" si="24"/>
        <v/>
      </c>
      <c r="AX14" t="str">
        <f t="shared" si="25"/>
        <v/>
      </c>
      <c r="AY14" s="62" t="str">
        <f t="shared" si="26"/>
        <v/>
      </c>
      <c r="BA14" s="16" t="str">
        <f t="shared" si="27"/>
        <v/>
      </c>
      <c r="BB14" t="str">
        <f t="shared" si="28"/>
        <v/>
      </c>
      <c r="BC14" s="62" t="str">
        <f t="shared" si="29"/>
        <v/>
      </c>
    </row>
    <row r="15" spans="1:55" x14ac:dyDescent="0.2">
      <c r="A15" s="147">
        <v>9</v>
      </c>
      <c r="B15">
        <v>13</v>
      </c>
      <c r="C15" s="91">
        <f>'Combined R1-R3'!G18</f>
        <v>4</v>
      </c>
      <c r="D15" s="91">
        <f t="shared" si="2"/>
        <v>9</v>
      </c>
      <c r="E15" s="82" t="str">
        <f t="shared" si="3"/>
        <v>Ambivalent</v>
      </c>
      <c r="F15" s="131" t="str">
        <f t="shared" si="4"/>
        <v>Ambivalent</v>
      </c>
      <c r="G15" s="83"/>
      <c r="H15" s="147">
        <v>13</v>
      </c>
      <c r="I15">
        <v>13</v>
      </c>
      <c r="J15" s="91">
        <f>'Combined R1-R3'!K18</f>
        <v>4</v>
      </c>
      <c r="K15" s="91">
        <f t="shared" si="5"/>
        <v>9</v>
      </c>
      <c r="L15" s="82" t="str">
        <f t="shared" si="6"/>
        <v>Ambivalent</v>
      </c>
      <c r="M15" s="131" t="str">
        <f t="shared" si="7"/>
        <v>Ambivalent</v>
      </c>
      <c r="N15" s="83"/>
      <c r="O15" s="152">
        <v>5</v>
      </c>
      <c r="P15">
        <v>13</v>
      </c>
      <c r="Q15" s="91">
        <f>'Combined R1-R3'!O18</f>
        <v>7</v>
      </c>
      <c r="R15" s="91">
        <f t="shared" si="8"/>
        <v>9</v>
      </c>
      <c r="S15" s="82" t="str">
        <f t="shared" si="9"/>
        <v>Ambivalent</v>
      </c>
      <c r="T15" s="131" t="str">
        <f t="shared" si="10"/>
        <v>Ambivalent</v>
      </c>
      <c r="U15" s="83"/>
      <c r="V15" s="83"/>
      <c r="W15" s="83"/>
      <c r="Y15">
        <f>ResponseTimes!E15</f>
        <v>3261</v>
      </c>
      <c r="Z15">
        <f>ResponseTimes!N15</f>
        <v>3696</v>
      </c>
      <c r="AA15">
        <f>ResponseTimes!W15</f>
        <v>1707</v>
      </c>
      <c r="AC15" t="str">
        <f t="shared" si="11"/>
        <v>Ambivalent</v>
      </c>
      <c r="AD15" t="str">
        <f t="shared" si="0"/>
        <v>Ambivalent</v>
      </c>
      <c r="AE15" t="str">
        <f t="shared" si="1"/>
        <v>Ambivalent</v>
      </c>
      <c r="AG15" s="16" t="str">
        <f t="shared" si="12"/>
        <v/>
      </c>
      <c r="AH15" t="str">
        <f t="shared" si="13"/>
        <v/>
      </c>
      <c r="AI15" s="62" t="str">
        <f t="shared" si="14"/>
        <v/>
      </c>
      <c r="AK15" s="16" t="str">
        <f t="shared" si="15"/>
        <v/>
      </c>
      <c r="AL15" t="str">
        <f t="shared" si="16"/>
        <v/>
      </c>
      <c r="AM15" s="62" t="str">
        <f t="shared" si="17"/>
        <v/>
      </c>
      <c r="AO15" s="16">
        <f t="shared" si="18"/>
        <v>3482</v>
      </c>
      <c r="AP15">
        <f t="shared" si="19"/>
        <v>2237</v>
      </c>
      <c r="AQ15" s="62">
        <f t="shared" si="20"/>
        <v>2442</v>
      </c>
      <c r="AS15" s="16" t="str">
        <f t="shared" si="21"/>
        <v/>
      </c>
      <c r="AT15" t="str">
        <f t="shared" si="22"/>
        <v/>
      </c>
      <c r="AU15" s="62" t="str">
        <f t="shared" si="23"/>
        <v/>
      </c>
      <c r="AW15" s="16" t="str">
        <f t="shared" si="24"/>
        <v/>
      </c>
      <c r="AX15" t="str">
        <f t="shared" si="25"/>
        <v/>
      </c>
      <c r="AY15" s="62" t="str">
        <f t="shared" si="26"/>
        <v/>
      </c>
      <c r="BA15" s="16">
        <f t="shared" si="27"/>
        <v>3482</v>
      </c>
      <c r="BB15">
        <f t="shared" si="28"/>
        <v>2237</v>
      </c>
      <c r="BC15" s="62">
        <f t="shared" si="29"/>
        <v>2442</v>
      </c>
    </row>
    <row r="16" spans="1:55" x14ac:dyDescent="0.2">
      <c r="A16" s="149">
        <v>0.05</v>
      </c>
      <c r="B16">
        <v>14</v>
      </c>
      <c r="C16" s="91">
        <f>'Combined R1-R3'!G19</f>
        <v>8</v>
      </c>
      <c r="D16" s="91">
        <f t="shared" si="2"/>
        <v>9</v>
      </c>
      <c r="E16" s="82" t="str">
        <f t="shared" si="3"/>
        <v>Ambivalent</v>
      </c>
      <c r="F16" s="131" t="str">
        <f t="shared" si="4"/>
        <v>Approach</v>
      </c>
      <c r="G16" s="83"/>
      <c r="H16" s="149">
        <v>0.02</v>
      </c>
      <c r="I16">
        <v>14</v>
      </c>
      <c r="J16" s="91">
        <f>'Combined R1-R3'!K19</f>
        <v>8</v>
      </c>
      <c r="K16" s="91">
        <f t="shared" si="5"/>
        <v>9</v>
      </c>
      <c r="L16" s="82" t="str">
        <f t="shared" si="6"/>
        <v>Ambivalent</v>
      </c>
      <c r="M16" s="131" t="str">
        <f t="shared" si="7"/>
        <v>Approach</v>
      </c>
      <c r="N16" s="83"/>
      <c r="O16" s="154">
        <v>0.05</v>
      </c>
      <c r="P16">
        <v>14</v>
      </c>
      <c r="Q16" s="91">
        <f>'Combined R1-R3'!O19</f>
        <v>8</v>
      </c>
      <c r="R16" s="91">
        <f t="shared" si="8"/>
        <v>9</v>
      </c>
      <c r="S16" s="82" t="str">
        <f t="shared" si="9"/>
        <v>Ambivalent</v>
      </c>
      <c r="T16" s="131" t="str">
        <f t="shared" si="10"/>
        <v>Approach</v>
      </c>
      <c r="U16" s="83"/>
      <c r="V16" s="83"/>
      <c r="W16" s="83"/>
      <c r="Y16">
        <f>ResponseTimes!E16</f>
        <v>2331</v>
      </c>
      <c r="Z16">
        <f>ResponseTimes!N16</f>
        <v>2253</v>
      </c>
      <c r="AA16">
        <f>ResponseTimes!W16</f>
        <v>2361</v>
      </c>
      <c r="AC16" t="str">
        <f t="shared" si="11"/>
        <v>Ambivalent</v>
      </c>
      <c r="AD16" t="str">
        <f t="shared" si="0"/>
        <v>Ambivalent</v>
      </c>
      <c r="AE16" t="str">
        <f t="shared" si="1"/>
        <v>Ambivalent</v>
      </c>
      <c r="AG16" s="16" t="str">
        <f t="shared" si="12"/>
        <v/>
      </c>
      <c r="AH16" t="str">
        <f t="shared" si="13"/>
        <v/>
      </c>
      <c r="AI16" s="62">
        <f t="shared" si="14"/>
        <v>2782</v>
      </c>
      <c r="AK16" s="16">
        <f t="shared" si="15"/>
        <v>2231</v>
      </c>
      <c r="AL16">
        <f t="shared" si="16"/>
        <v>1826</v>
      </c>
      <c r="AM16" s="62" t="str">
        <f t="shared" si="17"/>
        <v/>
      </c>
      <c r="AO16" s="16" t="str">
        <f t="shared" si="18"/>
        <v/>
      </c>
      <c r="AP16" t="str">
        <f t="shared" si="19"/>
        <v/>
      </c>
      <c r="AQ16" s="62" t="str">
        <f t="shared" si="20"/>
        <v/>
      </c>
      <c r="AS16" s="16">
        <f t="shared" si="21"/>
        <v>2231</v>
      </c>
      <c r="AT16">
        <f t="shared" si="22"/>
        <v>1826</v>
      </c>
      <c r="AU16" s="62">
        <f t="shared" si="23"/>
        <v>2782</v>
      </c>
      <c r="AW16" s="16" t="str">
        <f t="shared" si="24"/>
        <v/>
      </c>
      <c r="AX16" t="str">
        <f t="shared" si="25"/>
        <v/>
      </c>
      <c r="AY16" s="62" t="str">
        <f t="shared" si="26"/>
        <v/>
      </c>
      <c r="BA16" s="16" t="str">
        <f t="shared" si="27"/>
        <v/>
      </c>
      <c r="BB16" t="str">
        <f t="shared" si="28"/>
        <v/>
      </c>
      <c r="BC16" s="62" t="str">
        <f t="shared" si="29"/>
        <v/>
      </c>
    </row>
    <row r="17" spans="1:55" x14ac:dyDescent="0.2">
      <c r="A17" s="159">
        <v>70</v>
      </c>
      <c r="B17">
        <v>15</v>
      </c>
      <c r="C17" s="91">
        <f>'Combined R1-R3'!G20</f>
        <v>0</v>
      </c>
      <c r="D17" s="91">
        <f t="shared" si="2"/>
        <v>9</v>
      </c>
      <c r="E17" s="82" t="str">
        <f t="shared" si="3"/>
        <v>Avoid</v>
      </c>
      <c r="F17" s="131" t="str">
        <f t="shared" si="4"/>
        <v>Avoid</v>
      </c>
      <c r="G17" s="83"/>
      <c r="H17" s="148">
        <v>80</v>
      </c>
      <c r="I17">
        <v>15</v>
      </c>
      <c r="J17" s="91">
        <f>'Combined R1-R3'!K20</f>
        <v>0</v>
      </c>
      <c r="K17" s="91">
        <f t="shared" si="5"/>
        <v>9</v>
      </c>
      <c r="L17" s="82" t="str">
        <f t="shared" si="6"/>
        <v>Avoid</v>
      </c>
      <c r="M17" s="131" t="str">
        <f t="shared" si="7"/>
        <v>Avoid</v>
      </c>
      <c r="N17" s="83"/>
      <c r="O17" s="153">
        <v>50</v>
      </c>
      <c r="P17">
        <v>15</v>
      </c>
      <c r="Q17" s="91">
        <f>'Combined R1-R3'!O20</f>
        <v>0</v>
      </c>
      <c r="R17" s="91">
        <f t="shared" si="8"/>
        <v>9</v>
      </c>
      <c r="S17" s="82" t="str">
        <f t="shared" si="9"/>
        <v>Avoid</v>
      </c>
      <c r="T17" s="131" t="str">
        <f t="shared" si="10"/>
        <v>Avoid</v>
      </c>
      <c r="U17" s="83"/>
      <c r="V17" s="83"/>
      <c r="W17" s="83"/>
      <c r="Y17">
        <f>ResponseTimes!E17</f>
        <v>3678</v>
      </c>
      <c r="Z17">
        <f>ResponseTimes!N17</f>
        <v>2152</v>
      </c>
      <c r="AA17">
        <f>ResponseTimes!W17</f>
        <v>2029</v>
      </c>
      <c r="AC17" t="str">
        <f t="shared" si="11"/>
        <v>Avoid</v>
      </c>
      <c r="AD17" t="str">
        <f t="shared" si="0"/>
        <v>Avoid</v>
      </c>
      <c r="AE17" t="str">
        <f t="shared" si="1"/>
        <v>Avoid</v>
      </c>
      <c r="AG17" s="16" t="str">
        <f t="shared" si="12"/>
        <v/>
      </c>
      <c r="AH17" t="str">
        <f t="shared" si="13"/>
        <v/>
      </c>
      <c r="AI17" s="62" t="str">
        <f t="shared" si="14"/>
        <v/>
      </c>
      <c r="AK17" s="16">
        <f t="shared" si="15"/>
        <v>3261</v>
      </c>
      <c r="AL17">
        <f t="shared" si="16"/>
        <v>3696</v>
      </c>
      <c r="AM17" s="62">
        <f t="shared" si="17"/>
        <v>1707</v>
      </c>
      <c r="AO17" s="16" t="str">
        <f t="shared" si="18"/>
        <v/>
      </c>
      <c r="AP17" t="str">
        <f t="shared" si="19"/>
        <v/>
      </c>
      <c r="AQ17" s="62" t="str">
        <f t="shared" si="20"/>
        <v/>
      </c>
      <c r="AS17" s="16" t="str">
        <f t="shared" si="21"/>
        <v/>
      </c>
      <c r="AT17" t="str">
        <f t="shared" si="22"/>
        <v/>
      </c>
      <c r="AU17" s="62" t="str">
        <f t="shared" si="23"/>
        <v/>
      </c>
      <c r="AW17" s="16">
        <f t="shared" si="24"/>
        <v>3261</v>
      </c>
      <c r="AX17">
        <f t="shared" si="25"/>
        <v>3696</v>
      </c>
      <c r="AY17" s="62">
        <f t="shared" si="26"/>
        <v>1707</v>
      </c>
      <c r="BA17" s="16" t="str">
        <f t="shared" si="27"/>
        <v/>
      </c>
      <c r="BB17" t="str">
        <f t="shared" si="28"/>
        <v/>
      </c>
      <c r="BC17" s="62" t="str">
        <f t="shared" si="29"/>
        <v/>
      </c>
    </row>
    <row r="18" spans="1:55" x14ac:dyDescent="0.2">
      <c r="A18" s="147">
        <v>13</v>
      </c>
      <c r="B18">
        <v>16</v>
      </c>
      <c r="C18" s="91">
        <f>'Combined R1-R3'!G21</f>
        <v>3</v>
      </c>
      <c r="D18" s="91">
        <f t="shared" si="2"/>
        <v>9</v>
      </c>
      <c r="E18" s="82" t="str">
        <f t="shared" si="3"/>
        <v>Ambivalent</v>
      </c>
      <c r="F18" s="131" t="str">
        <f t="shared" si="4"/>
        <v>Ambivalent</v>
      </c>
      <c r="G18" s="83"/>
      <c r="H18" s="147">
        <v>9</v>
      </c>
      <c r="I18">
        <v>16</v>
      </c>
      <c r="J18" s="91">
        <f>'Combined R1-R3'!K21</f>
        <v>4</v>
      </c>
      <c r="K18" s="91">
        <f t="shared" si="5"/>
        <v>9</v>
      </c>
      <c r="L18" s="82" t="str">
        <f t="shared" si="6"/>
        <v>Ambivalent</v>
      </c>
      <c r="M18" s="131" t="str">
        <f t="shared" si="7"/>
        <v>Ambivalent</v>
      </c>
      <c r="N18" s="83"/>
      <c r="O18" s="152">
        <v>11</v>
      </c>
      <c r="P18">
        <v>16</v>
      </c>
      <c r="Q18" s="91">
        <f>'Combined R1-R3'!O21</f>
        <v>4</v>
      </c>
      <c r="R18" s="91">
        <f t="shared" si="8"/>
        <v>9</v>
      </c>
      <c r="S18" s="82" t="str">
        <f t="shared" si="9"/>
        <v>Ambivalent</v>
      </c>
      <c r="T18" s="131" t="str">
        <f t="shared" si="10"/>
        <v>Ambivalent</v>
      </c>
      <c r="U18" s="83"/>
      <c r="V18" s="83"/>
      <c r="W18" s="83"/>
      <c r="Y18">
        <f>ResponseTimes!E18</f>
        <v>2776</v>
      </c>
      <c r="Z18">
        <f>ResponseTimes!N18</f>
        <v>2739</v>
      </c>
      <c r="AA18">
        <f>ResponseTimes!W18</f>
        <v>1439</v>
      </c>
      <c r="AC18" t="str">
        <f t="shared" si="11"/>
        <v>Ambivalent</v>
      </c>
      <c r="AD18" t="str">
        <f t="shared" si="0"/>
        <v>Ambivalent</v>
      </c>
      <c r="AE18" t="str">
        <f t="shared" si="1"/>
        <v>Ambivalent</v>
      </c>
      <c r="AG18" s="16" t="str">
        <f t="shared" si="12"/>
        <v/>
      </c>
      <c r="AH18" t="str">
        <f t="shared" si="13"/>
        <v/>
      </c>
      <c r="AI18" s="62" t="str">
        <f t="shared" si="14"/>
        <v/>
      </c>
      <c r="AK18" s="16">
        <f t="shared" si="15"/>
        <v>2331</v>
      </c>
      <c r="AL18">
        <f t="shared" si="16"/>
        <v>2253</v>
      </c>
      <c r="AM18" s="62">
        <f t="shared" si="17"/>
        <v>2361</v>
      </c>
      <c r="AO18" s="16" t="str">
        <f t="shared" si="18"/>
        <v/>
      </c>
      <c r="AP18" t="str">
        <f t="shared" si="19"/>
        <v/>
      </c>
      <c r="AQ18" s="62" t="str">
        <f t="shared" si="20"/>
        <v/>
      </c>
      <c r="AS18" s="16">
        <f t="shared" si="21"/>
        <v>2331</v>
      </c>
      <c r="AT18">
        <f t="shared" si="22"/>
        <v>2253</v>
      </c>
      <c r="AU18" s="62">
        <f t="shared" si="23"/>
        <v>2361</v>
      </c>
      <c r="AW18" s="16" t="str">
        <f t="shared" si="24"/>
        <v/>
      </c>
      <c r="AX18" t="str">
        <f t="shared" si="25"/>
        <v/>
      </c>
      <c r="AY18" s="62" t="str">
        <f t="shared" si="26"/>
        <v/>
      </c>
      <c r="BA18" s="16" t="str">
        <f t="shared" si="27"/>
        <v/>
      </c>
      <c r="BB18" t="str">
        <f t="shared" si="28"/>
        <v/>
      </c>
      <c r="BC18" s="62" t="str">
        <f t="shared" si="29"/>
        <v/>
      </c>
    </row>
    <row r="19" spans="1:55" x14ac:dyDescent="0.2">
      <c r="A19" s="149">
        <v>0.04</v>
      </c>
      <c r="B19">
        <v>17</v>
      </c>
      <c r="C19" s="91">
        <f>'Combined R1-R3'!G22</f>
        <v>8</v>
      </c>
      <c r="D19" s="91">
        <f t="shared" si="2"/>
        <v>9</v>
      </c>
      <c r="E19" s="82" t="str">
        <f t="shared" si="3"/>
        <v>Ambivalent</v>
      </c>
      <c r="F19" s="131" t="str">
        <f t="shared" si="4"/>
        <v>Approach</v>
      </c>
      <c r="G19" s="83"/>
      <c r="H19" s="149">
        <v>0.05</v>
      </c>
      <c r="I19">
        <v>17</v>
      </c>
      <c r="J19" s="91">
        <f>'Combined R1-R3'!K22</f>
        <v>8</v>
      </c>
      <c r="K19" s="91">
        <f t="shared" si="5"/>
        <v>9</v>
      </c>
      <c r="L19" s="82" t="str">
        <f t="shared" si="6"/>
        <v>Ambivalent</v>
      </c>
      <c r="M19" s="131" t="str">
        <f t="shared" si="7"/>
        <v>Approach</v>
      </c>
      <c r="N19" s="83"/>
      <c r="O19" s="154">
        <v>0.03</v>
      </c>
      <c r="P19">
        <v>17</v>
      </c>
      <c r="Q19" s="91">
        <f>'Combined R1-R3'!O22</f>
        <v>8</v>
      </c>
      <c r="R19" s="91">
        <f t="shared" si="8"/>
        <v>9</v>
      </c>
      <c r="S19" s="82" t="str">
        <f t="shared" si="9"/>
        <v>Ambivalent</v>
      </c>
      <c r="T19" s="131" t="str">
        <f t="shared" si="10"/>
        <v>Approach</v>
      </c>
      <c r="U19" s="83"/>
      <c r="V19" s="83"/>
      <c r="W19" s="83"/>
      <c r="Y19">
        <f>ResponseTimes!E19</f>
        <v>1741</v>
      </c>
      <c r="Z19">
        <f>ResponseTimes!N19</f>
        <v>1696</v>
      </c>
      <c r="AA19">
        <f>ResponseTimes!W19</f>
        <v>2203</v>
      </c>
      <c r="AC19" t="str">
        <f t="shared" si="11"/>
        <v>Ambivalent</v>
      </c>
      <c r="AD19" t="str">
        <f t="shared" si="0"/>
        <v>Ambivalent</v>
      </c>
      <c r="AE19" t="str">
        <f t="shared" si="1"/>
        <v>Ambivalent</v>
      </c>
      <c r="AG19" s="16" t="str">
        <f t="shared" si="12"/>
        <v/>
      </c>
      <c r="AH19" t="str">
        <f t="shared" si="13"/>
        <v/>
      </c>
      <c r="AI19" s="62" t="str">
        <f t="shared" si="14"/>
        <v/>
      </c>
      <c r="AK19" s="16" t="str">
        <f t="shared" si="15"/>
        <v/>
      </c>
      <c r="AL19" t="str">
        <f t="shared" si="16"/>
        <v/>
      </c>
      <c r="AM19" s="62" t="str">
        <f t="shared" si="17"/>
        <v/>
      </c>
      <c r="AO19" s="16">
        <f t="shared" si="18"/>
        <v>3678</v>
      </c>
      <c r="AP19">
        <f t="shared" si="19"/>
        <v>2152</v>
      </c>
      <c r="AQ19" s="62">
        <f t="shared" si="20"/>
        <v>2029</v>
      </c>
      <c r="AS19" s="16" t="str">
        <f t="shared" si="21"/>
        <v/>
      </c>
      <c r="AT19" t="str">
        <f t="shared" si="22"/>
        <v/>
      </c>
      <c r="AU19" s="62" t="str">
        <f t="shared" si="23"/>
        <v/>
      </c>
      <c r="AW19" s="16" t="str">
        <f t="shared" si="24"/>
        <v/>
      </c>
      <c r="AX19" t="str">
        <f t="shared" si="25"/>
        <v/>
      </c>
      <c r="AY19" s="62" t="str">
        <f t="shared" si="26"/>
        <v/>
      </c>
      <c r="BA19" s="16">
        <f t="shared" si="27"/>
        <v>3678</v>
      </c>
      <c r="BB19">
        <f t="shared" si="28"/>
        <v>2152</v>
      </c>
      <c r="BC19" s="62">
        <f t="shared" si="29"/>
        <v>2029</v>
      </c>
    </row>
    <row r="20" spans="1:55" x14ac:dyDescent="0.2">
      <c r="A20" s="147">
        <v>9</v>
      </c>
      <c r="B20">
        <v>18</v>
      </c>
      <c r="C20" s="91">
        <f>'Combined R1-R3'!G23</f>
        <v>4</v>
      </c>
      <c r="D20" s="91">
        <f t="shared" si="2"/>
        <v>9</v>
      </c>
      <c r="E20" s="82" t="str">
        <f t="shared" si="3"/>
        <v>Ambivalent</v>
      </c>
      <c r="F20" s="131" t="str">
        <f t="shared" si="4"/>
        <v>Ambivalent</v>
      </c>
      <c r="G20" s="83"/>
      <c r="H20" s="147">
        <v>13</v>
      </c>
      <c r="I20">
        <v>18</v>
      </c>
      <c r="J20" s="91">
        <f>'Combined R1-R3'!K23</f>
        <v>3</v>
      </c>
      <c r="K20" s="91">
        <f t="shared" si="5"/>
        <v>9</v>
      </c>
      <c r="L20" s="82" t="str">
        <f t="shared" si="6"/>
        <v>Ambivalent</v>
      </c>
      <c r="M20" s="131" t="str">
        <f t="shared" si="7"/>
        <v>Ambivalent</v>
      </c>
      <c r="N20" s="83"/>
      <c r="O20" s="154">
        <v>0.01</v>
      </c>
      <c r="P20">
        <v>18</v>
      </c>
      <c r="Q20" s="91">
        <f>'Combined R1-R3'!O23</f>
        <v>8</v>
      </c>
      <c r="R20" s="91">
        <f t="shared" si="8"/>
        <v>9</v>
      </c>
      <c r="S20" s="82" t="str">
        <f t="shared" si="9"/>
        <v>Ambivalent</v>
      </c>
      <c r="T20" s="131" t="str">
        <f t="shared" si="10"/>
        <v>Approach</v>
      </c>
      <c r="U20" s="83"/>
      <c r="V20" s="83"/>
      <c r="W20" s="83"/>
      <c r="Y20">
        <f>ResponseTimes!E20</f>
        <v>1988</v>
      </c>
      <c r="Z20">
        <f>ResponseTimes!N20</f>
        <v>3783</v>
      </c>
      <c r="AA20">
        <f>ResponseTimes!W20</f>
        <v>1715</v>
      </c>
      <c r="AC20" t="str">
        <f t="shared" si="11"/>
        <v>Ambivalent</v>
      </c>
      <c r="AD20" t="str">
        <f t="shared" si="0"/>
        <v>Ambivalent</v>
      </c>
      <c r="AE20" t="str">
        <f t="shared" si="1"/>
        <v>Ambivalent</v>
      </c>
      <c r="AG20" s="16" t="str">
        <f t="shared" si="12"/>
        <v/>
      </c>
      <c r="AH20" t="str">
        <f t="shared" si="13"/>
        <v/>
      </c>
      <c r="AI20" s="62" t="str">
        <f t="shared" si="14"/>
        <v/>
      </c>
      <c r="AK20" s="16">
        <f t="shared" si="15"/>
        <v>2776</v>
      </c>
      <c r="AL20">
        <f t="shared" si="16"/>
        <v>2739</v>
      </c>
      <c r="AM20" s="62">
        <f t="shared" si="17"/>
        <v>1439</v>
      </c>
      <c r="AO20" s="16" t="str">
        <f t="shared" si="18"/>
        <v/>
      </c>
      <c r="AP20" t="str">
        <f t="shared" si="19"/>
        <v/>
      </c>
      <c r="AQ20" s="62" t="str">
        <f t="shared" si="20"/>
        <v/>
      </c>
      <c r="AS20" s="16" t="str">
        <f t="shared" si="21"/>
        <v/>
      </c>
      <c r="AT20" t="str">
        <f t="shared" si="22"/>
        <v/>
      </c>
      <c r="AU20" s="62" t="str">
        <f t="shared" si="23"/>
        <v/>
      </c>
      <c r="AW20" s="16">
        <f t="shared" si="24"/>
        <v>2776</v>
      </c>
      <c r="AX20">
        <f t="shared" si="25"/>
        <v>2739</v>
      </c>
      <c r="AY20" s="62">
        <f t="shared" si="26"/>
        <v>1439</v>
      </c>
      <c r="BA20" s="16" t="str">
        <f t="shared" si="27"/>
        <v/>
      </c>
      <c r="BB20" t="str">
        <f t="shared" si="28"/>
        <v/>
      </c>
      <c r="BC20" s="62" t="str">
        <f t="shared" si="29"/>
        <v/>
      </c>
    </row>
    <row r="21" spans="1:55" x14ac:dyDescent="0.2">
      <c r="A21" s="159">
        <v>60</v>
      </c>
      <c r="B21">
        <v>19</v>
      </c>
      <c r="C21" s="91">
        <f>'Combined R1-R3'!G24</f>
        <v>0</v>
      </c>
      <c r="D21" s="91">
        <f t="shared" si="2"/>
        <v>9</v>
      </c>
      <c r="E21" s="82" t="str">
        <f t="shared" si="3"/>
        <v>Avoid</v>
      </c>
      <c r="F21" s="131" t="str">
        <f t="shared" si="4"/>
        <v>Avoid</v>
      </c>
      <c r="G21" s="83"/>
      <c r="H21" s="148">
        <v>70</v>
      </c>
      <c r="I21">
        <v>19</v>
      </c>
      <c r="J21" s="91">
        <f>'Combined R1-R3'!K24</f>
        <v>0</v>
      </c>
      <c r="K21" s="91">
        <f t="shared" si="5"/>
        <v>9</v>
      </c>
      <c r="L21" s="82" t="str">
        <f t="shared" si="6"/>
        <v>Avoid</v>
      </c>
      <c r="M21" s="131" t="str">
        <f t="shared" si="7"/>
        <v>Avoid</v>
      </c>
      <c r="N21" s="83"/>
      <c r="O21" s="154">
        <v>0.02</v>
      </c>
      <c r="P21">
        <v>19</v>
      </c>
      <c r="Q21" s="91">
        <f>'Combined R1-R3'!O24</f>
        <v>8</v>
      </c>
      <c r="R21" s="91">
        <f t="shared" si="8"/>
        <v>9</v>
      </c>
      <c r="S21" s="82" t="str">
        <f t="shared" si="9"/>
        <v>Ambivalent</v>
      </c>
      <c r="T21" s="131" t="str">
        <f t="shared" si="10"/>
        <v>Approach</v>
      </c>
      <c r="U21" s="83"/>
      <c r="V21" s="83"/>
      <c r="W21" s="83"/>
      <c r="Y21">
        <f>ResponseTimes!E21</f>
        <v>2753</v>
      </c>
      <c r="Z21">
        <f>ResponseTimes!N21</f>
        <v>2436</v>
      </c>
      <c r="AA21">
        <f>ResponseTimes!W21</f>
        <v>1800</v>
      </c>
      <c r="AC21" t="str">
        <f t="shared" si="11"/>
        <v>Avoid</v>
      </c>
      <c r="AD21" t="str">
        <f t="shared" si="0"/>
        <v>Avoid</v>
      </c>
      <c r="AE21" t="str">
        <f t="shared" si="1"/>
        <v>Ambivalent</v>
      </c>
      <c r="AG21" s="16" t="str">
        <f t="shared" si="12"/>
        <v/>
      </c>
      <c r="AH21" t="str">
        <f t="shared" si="13"/>
        <v/>
      </c>
      <c r="AI21" s="62" t="str">
        <f t="shared" si="14"/>
        <v/>
      </c>
      <c r="AK21" s="16">
        <f t="shared" si="15"/>
        <v>1741</v>
      </c>
      <c r="AL21">
        <f t="shared" si="16"/>
        <v>1696</v>
      </c>
      <c r="AM21" s="62">
        <f t="shared" si="17"/>
        <v>2203</v>
      </c>
      <c r="AO21" s="16" t="str">
        <f t="shared" si="18"/>
        <v/>
      </c>
      <c r="AP21" t="str">
        <f t="shared" si="19"/>
        <v/>
      </c>
      <c r="AQ21" s="62" t="str">
        <f t="shared" si="20"/>
        <v/>
      </c>
      <c r="AS21" s="16">
        <f t="shared" si="21"/>
        <v>1741</v>
      </c>
      <c r="AT21">
        <f t="shared" si="22"/>
        <v>1696</v>
      </c>
      <c r="AU21" s="62">
        <f t="shared" si="23"/>
        <v>2203</v>
      </c>
      <c r="AW21" s="16" t="str">
        <f t="shared" si="24"/>
        <v/>
      </c>
      <c r="AX21" t="str">
        <f t="shared" si="25"/>
        <v/>
      </c>
      <c r="AY21" s="62" t="str">
        <f t="shared" si="26"/>
        <v/>
      </c>
      <c r="BA21" s="16" t="str">
        <f t="shared" si="27"/>
        <v/>
      </c>
      <c r="BB21" t="str">
        <f t="shared" si="28"/>
        <v/>
      </c>
      <c r="BC21" s="62" t="str">
        <f t="shared" si="29"/>
        <v/>
      </c>
    </row>
    <row r="22" spans="1:55" x14ac:dyDescent="0.2">
      <c r="A22" s="147">
        <v>7</v>
      </c>
      <c r="B22">
        <v>20</v>
      </c>
      <c r="C22" s="91">
        <f>'Combined R1-R3'!G25</f>
        <v>5</v>
      </c>
      <c r="D22" s="91">
        <f t="shared" si="2"/>
        <v>9</v>
      </c>
      <c r="E22" s="82" t="str">
        <f t="shared" si="3"/>
        <v>Ambivalent</v>
      </c>
      <c r="F22" s="131" t="str">
        <f t="shared" si="4"/>
        <v>Ambivalent</v>
      </c>
      <c r="G22" s="83"/>
      <c r="H22" s="147">
        <v>11</v>
      </c>
      <c r="I22">
        <v>20</v>
      </c>
      <c r="J22" s="91">
        <f>'Combined R1-R3'!K25</f>
        <v>4</v>
      </c>
      <c r="K22" s="91">
        <f t="shared" si="5"/>
        <v>9</v>
      </c>
      <c r="L22" s="82" t="str">
        <f t="shared" si="6"/>
        <v>Ambivalent</v>
      </c>
      <c r="M22" s="131" t="str">
        <f t="shared" si="7"/>
        <v>Ambivalent</v>
      </c>
      <c r="N22" s="83"/>
      <c r="O22" s="152">
        <v>15</v>
      </c>
      <c r="P22">
        <v>20</v>
      </c>
      <c r="Q22" s="91">
        <f>'Combined R1-R3'!O25</f>
        <v>3</v>
      </c>
      <c r="R22" s="91">
        <f t="shared" si="8"/>
        <v>9</v>
      </c>
      <c r="S22" s="82" t="str">
        <f t="shared" si="9"/>
        <v>Ambivalent</v>
      </c>
      <c r="T22" s="131" t="str">
        <f t="shared" si="10"/>
        <v>Ambivalent</v>
      </c>
      <c r="U22" s="83"/>
      <c r="V22" s="83"/>
      <c r="W22" s="83"/>
      <c r="Y22">
        <f>ResponseTimes!E22</f>
        <v>2469</v>
      </c>
      <c r="Z22">
        <f>ResponseTimes!N22</f>
        <v>1144</v>
      </c>
      <c r="AA22">
        <f>ResponseTimes!W22</f>
        <v>2700</v>
      </c>
      <c r="AC22" t="str">
        <f t="shared" si="11"/>
        <v>Ambivalent</v>
      </c>
      <c r="AD22" t="str">
        <f t="shared" si="0"/>
        <v>Ambivalent</v>
      </c>
      <c r="AE22" t="str">
        <f t="shared" si="1"/>
        <v>Ambivalent</v>
      </c>
      <c r="AG22" s="16" t="str">
        <f t="shared" si="12"/>
        <v/>
      </c>
      <c r="AH22" t="str">
        <f t="shared" si="13"/>
        <v/>
      </c>
      <c r="AI22" s="62" t="str">
        <f t="shared" si="14"/>
        <v/>
      </c>
      <c r="AK22" s="16">
        <f t="shared" si="15"/>
        <v>1988</v>
      </c>
      <c r="AL22">
        <f t="shared" si="16"/>
        <v>3783</v>
      </c>
      <c r="AM22" s="62">
        <f t="shared" si="17"/>
        <v>1715</v>
      </c>
      <c r="AO22" s="16" t="str">
        <f t="shared" si="18"/>
        <v/>
      </c>
      <c r="AP22" t="str">
        <f t="shared" si="19"/>
        <v/>
      </c>
      <c r="AQ22" s="62" t="str">
        <f t="shared" si="20"/>
        <v/>
      </c>
      <c r="AS22" s="16" t="str">
        <f t="shared" si="21"/>
        <v/>
      </c>
      <c r="AT22" t="str">
        <f t="shared" si="22"/>
        <v/>
      </c>
      <c r="AU22" s="62">
        <f t="shared" si="23"/>
        <v>1715</v>
      </c>
      <c r="AW22" s="16">
        <f t="shared" si="24"/>
        <v>1988</v>
      </c>
      <c r="AX22">
        <f t="shared" si="25"/>
        <v>3783</v>
      </c>
      <c r="AY22" s="62" t="str">
        <f t="shared" si="26"/>
        <v/>
      </c>
      <c r="BA22" s="16" t="str">
        <f t="shared" si="27"/>
        <v/>
      </c>
      <c r="BB22" t="str">
        <f t="shared" si="28"/>
        <v/>
      </c>
      <c r="BC22" s="62" t="str">
        <f t="shared" si="29"/>
        <v/>
      </c>
    </row>
    <row r="23" spans="1:55" x14ac:dyDescent="0.2">
      <c r="A23" s="160">
        <v>40</v>
      </c>
      <c r="B23">
        <v>21</v>
      </c>
      <c r="C23" s="91">
        <f>'Combined R1-R3'!G26</f>
        <v>0</v>
      </c>
      <c r="D23" s="91">
        <f t="shared" si="2"/>
        <v>9</v>
      </c>
      <c r="E23" s="82" t="str">
        <f t="shared" si="3"/>
        <v>Avoid</v>
      </c>
      <c r="F23" s="131" t="str">
        <f t="shared" si="4"/>
        <v>Avoid</v>
      </c>
      <c r="G23" s="83"/>
      <c r="H23" s="148">
        <v>30</v>
      </c>
      <c r="I23">
        <v>21</v>
      </c>
      <c r="J23" s="91">
        <f>'Combined R1-R3'!K26</f>
        <v>0</v>
      </c>
      <c r="K23" s="91">
        <f t="shared" si="5"/>
        <v>9</v>
      </c>
      <c r="L23" s="82" t="str">
        <f t="shared" si="6"/>
        <v>Avoid</v>
      </c>
      <c r="M23" s="131" t="str">
        <f t="shared" si="7"/>
        <v>Avoid</v>
      </c>
      <c r="N23" s="83"/>
      <c r="O23" s="154">
        <v>0.03</v>
      </c>
      <c r="P23">
        <v>21</v>
      </c>
      <c r="Q23" s="91">
        <f>'Combined R1-R3'!O26</f>
        <v>8</v>
      </c>
      <c r="R23" s="91">
        <f t="shared" si="8"/>
        <v>9</v>
      </c>
      <c r="S23" s="82" t="str">
        <f t="shared" si="9"/>
        <v>Ambivalent</v>
      </c>
      <c r="T23" s="131" t="str">
        <f t="shared" si="10"/>
        <v>Approach</v>
      </c>
      <c r="U23" s="83"/>
      <c r="V23" s="83"/>
      <c r="W23" s="83"/>
      <c r="Y23">
        <f>ResponseTimes!E23</f>
        <v>2418</v>
      </c>
      <c r="Z23">
        <f>ResponseTimes!N23</f>
        <v>2109</v>
      </c>
      <c r="AA23">
        <f>ResponseTimes!W23</f>
        <v>1792</v>
      </c>
      <c r="AC23" t="str">
        <f t="shared" si="11"/>
        <v>Avoid</v>
      </c>
      <c r="AD23" t="str">
        <f t="shared" si="0"/>
        <v>Avoid</v>
      </c>
      <c r="AE23" t="str">
        <f t="shared" si="1"/>
        <v>Ambivalent</v>
      </c>
      <c r="AG23" s="16" t="str">
        <f t="shared" si="12"/>
        <v/>
      </c>
      <c r="AH23" t="str">
        <f t="shared" si="13"/>
        <v/>
      </c>
      <c r="AI23" s="62" t="str">
        <f t="shared" si="14"/>
        <v/>
      </c>
      <c r="AK23" s="16" t="str">
        <f t="shared" si="15"/>
        <v/>
      </c>
      <c r="AL23" t="str">
        <f t="shared" si="16"/>
        <v/>
      </c>
      <c r="AM23" s="62">
        <f t="shared" si="17"/>
        <v>1800</v>
      </c>
      <c r="AO23" s="16">
        <f t="shared" si="18"/>
        <v>2753</v>
      </c>
      <c r="AP23">
        <f t="shared" si="19"/>
        <v>2436</v>
      </c>
      <c r="AQ23" s="62" t="str">
        <f t="shared" si="20"/>
        <v/>
      </c>
      <c r="AS23" s="16" t="str">
        <f t="shared" si="21"/>
        <v/>
      </c>
      <c r="AT23" t="str">
        <f t="shared" si="22"/>
        <v/>
      </c>
      <c r="AU23" s="62">
        <f t="shared" si="23"/>
        <v>1800</v>
      </c>
      <c r="AW23" s="16" t="str">
        <f t="shared" si="24"/>
        <v/>
      </c>
      <c r="AX23" t="str">
        <f t="shared" si="25"/>
        <v/>
      </c>
      <c r="AY23" s="62" t="str">
        <f t="shared" si="26"/>
        <v/>
      </c>
      <c r="BA23" s="16">
        <f t="shared" si="27"/>
        <v>2753</v>
      </c>
      <c r="BB23">
        <f t="shared" si="28"/>
        <v>2436</v>
      </c>
      <c r="BC23" s="62" t="str">
        <f t="shared" si="29"/>
        <v/>
      </c>
    </row>
    <row r="24" spans="1:55" x14ac:dyDescent="0.2">
      <c r="A24" s="147">
        <v>7</v>
      </c>
      <c r="B24">
        <v>22</v>
      </c>
      <c r="C24" s="91">
        <f>'Combined R1-R3'!G27</f>
        <v>5</v>
      </c>
      <c r="D24" s="91">
        <f t="shared" si="2"/>
        <v>9</v>
      </c>
      <c r="E24" s="82" t="str">
        <f t="shared" si="3"/>
        <v>Ambivalent</v>
      </c>
      <c r="F24" s="131" t="str">
        <f t="shared" si="4"/>
        <v>Ambivalent</v>
      </c>
      <c r="G24" s="83"/>
      <c r="H24" s="147">
        <v>9</v>
      </c>
      <c r="I24">
        <v>22</v>
      </c>
      <c r="J24" s="91">
        <f>'Combined R1-R3'!K27</f>
        <v>4</v>
      </c>
      <c r="K24" s="91">
        <f t="shared" si="5"/>
        <v>9</v>
      </c>
      <c r="L24" s="82" t="str">
        <f t="shared" si="6"/>
        <v>Ambivalent</v>
      </c>
      <c r="M24" s="131" t="str">
        <f t="shared" si="7"/>
        <v>Ambivalent</v>
      </c>
      <c r="N24" s="83"/>
      <c r="O24" s="152">
        <v>9</v>
      </c>
      <c r="P24">
        <v>22</v>
      </c>
      <c r="Q24" s="91">
        <f>'Combined R1-R3'!O27</f>
        <v>5</v>
      </c>
      <c r="R24" s="91">
        <f t="shared" si="8"/>
        <v>9</v>
      </c>
      <c r="S24" s="82" t="str">
        <f t="shared" si="9"/>
        <v>Ambivalent</v>
      </c>
      <c r="T24" s="131" t="str">
        <f t="shared" si="10"/>
        <v>Ambivalent</v>
      </c>
      <c r="U24" s="83"/>
      <c r="V24" s="83"/>
      <c r="W24" s="83"/>
      <c r="Y24">
        <f>ResponseTimes!E24</f>
        <v>1431</v>
      </c>
      <c r="Z24">
        <f>ResponseTimes!N24</f>
        <v>1850</v>
      </c>
      <c r="AA24">
        <f>ResponseTimes!W24</f>
        <v>3494</v>
      </c>
      <c r="AC24" t="str">
        <f t="shared" si="11"/>
        <v>Ambivalent</v>
      </c>
      <c r="AD24" t="str">
        <f t="shared" si="0"/>
        <v>Ambivalent</v>
      </c>
      <c r="AE24" t="str">
        <f t="shared" si="1"/>
        <v>Ambivalent</v>
      </c>
      <c r="AG24" s="16" t="str">
        <f t="shared" si="12"/>
        <v/>
      </c>
      <c r="AH24" t="str">
        <f t="shared" si="13"/>
        <v/>
      </c>
      <c r="AI24" s="62" t="str">
        <f t="shared" si="14"/>
        <v/>
      </c>
      <c r="AK24" s="16">
        <f t="shared" si="15"/>
        <v>2469</v>
      </c>
      <c r="AL24">
        <f t="shared" si="16"/>
        <v>1144</v>
      </c>
      <c r="AM24" s="62">
        <f t="shared" si="17"/>
        <v>2700</v>
      </c>
      <c r="AO24" s="16" t="str">
        <f t="shared" si="18"/>
        <v/>
      </c>
      <c r="AP24" t="str">
        <f t="shared" si="19"/>
        <v/>
      </c>
      <c r="AQ24" s="62" t="str">
        <f t="shared" si="20"/>
        <v/>
      </c>
      <c r="AS24" s="16" t="str">
        <f t="shared" si="21"/>
        <v/>
      </c>
      <c r="AT24" t="str">
        <f t="shared" si="22"/>
        <v/>
      </c>
      <c r="AU24" s="62" t="str">
        <f t="shared" si="23"/>
        <v/>
      </c>
      <c r="AW24" s="16">
        <f t="shared" si="24"/>
        <v>2469</v>
      </c>
      <c r="AX24">
        <f t="shared" si="25"/>
        <v>1144</v>
      </c>
      <c r="AY24" s="62">
        <f t="shared" si="26"/>
        <v>2700</v>
      </c>
      <c r="BA24" s="16" t="str">
        <f t="shared" si="27"/>
        <v/>
      </c>
      <c r="BB24" t="str">
        <f t="shared" si="28"/>
        <v/>
      </c>
      <c r="BC24" s="62" t="str">
        <f t="shared" si="29"/>
        <v/>
      </c>
    </row>
    <row r="25" spans="1:55" x14ac:dyDescent="0.2">
      <c r="A25" s="149">
        <v>0</v>
      </c>
      <c r="B25">
        <v>23</v>
      </c>
      <c r="C25" s="91">
        <f>'Combined R1-R3'!G28</f>
        <v>9</v>
      </c>
      <c r="D25" s="91">
        <f t="shared" si="2"/>
        <v>9</v>
      </c>
      <c r="E25" s="82" t="str">
        <f t="shared" si="3"/>
        <v>Approach</v>
      </c>
      <c r="F25" s="131" t="str">
        <f t="shared" si="4"/>
        <v>Approach</v>
      </c>
      <c r="G25" s="83"/>
      <c r="H25" s="149">
        <v>0</v>
      </c>
      <c r="I25">
        <v>23</v>
      </c>
      <c r="J25" s="91">
        <f>'Combined R1-R3'!K28</f>
        <v>9</v>
      </c>
      <c r="K25" s="91">
        <f t="shared" si="5"/>
        <v>9</v>
      </c>
      <c r="L25" s="82" t="str">
        <f t="shared" si="6"/>
        <v>Approach</v>
      </c>
      <c r="M25" s="131" t="str">
        <f t="shared" si="7"/>
        <v>Approach</v>
      </c>
      <c r="N25" s="83"/>
      <c r="O25" s="154">
        <v>0.04</v>
      </c>
      <c r="P25">
        <v>23</v>
      </c>
      <c r="Q25" s="91">
        <f>'Combined R1-R3'!O28</f>
        <v>8</v>
      </c>
      <c r="R25" s="91">
        <f t="shared" si="8"/>
        <v>9</v>
      </c>
      <c r="S25" s="82" t="str">
        <f t="shared" si="9"/>
        <v>Ambivalent</v>
      </c>
      <c r="T25" s="131" t="str">
        <f t="shared" si="10"/>
        <v>Approach</v>
      </c>
      <c r="U25" s="83"/>
      <c r="V25" s="83"/>
      <c r="W25" s="83"/>
      <c r="Y25">
        <f>ResponseTimes!E25</f>
        <v>2686</v>
      </c>
      <c r="Z25">
        <f>ResponseTimes!N25</f>
        <v>1993</v>
      </c>
      <c r="AA25">
        <f>ResponseTimes!W25</f>
        <v>1533</v>
      </c>
      <c r="AC25" t="str">
        <f t="shared" si="11"/>
        <v>Approach</v>
      </c>
      <c r="AD25" t="str">
        <f t="shared" si="0"/>
        <v>Approach</v>
      </c>
      <c r="AE25" t="str">
        <f t="shared" si="1"/>
        <v>Ambivalent</v>
      </c>
      <c r="AG25" s="16" t="str">
        <f t="shared" si="12"/>
        <v/>
      </c>
      <c r="AH25" t="str">
        <f t="shared" si="13"/>
        <v/>
      </c>
      <c r="AI25" s="62" t="str">
        <f t="shared" si="14"/>
        <v/>
      </c>
      <c r="AK25" s="16" t="str">
        <f t="shared" si="15"/>
        <v/>
      </c>
      <c r="AL25" t="str">
        <f t="shared" si="16"/>
        <v/>
      </c>
      <c r="AM25" s="62">
        <f t="shared" si="17"/>
        <v>1792</v>
      </c>
      <c r="AO25" s="16">
        <f t="shared" si="18"/>
        <v>2418</v>
      </c>
      <c r="AP25">
        <f t="shared" si="19"/>
        <v>2109</v>
      </c>
      <c r="AQ25" s="62" t="str">
        <f t="shared" si="20"/>
        <v/>
      </c>
      <c r="AS25" s="16" t="str">
        <f t="shared" si="21"/>
        <v/>
      </c>
      <c r="AT25" t="str">
        <f t="shared" si="22"/>
        <v/>
      </c>
      <c r="AU25" s="62">
        <f t="shared" si="23"/>
        <v>1792</v>
      </c>
      <c r="AW25" s="16" t="str">
        <f t="shared" si="24"/>
        <v/>
      </c>
      <c r="AX25" t="str">
        <f t="shared" si="25"/>
        <v/>
      </c>
      <c r="AY25" s="62" t="str">
        <f t="shared" si="26"/>
        <v/>
      </c>
      <c r="BA25" s="16">
        <f t="shared" si="27"/>
        <v>2418</v>
      </c>
      <c r="BB25">
        <f t="shared" si="28"/>
        <v>2109</v>
      </c>
      <c r="BC25" s="62" t="str">
        <f t="shared" si="29"/>
        <v/>
      </c>
    </row>
    <row r="26" spans="1:55" x14ac:dyDescent="0.2">
      <c r="A26" s="147">
        <v>11</v>
      </c>
      <c r="B26">
        <v>24</v>
      </c>
      <c r="C26" s="91">
        <f>'Combined R1-R3'!G29</f>
        <v>3</v>
      </c>
      <c r="D26" s="91">
        <f t="shared" si="2"/>
        <v>9</v>
      </c>
      <c r="E26" s="82" t="str">
        <f t="shared" si="3"/>
        <v>Ambivalent</v>
      </c>
      <c r="F26" s="131" t="str">
        <f t="shared" si="4"/>
        <v>Ambivalent</v>
      </c>
      <c r="G26" s="83"/>
      <c r="H26" s="147">
        <v>11</v>
      </c>
      <c r="I26">
        <v>24</v>
      </c>
      <c r="J26" s="91">
        <f>'Combined R1-R3'!K29</f>
        <v>4</v>
      </c>
      <c r="K26" s="91">
        <f t="shared" si="5"/>
        <v>9</v>
      </c>
      <c r="L26" s="82" t="str">
        <f t="shared" si="6"/>
        <v>Ambivalent</v>
      </c>
      <c r="M26" s="131" t="str">
        <f t="shared" si="7"/>
        <v>Ambivalent</v>
      </c>
      <c r="N26" s="83"/>
      <c r="O26" s="152">
        <v>13</v>
      </c>
      <c r="P26">
        <v>24</v>
      </c>
      <c r="Q26" s="91">
        <f>'Combined R1-R3'!O29</f>
        <v>4</v>
      </c>
      <c r="R26" s="91">
        <f t="shared" si="8"/>
        <v>9</v>
      </c>
      <c r="S26" s="82" t="str">
        <f t="shared" si="9"/>
        <v>Ambivalent</v>
      </c>
      <c r="T26" s="131" t="str">
        <f t="shared" si="10"/>
        <v>Ambivalent</v>
      </c>
      <c r="U26" s="83"/>
      <c r="V26" s="83"/>
      <c r="W26" s="83"/>
      <c r="Y26">
        <f>ResponseTimes!E26</f>
        <v>1906</v>
      </c>
      <c r="Z26">
        <f>ResponseTimes!N26</f>
        <v>1357</v>
      </c>
      <c r="AA26">
        <f>ResponseTimes!W26</f>
        <v>2440</v>
      </c>
      <c r="AC26" t="str">
        <f t="shared" si="11"/>
        <v>Ambivalent</v>
      </c>
      <c r="AD26" t="str">
        <f t="shared" si="0"/>
        <v>Ambivalent</v>
      </c>
      <c r="AE26" t="str">
        <f t="shared" si="1"/>
        <v>Ambivalent</v>
      </c>
      <c r="AG26" s="16" t="str">
        <f t="shared" si="12"/>
        <v/>
      </c>
      <c r="AH26" t="str">
        <f t="shared" si="13"/>
        <v/>
      </c>
      <c r="AI26" s="62" t="str">
        <f t="shared" si="14"/>
        <v/>
      </c>
      <c r="AK26" s="16">
        <f t="shared" si="15"/>
        <v>1431</v>
      </c>
      <c r="AL26">
        <f t="shared" si="16"/>
        <v>1850</v>
      </c>
      <c r="AM26" s="62">
        <f t="shared" si="17"/>
        <v>3494</v>
      </c>
      <c r="AO26" s="16" t="str">
        <f t="shared" si="18"/>
        <v/>
      </c>
      <c r="AP26" t="str">
        <f t="shared" si="19"/>
        <v/>
      </c>
      <c r="AQ26" s="62" t="str">
        <f t="shared" si="20"/>
        <v/>
      </c>
      <c r="AS26" s="16" t="str">
        <f t="shared" si="21"/>
        <v/>
      </c>
      <c r="AT26" t="str">
        <f t="shared" si="22"/>
        <v/>
      </c>
      <c r="AU26" s="62" t="str">
        <f t="shared" si="23"/>
        <v/>
      </c>
      <c r="AW26" s="16">
        <f t="shared" si="24"/>
        <v>1431</v>
      </c>
      <c r="AX26">
        <f t="shared" si="25"/>
        <v>1850</v>
      </c>
      <c r="AY26" s="62">
        <f t="shared" si="26"/>
        <v>3494</v>
      </c>
      <c r="BA26" s="16" t="str">
        <f t="shared" si="27"/>
        <v/>
      </c>
      <c r="BB26" t="str">
        <f t="shared" si="28"/>
        <v/>
      </c>
      <c r="BC26" s="62" t="str">
        <f t="shared" si="29"/>
        <v/>
      </c>
    </row>
    <row r="27" spans="1:55" x14ac:dyDescent="0.2">
      <c r="A27" s="159">
        <v>30</v>
      </c>
      <c r="B27">
        <v>25</v>
      </c>
      <c r="C27" s="91">
        <f>'Combined R1-R3'!G30</f>
        <v>0</v>
      </c>
      <c r="D27" s="91">
        <f t="shared" si="2"/>
        <v>9</v>
      </c>
      <c r="E27" s="82" t="str">
        <f t="shared" si="3"/>
        <v>Avoid</v>
      </c>
      <c r="F27" s="131" t="str">
        <f t="shared" si="4"/>
        <v>Avoid</v>
      </c>
      <c r="G27" s="83"/>
      <c r="H27" s="148">
        <v>80</v>
      </c>
      <c r="I27">
        <v>25</v>
      </c>
      <c r="J27" s="91">
        <f>'Combined R1-R3'!K30</f>
        <v>0</v>
      </c>
      <c r="K27" s="91">
        <f t="shared" si="5"/>
        <v>9</v>
      </c>
      <c r="L27" s="82" t="str">
        <f t="shared" si="6"/>
        <v>Avoid</v>
      </c>
      <c r="M27" s="131" t="str">
        <f t="shared" si="7"/>
        <v>Avoid</v>
      </c>
      <c r="N27" s="83"/>
      <c r="O27" s="154">
        <v>0.01</v>
      </c>
      <c r="P27">
        <v>25</v>
      </c>
      <c r="Q27" s="91">
        <f>'Combined R1-R3'!O30</f>
        <v>8</v>
      </c>
      <c r="R27" s="91">
        <f t="shared" si="8"/>
        <v>9</v>
      </c>
      <c r="S27" s="82" t="str">
        <f t="shared" si="9"/>
        <v>Ambivalent</v>
      </c>
      <c r="T27" s="131" t="str">
        <f t="shared" si="10"/>
        <v>Approach</v>
      </c>
      <c r="U27" s="83"/>
      <c r="V27" s="83"/>
      <c r="W27" s="83"/>
      <c r="Y27">
        <f>ResponseTimes!E27</f>
        <v>2871</v>
      </c>
      <c r="Z27">
        <f>ResponseTimes!N27</f>
        <v>2083</v>
      </c>
      <c r="AA27">
        <f>ResponseTimes!W27</f>
        <v>1718</v>
      </c>
      <c r="AC27" t="str">
        <f t="shared" si="11"/>
        <v>Avoid</v>
      </c>
      <c r="AD27" t="str">
        <f t="shared" si="0"/>
        <v>Avoid</v>
      </c>
      <c r="AE27" t="str">
        <f t="shared" si="1"/>
        <v>Ambivalent</v>
      </c>
      <c r="AG27" s="16">
        <f t="shared" si="12"/>
        <v>2686</v>
      </c>
      <c r="AH27">
        <f t="shared" si="13"/>
        <v>1993</v>
      </c>
      <c r="AI27" s="62" t="str">
        <f t="shared" si="14"/>
        <v/>
      </c>
      <c r="AK27" s="16" t="str">
        <f t="shared" si="15"/>
        <v/>
      </c>
      <c r="AL27" t="str">
        <f t="shared" si="16"/>
        <v/>
      </c>
      <c r="AM27" s="62">
        <f t="shared" si="17"/>
        <v>1533</v>
      </c>
      <c r="AO27" s="16" t="str">
        <f t="shared" si="18"/>
        <v/>
      </c>
      <c r="AP27" t="str">
        <f t="shared" si="19"/>
        <v/>
      </c>
      <c r="AQ27" s="62" t="str">
        <f t="shared" si="20"/>
        <v/>
      </c>
      <c r="AS27" s="16">
        <f t="shared" si="21"/>
        <v>2686</v>
      </c>
      <c r="AT27">
        <f t="shared" si="22"/>
        <v>1993</v>
      </c>
      <c r="AU27" s="62">
        <f t="shared" si="23"/>
        <v>1533</v>
      </c>
      <c r="AW27" s="16" t="str">
        <f t="shared" si="24"/>
        <v/>
      </c>
      <c r="AX27" t="str">
        <f t="shared" si="25"/>
        <v/>
      </c>
      <c r="AY27" s="62" t="str">
        <f t="shared" si="26"/>
        <v/>
      </c>
      <c r="BA27" s="16" t="str">
        <f t="shared" si="27"/>
        <v/>
      </c>
      <c r="BB27" t="str">
        <f t="shared" si="28"/>
        <v/>
      </c>
      <c r="BC27" s="62" t="str">
        <f t="shared" si="29"/>
        <v/>
      </c>
    </row>
    <row r="28" spans="1:55" x14ac:dyDescent="0.2">
      <c r="A28" s="149">
        <v>0.03</v>
      </c>
      <c r="B28">
        <v>26</v>
      </c>
      <c r="C28" s="91">
        <f>'Combined R1-R3'!G31</f>
        <v>8</v>
      </c>
      <c r="D28" s="91">
        <f t="shared" si="2"/>
        <v>9</v>
      </c>
      <c r="E28" s="82" t="str">
        <f t="shared" si="3"/>
        <v>Ambivalent</v>
      </c>
      <c r="F28" s="131" t="str">
        <f t="shared" si="4"/>
        <v>Approach</v>
      </c>
      <c r="G28" s="83"/>
      <c r="H28" s="149">
        <v>0.03</v>
      </c>
      <c r="I28">
        <v>26</v>
      </c>
      <c r="J28" s="91">
        <f>'Combined R1-R3'!K31</f>
        <v>8</v>
      </c>
      <c r="K28" s="91">
        <f t="shared" si="5"/>
        <v>9</v>
      </c>
      <c r="L28" s="82" t="str">
        <f t="shared" si="6"/>
        <v>Ambivalent</v>
      </c>
      <c r="M28" s="131" t="str">
        <f t="shared" si="7"/>
        <v>Approach</v>
      </c>
      <c r="N28" s="83"/>
      <c r="O28" s="154">
        <v>0.02</v>
      </c>
      <c r="P28">
        <v>26</v>
      </c>
      <c r="Q28" s="91">
        <f>'Combined R1-R3'!O31</f>
        <v>8</v>
      </c>
      <c r="R28" s="91">
        <f t="shared" si="8"/>
        <v>9</v>
      </c>
      <c r="S28" s="82" t="str">
        <f t="shared" si="9"/>
        <v>Ambivalent</v>
      </c>
      <c r="T28" s="131" t="str">
        <f t="shared" si="10"/>
        <v>Approach</v>
      </c>
      <c r="U28" s="83"/>
      <c r="V28" s="83"/>
      <c r="W28" s="83"/>
      <c r="Y28">
        <f>ResponseTimes!E28</f>
        <v>2284</v>
      </c>
      <c r="Z28">
        <f>ResponseTimes!N28</f>
        <v>1966</v>
      </c>
      <c r="AA28">
        <f>ResponseTimes!W28</f>
        <v>1738</v>
      </c>
      <c r="AC28" t="str">
        <f t="shared" si="11"/>
        <v>Ambivalent</v>
      </c>
      <c r="AD28" t="str">
        <f t="shared" si="0"/>
        <v>Ambivalent</v>
      </c>
      <c r="AE28" t="str">
        <f t="shared" si="1"/>
        <v>Ambivalent</v>
      </c>
      <c r="AG28" s="16" t="str">
        <f t="shared" si="12"/>
        <v/>
      </c>
      <c r="AH28" t="str">
        <f t="shared" si="13"/>
        <v/>
      </c>
      <c r="AI28" s="62" t="str">
        <f t="shared" si="14"/>
        <v/>
      </c>
      <c r="AK28" s="16">
        <f t="shared" si="15"/>
        <v>1906</v>
      </c>
      <c r="AL28">
        <f t="shared" si="16"/>
        <v>1357</v>
      </c>
      <c r="AM28" s="62">
        <f t="shared" si="17"/>
        <v>2440</v>
      </c>
      <c r="AO28" s="16" t="str">
        <f t="shared" si="18"/>
        <v/>
      </c>
      <c r="AP28" t="str">
        <f t="shared" si="19"/>
        <v/>
      </c>
      <c r="AQ28" s="62" t="str">
        <f t="shared" si="20"/>
        <v/>
      </c>
      <c r="AS28" s="16" t="str">
        <f t="shared" si="21"/>
        <v/>
      </c>
      <c r="AT28" t="str">
        <f t="shared" si="22"/>
        <v/>
      </c>
      <c r="AU28" s="62" t="str">
        <f t="shared" si="23"/>
        <v/>
      </c>
      <c r="AW28" s="16">
        <f>IF(AC59="Ambivalent",Y59,"")</f>
        <v>1906</v>
      </c>
      <c r="AX28">
        <f t="shared" si="25"/>
        <v>1357</v>
      </c>
      <c r="AY28" s="62">
        <f t="shared" si="26"/>
        <v>2440</v>
      </c>
      <c r="BA28" s="16" t="str">
        <f t="shared" si="27"/>
        <v/>
      </c>
      <c r="BB28" t="str">
        <f t="shared" si="28"/>
        <v/>
      </c>
      <c r="BC28" s="62" t="str">
        <f t="shared" si="29"/>
        <v/>
      </c>
    </row>
    <row r="29" spans="1:55" x14ac:dyDescent="0.2">
      <c r="A29" s="159">
        <v>60</v>
      </c>
      <c r="B29">
        <v>27</v>
      </c>
      <c r="C29" s="91">
        <f>'Combined R1-R3'!G32</f>
        <v>0</v>
      </c>
      <c r="D29" s="91">
        <f t="shared" si="2"/>
        <v>9</v>
      </c>
      <c r="E29" s="82" t="str">
        <f t="shared" si="3"/>
        <v>Avoid</v>
      </c>
      <c r="F29" s="131" t="str">
        <f t="shared" si="4"/>
        <v>Avoid</v>
      </c>
      <c r="G29" s="83"/>
      <c r="H29" s="148">
        <v>40</v>
      </c>
      <c r="I29">
        <v>27</v>
      </c>
      <c r="J29" s="91">
        <f>'Combined R1-R3'!K32</f>
        <v>0</v>
      </c>
      <c r="K29" s="91">
        <f t="shared" si="5"/>
        <v>9</v>
      </c>
      <c r="L29" s="82" t="str">
        <f t="shared" si="6"/>
        <v>Avoid</v>
      </c>
      <c r="M29" s="131" t="str">
        <f t="shared" si="7"/>
        <v>Avoid</v>
      </c>
      <c r="N29" s="83"/>
      <c r="O29" s="153">
        <v>70</v>
      </c>
      <c r="P29">
        <v>27</v>
      </c>
      <c r="Q29" s="91">
        <f>'Combined R1-R3'!O32</f>
        <v>0</v>
      </c>
      <c r="R29" s="91">
        <f t="shared" si="8"/>
        <v>9</v>
      </c>
      <c r="S29" s="82" t="str">
        <f t="shared" si="9"/>
        <v>Avoid</v>
      </c>
      <c r="T29" s="131" t="str">
        <f t="shared" si="10"/>
        <v>Avoid</v>
      </c>
      <c r="U29" s="83"/>
      <c r="V29" s="83"/>
      <c r="W29" s="83"/>
      <c r="Y29">
        <f>ResponseTimes!E29</f>
        <v>2663</v>
      </c>
      <c r="Z29">
        <f>ResponseTimes!N29</f>
        <v>2168</v>
      </c>
      <c r="AA29">
        <f>ResponseTimes!W29</f>
        <v>2261</v>
      </c>
      <c r="AC29" t="str">
        <f t="shared" si="11"/>
        <v>Avoid</v>
      </c>
      <c r="AD29" t="str">
        <f t="shared" si="0"/>
        <v>Avoid</v>
      </c>
      <c r="AE29" t="str">
        <f t="shared" si="1"/>
        <v>Avoid</v>
      </c>
      <c r="AG29" s="16" t="str">
        <f t="shared" si="12"/>
        <v/>
      </c>
      <c r="AH29" t="str">
        <f t="shared" si="13"/>
        <v/>
      </c>
      <c r="AI29" s="62" t="str">
        <f t="shared" si="14"/>
        <v/>
      </c>
      <c r="AK29" s="16" t="str">
        <f t="shared" si="15"/>
        <v/>
      </c>
      <c r="AL29" t="str">
        <f t="shared" si="16"/>
        <v/>
      </c>
      <c r="AM29" s="62">
        <f t="shared" si="17"/>
        <v>1718</v>
      </c>
      <c r="AO29" s="16">
        <f t="shared" si="18"/>
        <v>2871</v>
      </c>
      <c r="AP29">
        <f t="shared" si="19"/>
        <v>2083</v>
      </c>
      <c r="AQ29" s="62" t="str">
        <f t="shared" si="20"/>
        <v/>
      </c>
      <c r="AS29" s="16" t="str">
        <f t="shared" si="21"/>
        <v/>
      </c>
      <c r="AT29" t="str">
        <f t="shared" si="22"/>
        <v/>
      </c>
      <c r="AU29" s="62">
        <f t="shared" si="23"/>
        <v>1718</v>
      </c>
      <c r="AW29" s="16" t="str">
        <f t="shared" si="24"/>
        <v/>
      </c>
      <c r="AX29" t="str">
        <f t="shared" si="25"/>
        <v/>
      </c>
      <c r="AY29" s="62" t="str">
        <f>IF(AE60="ambivalent",AA60,"")</f>
        <v/>
      </c>
      <c r="BA29" s="16">
        <f t="shared" si="27"/>
        <v>2871</v>
      </c>
      <c r="BB29">
        <f t="shared" si="28"/>
        <v>2083</v>
      </c>
      <c r="BC29" s="62" t="str">
        <f t="shared" si="29"/>
        <v/>
      </c>
    </row>
    <row r="30" spans="1:55" x14ac:dyDescent="0.2">
      <c r="A30" s="149">
        <v>0.02</v>
      </c>
      <c r="B30">
        <v>28</v>
      </c>
      <c r="C30" s="91">
        <f>'Combined R1-R3'!G33</f>
        <v>8</v>
      </c>
      <c r="D30" s="91">
        <f t="shared" si="2"/>
        <v>9</v>
      </c>
      <c r="E30" s="82" t="str">
        <f t="shared" si="3"/>
        <v>Ambivalent</v>
      </c>
      <c r="F30" s="131" t="str">
        <f t="shared" si="4"/>
        <v>Approach</v>
      </c>
      <c r="G30" s="83"/>
      <c r="H30" s="149">
        <v>0.05</v>
      </c>
      <c r="I30">
        <v>28</v>
      </c>
      <c r="J30" s="91">
        <f>'Combined R1-R3'!K33</f>
        <v>8</v>
      </c>
      <c r="K30" s="91">
        <f t="shared" si="5"/>
        <v>9</v>
      </c>
      <c r="L30" s="82" t="str">
        <f t="shared" si="6"/>
        <v>Ambivalent</v>
      </c>
      <c r="M30" s="131" t="str">
        <f t="shared" si="7"/>
        <v>Approach</v>
      </c>
      <c r="N30" s="83"/>
      <c r="O30" s="154">
        <v>0.01</v>
      </c>
      <c r="P30">
        <v>28</v>
      </c>
      <c r="Q30" s="91">
        <f>'Combined R1-R3'!O33</f>
        <v>8</v>
      </c>
      <c r="R30" s="91">
        <f t="shared" si="8"/>
        <v>9</v>
      </c>
      <c r="S30" s="82" t="str">
        <f t="shared" si="9"/>
        <v>Ambivalent</v>
      </c>
      <c r="T30" s="131" t="str">
        <f t="shared" si="10"/>
        <v>Approach</v>
      </c>
      <c r="U30" s="83"/>
      <c r="V30" s="83"/>
      <c r="W30" s="83"/>
      <c r="Y30">
        <f>ResponseTimes!E30</f>
        <v>1979</v>
      </c>
      <c r="Z30">
        <f>ResponseTimes!N30</f>
        <v>1597</v>
      </c>
      <c r="AA30">
        <f>ResponseTimes!W30</f>
        <v>5296</v>
      </c>
      <c r="AC30" t="str">
        <f t="shared" si="11"/>
        <v>Ambivalent</v>
      </c>
      <c r="AD30" t="str">
        <f t="shared" si="0"/>
        <v>Ambivalent</v>
      </c>
      <c r="AE30" t="str">
        <f t="shared" si="1"/>
        <v>Ambivalent</v>
      </c>
      <c r="AG30" s="16" t="str">
        <f t="shared" si="12"/>
        <v/>
      </c>
      <c r="AH30" t="str">
        <f t="shared" si="13"/>
        <v/>
      </c>
      <c r="AI30" s="62" t="str">
        <f t="shared" si="14"/>
        <v/>
      </c>
      <c r="AK30" s="16">
        <f t="shared" si="15"/>
        <v>2284</v>
      </c>
      <c r="AL30">
        <f t="shared" si="16"/>
        <v>1966</v>
      </c>
      <c r="AM30" s="62">
        <f t="shared" si="17"/>
        <v>1738</v>
      </c>
      <c r="AO30" s="16" t="str">
        <f t="shared" si="18"/>
        <v/>
      </c>
      <c r="AP30" t="str">
        <f t="shared" si="19"/>
        <v/>
      </c>
      <c r="AQ30" s="62" t="str">
        <f t="shared" si="20"/>
        <v/>
      </c>
      <c r="AS30" s="16">
        <f t="shared" si="21"/>
        <v>2284</v>
      </c>
      <c r="AT30">
        <f t="shared" si="22"/>
        <v>1966</v>
      </c>
      <c r="AU30" s="62">
        <f t="shared" si="23"/>
        <v>1738</v>
      </c>
      <c r="AW30" s="16" t="str">
        <f t="shared" si="24"/>
        <v/>
      </c>
      <c r="AX30" t="str">
        <f t="shared" si="25"/>
        <v/>
      </c>
      <c r="AY30" s="62" t="str">
        <f t="shared" si="26"/>
        <v/>
      </c>
      <c r="BA30" s="16" t="str">
        <f t="shared" si="27"/>
        <v/>
      </c>
      <c r="BB30" t="str">
        <f t="shared" si="28"/>
        <v/>
      </c>
      <c r="BC30" s="62" t="str">
        <f t="shared" si="29"/>
        <v/>
      </c>
    </row>
    <row r="31" spans="1:55" x14ac:dyDescent="0.2">
      <c r="A31" s="159">
        <v>70</v>
      </c>
      <c r="B31">
        <v>29</v>
      </c>
      <c r="C31" s="91">
        <f>'Combined R1-R3'!G34</f>
        <v>0</v>
      </c>
      <c r="D31" s="91">
        <f t="shared" si="2"/>
        <v>9</v>
      </c>
      <c r="E31" s="82" t="str">
        <f t="shared" si="3"/>
        <v>Avoid</v>
      </c>
      <c r="F31" s="131" t="str">
        <f t="shared" si="4"/>
        <v>Avoid</v>
      </c>
      <c r="G31" s="83"/>
      <c r="H31" s="148">
        <v>60</v>
      </c>
      <c r="I31">
        <v>29</v>
      </c>
      <c r="J31" s="91">
        <f>'Combined R1-R3'!K34</f>
        <v>0</v>
      </c>
      <c r="K31" s="91">
        <f t="shared" si="5"/>
        <v>9</v>
      </c>
      <c r="L31" s="82" t="str">
        <f t="shared" si="6"/>
        <v>Avoid</v>
      </c>
      <c r="M31" s="131" t="str">
        <f t="shared" si="7"/>
        <v>Avoid</v>
      </c>
      <c r="N31" s="83"/>
      <c r="O31" s="153">
        <v>30</v>
      </c>
      <c r="P31">
        <v>29</v>
      </c>
      <c r="Q31" s="91">
        <f>'Combined R1-R3'!O34</f>
        <v>0</v>
      </c>
      <c r="R31" s="91">
        <f t="shared" si="8"/>
        <v>9</v>
      </c>
      <c r="S31" s="82" t="str">
        <f t="shared" si="9"/>
        <v>Avoid</v>
      </c>
      <c r="T31" s="131" t="str">
        <f t="shared" si="10"/>
        <v>Avoid</v>
      </c>
      <c r="U31" s="83"/>
      <c r="V31" s="83"/>
      <c r="W31" s="83"/>
      <c r="Y31">
        <f>ResponseTimes!E31</f>
        <v>2568</v>
      </c>
      <c r="Z31">
        <f>ResponseTimes!N31</f>
        <v>1922</v>
      </c>
      <c r="AA31">
        <f>ResponseTimes!W31</f>
        <v>2358</v>
      </c>
      <c r="AC31" t="str">
        <f t="shared" si="11"/>
        <v>Avoid</v>
      </c>
      <c r="AD31" t="str">
        <f t="shared" si="0"/>
        <v>Avoid</v>
      </c>
      <c r="AE31" t="str">
        <f t="shared" si="1"/>
        <v>Avoid</v>
      </c>
      <c r="AG31" s="16" t="str">
        <f t="shared" si="12"/>
        <v/>
      </c>
      <c r="AH31" t="str">
        <f t="shared" si="13"/>
        <v/>
      </c>
      <c r="AI31" s="62" t="str">
        <f t="shared" si="14"/>
        <v/>
      </c>
      <c r="AK31" s="16" t="str">
        <f t="shared" si="15"/>
        <v/>
      </c>
      <c r="AL31" t="str">
        <f t="shared" si="16"/>
        <v/>
      </c>
      <c r="AM31" s="62" t="str">
        <f t="shared" si="17"/>
        <v/>
      </c>
      <c r="AO31" s="16">
        <f t="shared" si="18"/>
        <v>2663</v>
      </c>
      <c r="AP31">
        <f t="shared" si="19"/>
        <v>2168</v>
      </c>
      <c r="AQ31" s="62">
        <f t="shared" si="20"/>
        <v>2261</v>
      </c>
      <c r="AS31" s="16" t="str">
        <f t="shared" si="21"/>
        <v/>
      </c>
      <c r="AT31" t="str">
        <f t="shared" si="22"/>
        <v/>
      </c>
      <c r="AU31" s="62" t="str">
        <f t="shared" si="23"/>
        <v/>
      </c>
      <c r="AW31" s="16" t="str">
        <f t="shared" si="24"/>
        <v/>
      </c>
      <c r="AX31" t="str">
        <f t="shared" si="25"/>
        <v/>
      </c>
      <c r="AY31" s="62" t="str">
        <f t="shared" si="26"/>
        <v/>
      </c>
      <c r="BA31" s="16">
        <f t="shared" si="27"/>
        <v>2663</v>
      </c>
      <c r="BB31">
        <f t="shared" si="28"/>
        <v>2168</v>
      </c>
      <c r="BC31" s="62">
        <f t="shared" si="29"/>
        <v>2261</v>
      </c>
    </row>
    <row r="32" spans="1:55" ht="16" thickBot="1" x14ac:dyDescent="0.25">
      <c r="A32" s="147">
        <v>15</v>
      </c>
      <c r="B32">
        <v>30</v>
      </c>
      <c r="C32" s="91">
        <f>'Combined R1-R3'!G35</f>
        <v>3</v>
      </c>
      <c r="D32" s="91">
        <f t="shared" si="2"/>
        <v>9</v>
      </c>
      <c r="E32" s="82" t="str">
        <f t="shared" si="3"/>
        <v>Ambivalent</v>
      </c>
      <c r="F32" s="131" t="str">
        <f t="shared" si="4"/>
        <v>Ambivalent</v>
      </c>
      <c r="G32" s="83"/>
      <c r="H32" s="150">
        <v>5</v>
      </c>
      <c r="I32">
        <v>30</v>
      </c>
      <c r="J32" s="91">
        <f>'Combined R1-R3'!K35</f>
        <v>7</v>
      </c>
      <c r="K32" s="91">
        <f t="shared" si="5"/>
        <v>9</v>
      </c>
      <c r="L32" s="82" t="str">
        <f t="shared" si="6"/>
        <v>Ambivalent</v>
      </c>
      <c r="M32" s="131" t="str">
        <f t="shared" si="7"/>
        <v>Ambivalent</v>
      </c>
      <c r="N32" s="83"/>
      <c r="O32" s="161">
        <v>0.05</v>
      </c>
      <c r="P32">
        <v>30</v>
      </c>
      <c r="Q32" s="91">
        <f>'Combined R1-R3'!O35</f>
        <v>8</v>
      </c>
      <c r="R32" s="91">
        <f t="shared" si="8"/>
        <v>9</v>
      </c>
      <c r="S32" s="82" t="str">
        <f t="shared" si="9"/>
        <v>Ambivalent</v>
      </c>
      <c r="T32" s="131" t="str">
        <f t="shared" si="10"/>
        <v>Approach</v>
      </c>
      <c r="U32" s="83"/>
      <c r="V32" s="83"/>
      <c r="W32" s="83"/>
      <c r="Y32">
        <f>ResponseTimes!E32</f>
        <v>4501</v>
      </c>
      <c r="Z32">
        <f>ResponseTimes!N32</f>
        <v>2751</v>
      </c>
      <c r="AA32">
        <f>ResponseTimes!W32</f>
        <v>1628</v>
      </c>
      <c r="AC32" t="str">
        <f t="shared" si="11"/>
        <v>Ambivalent</v>
      </c>
      <c r="AD32" t="str">
        <f t="shared" si="0"/>
        <v>Ambivalent</v>
      </c>
      <c r="AE32" t="str">
        <f t="shared" si="1"/>
        <v>Ambivalent</v>
      </c>
      <c r="AG32" s="16" t="str">
        <f t="shared" si="12"/>
        <v/>
      </c>
      <c r="AH32" t="str">
        <f t="shared" si="13"/>
        <v/>
      </c>
      <c r="AI32" s="62" t="str">
        <f t="shared" si="14"/>
        <v/>
      </c>
      <c r="AK32" s="16">
        <f t="shared" si="15"/>
        <v>1979</v>
      </c>
      <c r="AL32">
        <f t="shared" si="16"/>
        <v>1597</v>
      </c>
      <c r="AM32" s="62">
        <f t="shared" si="17"/>
        <v>5296</v>
      </c>
      <c r="AO32" s="16" t="str">
        <f t="shared" si="18"/>
        <v/>
      </c>
      <c r="AP32" t="str">
        <f t="shared" si="19"/>
        <v/>
      </c>
      <c r="AQ32" s="62" t="str">
        <f t="shared" si="20"/>
        <v/>
      </c>
      <c r="AS32" s="16">
        <f t="shared" si="21"/>
        <v>1979</v>
      </c>
      <c r="AT32">
        <f t="shared" si="22"/>
        <v>1597</v>
      </c>
      <c r="AU32" s="62">
        <f t="shared" si="23"/>
        <v>5296</v>
      </c>
      <c r="AW32" s="16" t="str">
        <f t="shared" si="24"/>
        <v/>
      </c>
      <c r="AX32" t="str">
        <f t="shared" si="25"/>
        <v/>
      </c>
      <c r="AY32" s="62" t="str">
        <f t="shared" si="26"/>
        <v/>
      </c>
      <c r="BA32" s="16" t="str">
        <f t="shared" si="27"/>
        <v/>
      </c>
      <c r="BB32" t="str">
        <f t="shared" si="28"/>
        <v/>
      </c>
      <c r="BC32" s="62" t="str">
        <f t="shared" si="29"/>
        <v/>
      </c>
    </row>
    <row r="33" spans="1:55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AG33" s="16" t="str">
        <f t="shared" si="12"/>
        <v/>
      </c>
      <c r="AH33" t="str">
        <f t="shared" si="13"/>
        <v/>
      </c>
      <c r="AI33" s="62" t="str">
        <f t="shared" si="14"/>
        <v/>
      </c>
      <c r="AK33" s="16" t="str">
        <f t="shared" si="15"/>
        <v/>
      </c>
      <c r="AL33" t="str">
        <f t="shared" si="16"/>
        <v/>
      </c>
      <c r="AM33" s="62" t="str">
        <f t="shared" si="17"/>
        <v/>
      </c>
      <c r="AO33" s="16">
        <f t="shared" si="18"/>
        <v>2568</v>
      </c>
      <c r="AP33">
        <f t="shared" si="19"/>
        <v>1922</v>
      </c>
      <c r="AQ33" s="62">
        <f t="shared" si="20"/>
        <v>2358</v>
      </c>
      <c r="AS33" s="16" t="str">
        <f t="shared" si="21"/>
        <v/>
      </c>
      <c r="AT33" t="str">
        <f t="shared" si="22"/>
        <v/>
      </c>
      <c r="AU33" s="62" t="str">
        <f t="shared" si="23"/>
        <v/>
      </c>
      <c r="AW33" s="16" t="str">
        <f t="shared" si="24"/>
        <v/>
      </c>
      <c r="AX33" t="str">
        <f t="shared" si="25"/>
        <v/>
      </c>
      <c r="AY33" s="62" t="str">
        <f t="shared" si="26"/>
        <v/>
      </c>
      <c r="BA33" s="16">
        <f t="shared" si="27"/>
        <v>2568</v>
      </c>
      <c r="BB33">
        <f t="shared" si="28"/>
        <v>1922</v>
      </c>
      <c r="BC33" s="62">
        <f t="shared" si="29"/>
        <v>2358</v>
      </c>
    </row>
    <row r="34" spans="1:55" ht="16" thickBo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261" t="s">
        <v>168</v>
      </c>
      <c r="Z34" s="261"/>
      <c r="AG34" s="17" t="str">
        <f t="shared" si="12"/>
        <v/>
      </c>
      <c r="AH34" s="94" t="str">
        <f t="shared" si="13"/>
        <v/>
      </c>
      <c r="AI34" s="63" t="str">
        <f t="shared" si="14"/>
        <v/>
      </c>
      <c r="AK34" s="17">
        <f t="shared" si="15"/>
        <v>4501</v>
      </c>
      <c r="AL34" s="94">
        <f t="shared" si="16"/>
        <v>2751</v>
      </c>
      <c r="AM34" s="63">
        <f t="shared" si="17"/>
        <v>1628</v>
      </c>
      <c r="AO34" s="17" t="str">
        <f t="shared" si="18"/>
        <v/>
      </c>
      <c r="AP34" s="94" t="str">
        <f t="shared" si="19"/>
        <v/>
      </c>
      <c r="AQ34" s="63" t="str">
        <f t="shared" si="20"/>
        <v/>
      </c>
      <c r="AS34" s="17" t="str">
        <f t="shared" si="21"/>
        <v/>
      </c>
      <c r="AT34" s="94" t="str">
        <f t="shared" si="22"/>
        <v/>
      </c>
      <c r="AU34" s="63">
        <f>IF(AE65="approach",AA65,"")</f>
        <v>1628</v>
      </c>
      <c r="AW34" s="17">
        <f t="shared" si="24"/>
        <v>4501</v>
      </c>
      <c r="AX34" s="94">
        <f t="shared" si="25"/>
        <v>2751</v>
      </c>
      <c r="AY34" s="63" t="str">
        <f t="shared" si="26"/>
        <v/>
      </c>
      <c r="BA34" s="17" t="str">
        <f t="shared" si="27"/>
        <v/>
      </c>
      <c r="BB34" s="94" t="str">
        <f t="shared" si="28"/>
        <v/>
      </c>
      <c r="BC34" s="63" t="str">
        <f t="shared" si="29"/>
        <v/>
      </c>
    </row>
    <row r="35" spans="1:55" ht="16" thickBot="1" x14ac:dyDescent="0.25">
      <c r="A35" s="85"/>
      <c r="B35" s="44"/>
      <c r="C35" s="85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Y35" s="78" t="s">
        <v>81</v>
      </c>
      <c r="Z35" s="78" t="s">
        <v>82</v>
      </c>
      <c r="AA35" s="78" t="s">
        <v>83</v>
      </c>
      <c r="AC35" s="78" t="s">
        <v>84</v>
      </c>
      <c r="AD35" s="78" t="s">
        <v>85</v>
      </c>
      <c r="AE35" s="78" t="s">
        <v>86</v>
      </c>
    </row>
    <row r="36" spans="1:55" x14ac:dyDescent="0.2">
      <c r="A36" s="85"/>
      <c r="B36" s="44"/>
      <c r="C36" s="85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Y36" s="190">
        <f>ResponseTimes!E3</f>
        <v>4760</v>
      </c>
      <c r="Z36" s="190">
        <f>ResponseTimes!N3</f>
        <v>2818</v>
      </c>
      <c r="AA36" s="190">
        <f>ResponseTimes!W3</f>
        <v>2670</v>
      </c>
      <c r="AC36" t="str">
        <f>F3</f>
        <v>Ambivalent</v>
      </c>
      <c r="AD36" t="str">
        <f>M3</f>
        <v>Approach</v>
      </c>
      <c r="AE36" t="str">
        <f>T3</f>
        <v>Approach</v>
      </c>
      <c r="AG36" s="108" t="str">
        <f>"Participant #"&amp;'Paste Run 1'!B2</f>
        <v>Participant #XXXX</v>
      </c>
      <c r="AH36" s="117" t="s">
        <v>87</v>
      </c>
      <c r="AI36" s="117" t="s">
        <v>88</v>
      </c>
      <c r="AJ36" s="118" t="s">
        <v>89</v>
      </c>
      <c r="AK36" s="103"/>
      <c r="AS36" s="191" t="str">
        <f>"Participant #"&amp;'Paste Run 1'!B2</f>
        <v>Participant #XXXX</v>
      </c>
      <c r="AT36" s="192" t="s">
        <v>87</v>
      </c>
      <c r="AU36" s="192" t="s">
        <v>88</v>
      </c>
      <c r="AV36" s="193" t="s">
        <v>89</v>
      </c>
    </row>
    <row r="37" spans="1:55" x14ac:dyDescent="0.2">
      <c r="A37" s="85"/>
      <c r="B37" s="44"/>
      <c r="C37" s="85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Y37" s="190">
        <f>ResponseTimes!E4</f>
        <v>3682</v>
      </c>
      <c r="Z37" s="190">
        <f>ResponseTimes!N4</f>
        <v>2300</v>
      </c>
      <c r="AA37" s="190">
        <f>ResponseTimes!W4</f>
        <v>1105</v>
      </c>
      <c r="AC37" t="str">
        <f t="shared" ref="AC37:AC64" si="30">F4</f>
        <v>Ambivalent</v>
      </c>
      <c r="AD37" t="str">
        <f t="shared" ref="AD37:AD65" si="31">M4</f>
        <v>Ambivalent</v>
      </c>
      <c r="AE37" t="str">
        <f t="shared" ref="AE37:AE65" si="32">T4</f>
        <v>Ambivalent</v>
      </c>
      <c r="AG37" s="109" t="s">
        <v>5</v>
      </c>
      <c r="AH37" s="119">
        <f>AVERAGE(AG5:AG34)</f>
        <v>2686</v>
      </c>
      <c r="AI37" s="119">
        <f>AVERAGE(AK4:AK34)</f>
        <v>2824.4210526315787</v>
      </c>
      <c r="AJ37" s="120">
        <f>AVERAGE(AO4:AO34)</f>
        <v>3117.5</v>
      </c>
      <c r="AK37" s="103"/>
      <c r="AS37" s="194" t="s">
        <v>5</v>
      </c>
      <c r="AT37" s="209">
        <f>AVERAGE(AS5:AS34)</f>
        <v>2419.1111111111113</v>
      </c>
      <c r="AU37" s="209">
        <f>AVERAGE(AW4:AW34)</f>
        <v>3143.4545454545455</v>
      </c>
      <c r="AV37" s="210">
        <f>AVERAGE(BA4:BA34)</f>
        <v>3117.5</v>
      </c>
    </row>
    <row r="38" spans="1:55" x14ac:dyDescent="0.2">
      <c r="A38" s="85"/>
      <c r="B38" s="44"/>
      <c r="C38" s="85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Y38" s="190">
        <f>ResponseTimes!E5</f>
        <v>3816</v>
      </c>
      <c r="Z38" s="190">
        <f>ResponseTimes!N5</f>
        <v>2515</v>
      </c>
      <c r="AA38" s="190">
        <f>ResponseTimes!W5</f>
        <v>2222</v>
      </c>
      <c r="AC38" t="str">
        <f t="shared" si="30"/>
        <v>Avoid</v>
      </c>
      <c r="AD38" t="str">
        <f t="shared" si="31"/>
        <v>Avoid</v>
      </c>
      <c r="AE38" t="str">
        <f t="shared" si="32"/>
        <v>Avoid</v>
      </c>
      <c r="AG38" s="109" t="s">
        <v>6</v>
      </c>
      <c r="AH38" s="119">
        <f>AVERAGE(AH5:AH34)</f>
        <v>1993</v>
      </c>
      <c r="AI38" s="119">
        <f>AVERAGE(AL4:AL34)</f>
        <v>2187.3684210526317</v>
      </c>
      <c r="AJ38" s="120">
        <f>AVERAGE(AP5:AP34)</f>
        <v>2379.4</v>
      </c>
      <c r="AK38" s="103"/>
      <c r="AS38" s="194" t="s">
        <v>6</v>
      </c>
      <c r="AT38" s="209">
        <f>AVERAGE(AT5:AT34)</f>
        <v>2027.7</v>
      </c>
      <c r="AU38" s="209">
        <f>AVERAGE(AX4:AX34)</f>
        <v>2327.6</v>
      </c>
      <c r="AV38" s="210">
        <f>AVERAGE(BB5:BB34)</f>
        <v>2379.4</v>
      </c>
    </row>
    <row r="39" spans="1:55" x14ac:dyDescent="0.2">
      <c r="A39" s="85"/>
      <c r="B39" s="44"/>
      <c r="C39" s="85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Y39" s="190">
        <f>ResponseTimes!E6</f>
        <v>2528</v>
      </c>
      <c r="Z39" s="190">
        <f>ResponseTimes!N6</f>
        <v>2531</v>
      </c>
      <c r="AA39" s="190">
        <f>ResponseTimes!W6</f>
        <v>1912</v>
      </c>
      <c r="AC39" t="str">
        <f t="shared" si="30"/>
        <v>Approach</v>
      </c>
      <c r="AD39" t="str">
        <f t="shared" si="31"/>
        <v>Approach</v>
      </c>
      <c r="AE39" t="str">
        <f t="shared" si="32"/>
        <v>Approach</v>
      </c>
      <c r="AG39" s="109" t="s">
        <v>7</v>
      </c>
      <c r="AH39" s="119">
        <f>AVERAGE(AI5:AI34)</f>
        <v>2744.3333333333335</v>
      </c>
      <c r="AI39" s="119">
        <f>AVERAGE(AM4:AM34)</f>
        <v>2198.2380952380954</v>
      </c>
      <c r="AJ39" s="120">
        <f>AVERAGE(AQ5:AQ34)</f>
        <v>2266.3333333333335</v>
      </c>
      <c r="AK39" s="103"/>
      <c r="AS39" s="194" t="s">
        <v>7</v>
      </c>
      <c r="AT39" s="209">
        <f>AVERAGE(AU5:AU34)</f>
        <v>2263.375</v>
      </c>
      <c r="AU39" s="209">
        <f>AVERAGE(AY4:AY34)</f>
        <v>2272.75</v>
      </c>
      <c r="AV39" s="210">
        <f>AVERAGE(BC5:BC34)</f>
        <v>2266.3333333333335</v>
      </c>
    </row>
    <row r="40" spans="1:55" x14ac:dyDescent="0.2">
      <c r="A40" s="85"/>
      <c r="B40" s="44"/>
      <c r="C40" s="85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Y40" s="190">
        <f>ResponseTimes!E7</f>
        <v>4877</v>
      </c>
      <c r="Z40" s="190">
        <f>ResponseTimes!N7</f>
        <v>1615</v>
      </c>
      <c r="AA40" s="190">
        <f>ResponseTimes!W7</f>
        <v>2459</v>
      </c>
      <c r="AC40" t="str">
        <f t="shared" si="30"/>
        <v>Ambivalent</v>
      </c>
      <c r="AD40" t="str">
        <f t="shared" si="31"/>
        <v>Ambivalent</v>
      </c>
      <c r="AE40" t="str">
        <f t="shared" si="32"/>
        <v>Ambivalent</v>
      </c>
      <c r="AG40" s="109" t="s">
        <v>369</v>
      </c>
      <c r="AH40" s="119">
        <f>AVERAGE(AH37:AH39)</f>
        <v>2474.4444444444448</v>
      </c>
      <c r="AI40" s="119">
        <f>AVERAGE(AI37:AI39)</f>
        <v>2403.3425229741019</v>
      </c>
      <c r="AJ40" s="120">
        <f>AVERAGE(AJ37:AJ39)</f>
        <v>2587.7444444444445</v>
      </c>
      <c r="AK40" s="103"/>
      <c r="AS40" s="194" t="s">
        <v>369</v>
      </c>
      <c r="AT40" s="209">
        <f>AVERAGE(AT37:AT39)</f>
        <v>2236.7287037037036</v>
      </c>
      <c r="AU40" s="209">
        <f>AVERAGE(AU37:AU39)</f>
        <v>2581.2681818181818</v>
      </c>
      <c r="AV40" s="210">
        <f>AVERAGE(AV37:AV39)</f>
        <v>2587.7444444444445</v>
      </c>
    </row>
    <row r="41" spans="1:55" ht="16" thickBot="1" x14ac:dyDescent="0.25">
      <c r="A41" s="85"/>
      <c r="B41" s="44"/>
      <c r="C41" s="85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Y41" s="190">
        <f>ResponseTimes!E8</f>
        <v>3656</v>
      </c>
      <c r="Z41" s="190">
        <f>ResponseTimes!N8</f>
        <v>1819</v>
      </c>
      <c r="AA41" s="190">
        <f>ResponseTimes!W8</f>
        <v>1727</v>
      </c>
      <c r="AC41" t="str">
        <f t="shared" si="30"/>
        <v>Approach</v>
      </c>
      <c r="AD41" t="str">
        <f t="shared" si="31"/>
        <v>Approach</v>
      </c>
      <c r="AE41" t="str">
        <f t="shared" si="32"/>
        <v>Approach</v>
      </c>
      <c r="AG41" s="86" t="s">
        <v>370</v>
      </c>
      <c r="AH41" s="121">
        <f>AVERAGE(AG5:AI34)</f>
        <v>2582.4</v>
      </c>
      <c r="AI41" s="121">
        <f>AVERAGE(AK5:AM34)</f>
        <v>2396.3898305084745</v>
      </c>
      <c r="AJ41" s="122">
        <f>AVERAGE(AO5:AQ34)</f>
        <v>2637.1923076923076</v>
      </c>
      <c r="AK41" s="103"/>
      <c r="AS41" s="197" t="s">
        <v>370</v>
      </c>
      <c r="AT41" s="211">
        <f>AVERAGE(AS5:AU34)</f>
        <v>2236.0857142857144</v>
      </c>
      <c r="AU41" s="211">
        <f>AVERAGE(AW5:AY34)</f>
        <v>2621.9310344827586</v>
      </c>
      <c r="AV41" s="212">
        <f>AVERAGE(BA5:BC34)</f>
        <v>2637.1923076923076</v>
      </c>
    </row>
    <row r="42" spans="1:55" ht="16" thickBot="1" x14ac:dyDescent="0.25">
      <c r="A42" s="85"/>
      <c r="B42" s="44"/>
      <c r="C42" s="85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Y42" s="190">
        <f>ResponseTimes!E9</f>
        <v>3614</v>
      </c>
      <c r="Z42" s="190">
        <f>ResponseTimes!N9</f>
        <v>3889</v>
      </c>
      <c r="AA42" s="190">
        <f>ResponseTimes!W9</f>
        <v>2781</v>
      </c>
      <c r="AC42" t="str">
        <f t="shared" si="30"/>
        <v>Avoid</v>
      </c>
      <c r="AD42" t="str">
        <f t="shared" si="31"/>
        <v>Avoid</v>
      </c>
      <c r="AE42" t="str">
        <f t="shared" si="32"/>
        <v>Approach</v>
      </c>
    </row>
    <row r="43" spans="1:55" x14ac:dyDescent="0.2">
      <c r="A43" s="85"/>
      <c r="B43" s="44"/>
      <c r="C43" s="85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Y43" s="190">
        <f>ResponseTimes!E10</f>
        <v>2927</v>
      </c>
      <c r="Z43" s="190">
        <f>ResponseTimes!N10</f>
        <v>2041</v>
      </c>
      <c r="AA43" s="190">
        <f>ResponseTimes!W10</f>
        <v>2838</v>
      </c>
      <c r="AC43" t="str">
        <f t="shared" si="30"/>
        <v>Ambivalent</v>
      </c>
      <c r="AD43" t="str">
        <f t="shared" si="31"/>
        <v>Ambivalent</v>
      </c>
      <c r="AE43" t="str">
        <f t="shared" si="32"/>
        <v>Ambivalent</v>
      </c>
      <c r="AG43" s="108" t="str">
        <f>"Participant #"&amp;'Paste Run 1'!B2</f>
        <v>Participant #XXXX</v>
      </c>
      <c r="AH43" s="117" t="s">
        <v>104</v>
      </c>
      <c r="AI43" s="117" t="s">
        <v>105</v>
      </c>
      <c r="AJ43" s="117" t="s">
        <v>106</v>
      </c>
      <c r="AK43" s="118" t="s">
        <v>107</v>
      </c>
      <c r="AS43" s="191" t="str">
        <f>"Participant #"&amp;'Paste Run 1'!B2</f>
        <v>Participant #XXXX</v>
      </c>
      <c r="AT43" s="192" t="s">
        <v>104</v>
      </c>
      <c r="AU43" s="192" t="s">
        <v>105</v>
      </c>
      <c r="AV43" s="192" t="s">
        <v>106</v>
      </c>
      <c r="AW43" s="193" t="s">
        <v>107</v>
      </c>
    </row>
    <row r="44" spans="1:55" x14ac:dyDescent="0.2">
      <c r="A44" s="85"/>
      <c r="B44" s="44"/>
      <c r="C44" s="85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Y44" s="190">
        <f>ResponseTimes!E11</f>
        <v>3312</v>
      </c>
      <c r="Z44" s="190">
        <f>ResponseTimes!N11</f>
        <v>2283</v>
      </c>
      <c r="AA44" s="190">
        <f>ResponseTimes!W11</f>
        <v>2286</v>
      </c>
      <c r="AC44" t="str">
        <f t="shared" si="30"/>
        <v>Avoid</v>
      </c>
      <c r="AD44" t="str">
        <f t="shared" si="31"/>
        <v>Avoid</v>
      </c>
      <c r="AE44" t="str">
        <f t="shared" si="32"/>
        <v>Avoid</v>
      </c>
      <c r="AG44" s="109" t="s">
        <v>5</v>
      </c>
      <c r="AH44" s="123">
        <f>COUNT(AG5:AG34)</f>
        <v>1</v>
      </c>
      <c r="AI44" s="123">
        <f>COUNT(AK5:AK34)</f>
        <v>19</v>
      </c>
      <c r="AJ44" s="123">
        <f>COUNT(AO5:AO34)</f>
        <v>10</v>
      </c>
      <c r="AK44" s="124">
        <f>COUNTIF(AC3:AC32,"Missing")</f>
        <v>0</v>
      </c>
      <c r="AS44" s="194" t="s">
        <v>5</v>
      </c>
      <c r="AT44" s="195">
        <f>COUNTIF(F3:F32,"APPROACH")</f>
        <v>9</v>
      </c>
      <c r="AU44" s="195">
        <f>COUNTIF(F3:F32,"AMBIVALENT")</f>
        <v>11</v>
      </c>
      <c r="AV44" s="195">
        <f>COUNTIF(F3:F32,"AVOID")</f>
        <v>10</v>
      </c>
      <c r="AW44" s="196">
        <f>COUNTIF(F3:F32,"MISSING")</f>
        <v>0</v>
      </c>
    </row>
    <row r="45" spans="1:55" ht="16" thickBot="1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Y45" s="190">
        <f>ResponseTimes!E12</f>
        <v>2336</v>
      </c>
      <c r="Z45" s="190">
        <f>ResponseTimes!N12</f>
        <v>1778</v>
      </c>
      <c r="AA45" s="190">
        <f>ResponseTimes!W12</f>
        <v>2558</v>
      </c>
      <c r="AC45" t="str">
        <f t="shared" si="30"/>
        <v>Approach</v>
      </c>
      <c r="AD45" t="str">
        <f t="shared" si="31"/>
        <v>Approach</v>
      </c>
      <c r="AE45" t="str">
        <f t="shared" si="32"/>
        <v>Approach</v>
      </c>
      <c r="AG45" s="109" t="s">
        <v>6</v>
      </c>
      <c r="AH45" s="123">
        <f>COUNT(AH5:AH34)</f>
        <v>1</v>
      </c>
      <c r="AI45" s="123">
        <f>COUNT(AL5:AL34)</f>
        <v>19</v>
      </c>
      <c r="AJ45" s="123">
        <f>COUNT(AP5:AP34)</f>
        <v>10</v>
      </c>
      <c r="AK45" s="124">
        <f>COUNTIF(AD3:AD32,"Missing")</f>
        <v>0</v>
      </c>
      <c r="AS45" s="194" t="s">
        <v>6</v>
      </c>
      <c r="AT45" s="195">
        <f>COUNTIF(M3:M32,"APPROACH")</f>
        <v>10</v>
      </c>
      <c r="AU45" s="195">
        <f>COUNTIF(M3:M32,"AMBIVALENT")</f>
        <v>10</v>
      </c>
      <c r="AV45" s="195">
        <f>COUNTIF(M3:M32,"AVOID")</f>
        <v>10</v>
      </c>
      <c r="AW45" s="196">
        <f>COUNTIF(M3:M32,"MISSING")</f>
        <v>0</v>
      </c>
    </row>
    <row r="46" spans="1:55" ht="16" thickBot="1" x14ac:dyDescent="0.25">
      <c r="A46" s="45"/>
      <c r="B46" s="87" t="s">
        <v>94</v>
      </c>
      <c r="C46" s="15" t="s">
        <v>95</v>
      </c>
      <c r="D46" s="88" t="s">
        <v>96</v>
      </c>
      <c r="G46" s="45"/>
      <c r="H46" s="87" t="s">
        <v>94</v>
      </c>
      <c r="I46" s="15" t="s">
        <v>95</v>
      </c>
      <c r="J46" s="88" t="s">
        <v>96</v>
      </c>
      <c r="Y46" s="190">
        <f>ResponseTimes!E13</f>
        <v>3482</v>
      </c>
      <c r="Z46" s="190">
        <f>ResponseTimes!N13</f>
        <v>2237</v>
      </c>
      <c r="AA46" s="190">
        <f>ResponseTimes!W13</f>
        <v>2442</v>
      </c>
      <c r="AC46" t="str">
        <f t="shared" si="30"/>
        <v>Avoid</v>
      </c>
      <c r="AD46" t="str">
        <f t="shared" si="31"/>
        <v>Avoid</v>
      </c>
      <c r="AE46" t="str">
        <f t="shared" si="32"/>
        <v>Avoid</v>
      </c>
      <c r="AG46" s="109" t="s">
        <v>7</v>
      </c>
      <c r="AH46" s="123">
        <f>COUNT(AI5:AI34)</f>
        <v>3</v>
      </c>
      <c r="AI46" s="123">
        <f>COUNT(AM5:AM34)</f>
        <v>21</v>
      </c>
      <c r="AJ46" s="123">
        <f>COUNT(AQ5:AQ34)</f>
        <v>6</v>
      </c>
      <c r="AK46" s="124">
        <f>COUNTIF(AE3:AE32,"Missing")</f>
        <v>0</v>
      </c>
      <c r="AS46" s="194" t="s">
        <v>7</v>
      </c>
      <c r="AT46" s="195">
        <f>COUNTIF(T3:T32,"APPROACH")</f>
        <v>16</v>
      </c>
      <c r="AU46" s="195">
        <f>COUNTIF(T3:T32,"AMBIVALENT")</f>
        <v>8</v>
      </c>
      <c r="AV46" s="195">
        <f>COUNTIF(T3:T32,"AVOID")</f>
        <v>6</v>
      </c>
      <c r="AW46" s="196">
        <f>COUNTIF(T3:T32,"MISSING")</f>
        <v>0</v>
      </c>
    </row>
    <row r="47" spans="1:55" ht="16" thickBot="1" x14ac:dyDescent="0.25">
      <c r="A47" s="77" t="s">
        <v>10</v>
      </c>
      <c r="B47" s="89" t="str">
        <f t="shared" ref="B47:B70" si="33">IF(E3="APPROACH",C3,"")</f>
        <v/>
      </c>
      <c r="C47" s="89">
        <f t="shared" ref="C47:C70" si="34">IF(E3="AMBIVALENT",C3,"")</f>
        <v>7</v>
      </c>
      <c r="D47" s="90" t="str">
        <f t="shared" ref="D47:D70" si="35">IF(E3="AVOID",C3,"")</f>
        <v/>
      </c>
      <c r="F47" s="43" t="s">
        <v>168</v>
      </c>
      <c r="G47" s="77" t="s">
        <v>10</v>
      </c>
      <c r="H47" s="89" t="str">
        <f>IF(F3="APPROACH",C3,"")</f>
        <v/>
      </c>
      <c r="I47" s="89">
        <f t="shared" ref="I47:I76" si="36">IF(F3="AMBIVALENT",C3,"")</f>
        <v>7</v>
      </c>
      <c r="J47" s="90" t="str">
        <f t="shared" ref="J47:J76" si="37">IF(F3="AVOID",C3,"")</f>
        <v/>
      </c>
      <c r="Y47" s="190">
        <f>ResponseTimes!E14</f>
        <v>2231</v>
      </c>
      <c r="Z47" s="190">
        <f>ResponseTimes!N14</f>
        <v>1826</v>
      </c>
      <c r="AA47" s="190">
        <f>ResponseTimes!W14</f>
        <v>2782</v>
      </c>
      <c r="AC47" t="str">
        <f t="shared" si="30"/>
        <v>Approach</v>
      </c>
      <c r="AD47" t="str">
        <f t="shared" si="31"/>
        <v>Approach</v>
      </c>
      <c r="AE47" t="str">
        <f t="shared" si="32"/>
        <v>Approach</v>
      </c>
      <c r="AG47" s="86" t="s">
        <v>111</v>
      </c>
      <c r="AH47" s="125">
        <f>SUM(AH44:AH46)</f>
        <v>5</v>
      </c>
      <c r="AI47" s="125">
        <f>SUM(AI44:AI46)</f>
        <v>59</v>
      </c>
      <c r="AJ47" s="125">
        <f>SUM(AJ44:AJ46)</f>
        <v>26</v>
      </c>
      <c r="AK47" s="220">
        <f>SUM(AK44:AK46)</f>
        <v>0</v>
      </c>
      <c r="AS47" s="197" t="s">
        <v>111</v>
      </c>
      <c r="AT47" s="198">
        <f>SUM(AT44:AT46)</f>
        <v>35</v>
      </c>
      <c r="AU47" s="198">
        <f>SUM(AU44:AU46)</f>
        <v>29</v>
      </c>
      <c r="AV47" s="198">
        <f>SUM(AV44:AV46)</f>
        <v>26</v>
      </c>
      <c r="AW47" s="221">
        <f>SUM(AW44:AW46)</f>
        <v>0</v>
      </c>
    </row>
    <row r="48" spans="1:55" ht="16" thickBot="1" x14ac:dyDescent="0.25">
      <c r="A48" s="115"/>
      <c r="B48" s="89" t="str">
        <f t="shared" si="33"/>
        <v/>
      </c>
      <c r="C48" s="89">
        <f t="shared" si="34"/>
        <v>5</v>
      </c>
      <c r="D48" s="90" t="str">
        <f t="shared" si="35"/>
        <v/>
      </c>
      <c r="G48" s="115"/>
      <c r="H48" s="89" t="str">
        <f t="shared" ref="H48:H76" si="38">IF(F4="APPROACH",C4,"")</f>
        <v/>
      </c>
      <c r="I48" s="89">
        <f t="shared" si="36"/>
        <v>5</v>
      </c>
      <c r="J48" s="90" t="str">
        <f t="shared" si="37"/>
        <v/>
      </c>
      <c r="Y48" s="190">
        <f>ResponseTimes!E15</f>
        <v>3261</v>
      </c>
      <c r="Z48" s="190">
        <f>ResponseTimes!N15</f>
        <v>3696</v>
      </c>
      <c r="AA48" s="190">
        <f>ResponseTimes!W15</f>
        <v>1707</v>
      </c>
      <c r="AC48" t="str">
        <f t="shared" si="30"/>
        <v>Ambivalent</v>
      </c>
      <c r="AD48" t="str">
        <f t="shared" si="31"/>
        <v>Ambivalent</v>
      </c>
      <c r="AE48" t="str">
        <f t="shared" si="32"/>
        <v>Ambivalent</v>
      </c>
    </row>
    <row r="49" spans="1:48" ht="16" thickBot="1" x14ac:dyDescent="0.25">
      <c r="A49" s="115"/>
      <c r="B49" s="89" t="str">
        <f t="shared" si="33"/>
        <v/>
      </c>
      <c r="C49" s="89" t="str">
        <f t="shared" si="34"/>
        <v/>
      </c>
      <c r="D49" s="90">
        <f t="shared" si="35"/>
        <v>0</v>
      </c>
      <c r="G49" s="115"/>
      <c r="H49" s="89" t="str">
        <f t="shared" si="38"/>
        <v/>
      </c>
      <c r="I49" s="89" t="str">
        <f t="shared" si="36"/>
        <v/>
      </c>
      <c r="J49" s="90">
        <f t="shared" si="37"/>
        <v>0</v>
      </c>
      <c r="Y49" s="190">
        <f>ResponseTimes!E16</f>
        <v>2331</v>
      </c>
      <c r="Z49" s="190">
        <f>ResponseTimes!N16</f>
        <v>2253</v>
      </c>
      <c r="AA49" s="190">
        <f>ResponseTimes!W16</f>
        <v>2361</v>
      </c>
      <c r="AC49" t="str">
        <f t="shared" si="30"/>
        <v>Approach</v>
      </c>
      <c r="AD49" t="str">
        <f t="shared" si="31"/>
        <v>Approach</v>
      </c>
      <c r="AE49" t="str">
        <f t="shared" si="32"/>
        <v>Approach</v>
      </c>
      <c r="AG49" s="84" t="str">
        <f>AG36</f>
        <v>Participant #XXXX</v>
      </c>
      <c r="AH49" s="117" t="s">
        <v>109</v>
      </c>
      <c r="AI49" s="117" t="s">
        <v>108</v>
      </c>
      <c r="AJ49" s="118" t="s">
        <v>110</v>
      </c>
      <c r="AS49" s="213" t="str">
        <f>AS36</f>
        <v>Participant #XXXX</v>
      </c>
      <c r="AT49" s="192" t="s">
        <v>109</v>
      </c>
      <c r="AU49" s="192" t="s">
        <v>108</v>
      </c>
      <c r="AV49" s="193" t="s">
        <v>110</v>
      </c>
    </row>
    <row r="50" spans="1:48" ht="16" thickBot="1" x14ac:dyDescent="0.25">
      <c r="A50" s="115"/>
      <c r="B50" s="89" t="str">
        <f t="shared" si="33"/>
        <v/>
      </c>
      <c r="C50" s="89">
        <f t="shared" si="34"/>
        <v>8</v>
      </c>
      <c r="D50" s="90" t="str">
        <f t="shared" si="35"/>
        <v/>
      </c>
      <c r="G50" s="115"/>
      <c r="H50" s="89">
        <f t="shared" si="38"/>
        <v>8</v>
      </c>
      <c r="I50" s="89" t="str">
        <f t="shared" si="36"/>
        <v/>
      </c>
      <c r="J50" s="90" t="str">
        <f t="shared" si="37"/>
        <v/>
      </c>
      <c r="Y50" s="190">
        <f>ResponseTimes!E17</f>
        <v>3678</v>
      </c>
      <c r="Z50" s="190">
        <f>ResponseTimes!N17</f>
        <v>2152</v>
      </c>
      <c r="AA50" s="190">
        <f>ResponseTimes!W17</f>
        <v>2029</v>
      </c>
      <c r="AC50" t="str">
        <f t="shared" si="30"/>
        <v>Avoid</v>
      </c>
      <c r="AD50" t="str">
        <f t="shared" si="31"/>
        <v>Avoid</v>
      </c>
      <c r="AE50" t="str">
        <f t="shared" si="32"/>
        <v>Avoid</v>
      </c>
      <c r="AG50" s="109" t="s">
        <v>5</v>
      </c>
      <c r="AH50" s="126">
        <f>AVERAGE(B47:B76)</f>
        <v>9</v>
      </c>
      <c r="AI50" s="126">
        <f>AVERAGE(C47:C76)</f>
        <v>5.6842105263157894</v>
      </c>
      <c r="AJ50" s="127">
        <f>AVERAGE(D47:D76)</f>
        <v>0</v>
      </c>
      <c r="AS50" s="194" t="s">
        <v>5</v>
      </c>
      <c r="AT50" s="214">
        <f>AVERAGE(H47:H76)</f>
        <v>8.1111111111111107</v>
      </c>
      <c r="AU50" s="214">
        <f>AVERAGE(I47:I76)</f>
        <v>4</v>
      </c>
      <c r="AV50" s="215">
        <f>AVERAGE(J47:J76)</f>
        <v>0</v>
      </c>
    </row>
    <row r="51" spans="1:48" ht="16" thickBot="1" x14ac:dyDescent="0.25">
      <c r="A51" s="115"/>
      <c r="B51" s="89" t="str">
        <f t="shared" si="33"/>
        <v/>
      </c>
      <c r="C51" s="89">
        <f t="shared" si="34"/>
        <v>2</v>
      </c>
      <c r="D51" s="90" t="str">
        <f t="shared" si="35"/>
        <v/>
      </c>
      <c r="G51" s="115"/>
      <c r="H51" s="89" t="str">
        <f t="shared" si="38"/>
        <v/>
      </c>
      <c r="I51" s="89">
        <f t="shared" si="36"/>
        <v>2</v>
      </c>
      <c r="J51" s="90" t="str">
        <f t="shared" si="37"/>
        <v/>
      </c>
      <c r="Y51" s="190">
        <f>ResponseTimes!E18</f>
        <v>2776</v>
      </c>
      <c r="Z51" s="190">
        <f>ResponseTimes!N18</f>
        <v>2739</v>
      </c>
      <c r="AA51" s="190">
        <f>ResponseTimes!W18</f>
        <v>1439</v>
      </c>
      <c r="AC51" t="str">
        <f t="shared" si="30"/>
        <v>Ambivalent</v>
      </c>
      <c r="AD51" t="str">
        <f t="shared" si="31"/>
        <v>Ambivalent</v>
      </c>
      <c r="AE51" t="str">
        <f t="shared" si="32"/>
        <v>Ambivalent</v>
      </c>
      <c r="AG51" s="109" t="s">
        <v>6</v>
      </c>
      <c r="AH51" s="126">
        <f>AVERAGE(B77:B106)</f>
        <v>9</v>
      </c>
      <c r="AI51" s="126">
        <f>AVERAGE(C77:C106)</f>
        <v>6.1578947368421053</v>
      </c>
      <c r="AJ51" s="127">
        <f>AVERAGE(D77:D106)</f>
        <v>0</v>
      </c>
      <c r="AS51" s="194" t="s">
        <v>6</v>
      </c>
      <c r="AT51" s="214">
        <f>AVERAGE(H77:H106)</f>
        <v>8.1</v>
      </c>
      <c r="AU51" s="214">
        <f>AVERAGE(I77:I106)</f>
        <v>4.5</v>
      </c>
      <c r="AV51" s="215">
        <f>AVERAGE(J77:J106)</f>
        <v>0</v>
      </c>
    </row>
    <row r="52" spans="1:48" ht="16" thickBot="1" x14ac:dyDescent="0.25">
      <c r="A52" s="115"/>
      <c r="B52" s="89" t="str">
        <f t="shared" si="33"/>
        <v/>
      </c>
      <c r="C52" s="89">
        <f t="shared" si="34"/>
        <v>8</v>
      </c>
      <c r="D52" s="90" t="str">
        <f t="shared" si="35"/>
        <v/>
      </c>
      <c r="G52" s="115"/>
      <c r="H52" s="89">
        <f t="shared" si="38"/>
        <v>8</v>
      </c>
      <c r="I52" s="89" t="str">
        <f t="shared" si="36"/>
        <v/>
      </c>
      <c r="J52" s="90" t="str">
        <f t="shared" si="37"/>
        <v/>
      </c>
      <c r="Y52" s="190">
        <f>ResponseTimes!E19</f>
        <v>1741</v>
      </c>
      <c r="Z52" s="190">
        <f>ResponseTimes!N19</f>
        <v>1696</v>
      </c>
      <c r="AA52" s="190">
        <f>ResponseTimes!W19</f>
        <v>2203</v>
      </c>
      <c r="AC52" t="str">
        <f t="shared" si="30"/>
        <v>Approach</v>
      </c>
      <c r="AD52" t="str">
        <f t="shared" si="31"/>
        <v>Approach</v>
      </c>
      <c r="AE52" t="str">
        <f t="shared" si="32"/>
        <v>Approach</v>
      </c>
      <c r="AG52" s="109" t="s">
        <v>7</v>
      </c>
      <c r="AH52" s="126">
        <f>AVERAGE(B107:B136)</f>
        <v>9</v>
      </c>
      <c r="AI52" s="126">
        <f>AVERAGE(C107:C136)</f>
        <v>6.6190476190476186</v>
      </c>
      <c r="AJ52" s="127">
        <f>AVERAGE(D107:D136)</f>
        <v>0</v>
      </c>
      <c r="AS52" s="194" t="s">
        <v>7</v>
      </c>
      <c r="AT52" s="214">
        <f>AVERAGE(H107:H136)</f>
        <v>8.1875</v>
      </c>
      <c r="AU52" s="214">
        <f>AVERAGE(I107:I136)</f>
        <v>4.375</v>
      </c>
      <c r="AV52" s="215">
        <f>AVERAGE(J107:J136)</f>
        <v>0</v>
      </c>
    </row>
    <row r="53" spans="1:48" ht="16" thickBot="1" x14ac:dyDescent="0.25">
      <c r="A53" s="115"/>
      <c r="B53" s="89" t="str">
        <f t="shared" si="33"/>
        <v/>
      </c>
      <c r="C53" s="89" t="str">
        <f t="shared" si="34"/>
        <v/>
      </c>
      <c r="D53" s="90">
        <f t="shared" si="35"/>
        <v>0</v>
      </c>
      <c r="G53" s="115"/>
      <c r="H53" s="89" t="str">
        <f t="shared" si="38"/>
        <v/>
      </c>
      <c r="I53" s="89" t="str">
        <f t="shared" si="36"/>
        <v/>
      </c>
      <c r="J53" s="90">
        <f t="shared" si="37"/>
        <v>0</v>
      </c>
      <c r="Y53" s="190">
        <f>ResponseTimes!E20</f>
        <v>1988</v>
      </c>
      <c r="Z53" s="190">
        <f>ResponseTimes!N20</f>
        <v>3783</v>
      </c>
      <c r="AA53" s="190">
        <f>ResponseTimes!W20</f>
        <v>1715</v>
      </c>
      <c r="AC53" t="str">
        <f t="shared" si="30"/>
        <v>Ambivalent</v>
      </c>
      <c r="AD53" t="str">
        <f t="shared" si="31"/>
        <v>Ambivalent</v>
      </c>
      <c r="AE53" t="str">
        <f t="shared" si="32"/>
        <v>Approach</v>
      </c>
      <c r="AG53" s="109" t="s">
        <v>369</v>
      </c>
      <c r="AH53" s="126">
        <f>AVERAGE(AH50:AH52)</f>
        <v>9</v>
      </c>
      <c r="AI53" s="126">
        <f>AVERAGE(AI50:AI52)</f>
        <v>6.1537176274018366</v>
      </c>
      <c r="AJ53" s="127">
        <f>AVERAGE(AJ50:AJ52)</f>
        <v>0</v>
      </c>
      <c r="AS53" s="194" t="s">
        <v>369</v>
      </c>
      <c r="AT53" s="214">
        <f>AVERAGE(AT50:AT52)</f>
        <v>8.1328703703703695</v>
      </c>
      <c r="AU53" s="214">
        <f>AVERAGE(AU50:AU52)</f>
        <v>4.291666666666667</v>
      </c>
      <c r="AV53" s="215">
        <f>AVERAGE(AV50:AV52)</f>
        <v>0</v>
      </c>
    </row>
    <row r="54" spans="1:48" ht="16" thickBot="1" x14ac:dyDescent="0.25">
      <c r="A54" s="115"/>
      <c r="B54" s="89" t="str">
        <f t="shared" si="33"/>
        <v/>
      </c>
      <c r="C54" s="89">
        <f t="shared" si="34"/>
        <v>3</v>
      </c>
      <c r="D54" s="90" t="str">
        <f t="shared" si="35"/>
        <v/>
      </c>
      <c r="G54" s="115"/>
      <c r="H54" s="89" t="str">
        <f t="shared" si="38"/>
        <v/>
      </c>
      <c r="I54" s="89">
        <f t="shared" si="36"/>
        <v>3</v>
      </c>
      <c r="J54" s="90" t="str">
        <f t="shared" si="37"/>
        <v/>
      </c>
      <c r="Y54" s="190">
        <f>ResponseTimes!E21</f>
        <v>2753</v>
      </c>
      <c r="Z54" s="190">
        <f>ResponseTimes!N21</f>
        <v>2436</v>
      </c>
      <c r="AA54" s="190">
        <f>ResponseTimes!W21</f>
        <v>1800</v>
      </c>
      <c r="AC54" t="str">
        <f t="shared" si="30"/>
        <v>Avoid</v>
      </c>
      <c r="AD54" t="str">
        <f t="shared" si="31"/>
        <v>Avoid</v>
      </c>
      <c r="AE54" t="str">
        <f t="shared" si="32"/>
        <v>Approach</v>
      </c>
      <c r="AG54" s="86" t="s">
        <v>370</v>
      </c>
      <c r="AH54" s="128">
        <f>AVERAGE(B47:B136)</f>
        <v>9</v>
      </c>
      <c r="AI54" s="128">
        <f>AVERAGE(C47:C136)</f>
        <v>6.1694915254237293</v>
      </c>
      <c r="AJ54" s="129">
        <f>AVERAGE(D47:D136)</f>
        <v>0</v>
      </c>
      <c r="AS54" s="197" t="s">
        <v>370</v>
      </c>
      <c r="AT54" s="216">
        <f>AVERAGE(H47:H136)</f>
        <v>8.1428571428571423</v>
      </c>
      <c r="AU54" s="216">
        <f>AVERAGE(I47:I136)</f>
        <v>4.2758620689655169</v>
      </c>
      <c r="AV54" s="217">
        <f>AVERAGE(J47:J136)</f>
        <v>0</v>
      </c>
    </row>
    <row r="55" spans="1:48" ht="16" thickBot="1" x14ac:dyDescent="0.25">
      <c r="A55" s="116"/>
      <c r="B55" s="89" t="str">
        <f t="shared" si="33"/>
        <v/>
      </c>
      <c r="C55" s="89" t="str">
        <f t="shared" si="34"/>
        <v/>
      </c>
      <c r="D55" s="90">
        <f t="shared" si="35"/>
        <v>0</v>
      </c>
      <c r="G55" s="116"/>
      <c r="H55" s="89" t="str">
        <f t="shared" si="38"/>
        <v/>
      </c>
      <c r="I55" s="89" t="str">
        <f t="shared" si="36"/>
        <v/>
      </c>
      <c r="J55" s="90">
        <f t="shared" si="37"/>
        <v>0</v>
      </c>
      <c r="Y55" s="190">
        <f>ResponseTimes!E22</f>
        <v>2469</v>
      </c>
      <c r="Z55" s="190">
        <f>ResponseTimes!N22</f>
        <v>1144</v>
      </c>
      <c r="AA55" s="190">
        <f>ResponseTimes!W22</f>
        <v>2700</v>
      </c>
      <c r="AC55" t="str">
        <f t="shared" si="30"/>
        <v>Ambivalent</v>
      </c>
      <c r="AD55" t="str">
        <f t="shared" si="31"/>
        <v>Ambivalent</v>
      </c>
      <c r="AE55" t="str">
        <f t="shared" si="32"/>
        <v>Ambivalent</v>
      </c>
    </row>
    <row r="56" spans="1:48" ht="16" thickBot="1" x14ac:dyDescent="0.25">
      <c r="A56" s="116"/>
      <c r="B56" s="89" t="str">
        <f t="shared" si="33"/>
        <v/>
      </c>
      <c r="C56" s="89">
        <f t="shared" si="34"/>
        <v>8</v>
      </c>
      <c r="D56" s="90" t="str">
        <f t="shared" si="35"/>
        <v/>
      </c>
      <c r="G56" s="116"/>
      <c r="H56" s="89">
        <f t="shared" si="38"/>
        <v>8</v>
      </c>
      <c r="I56" s="89" t="str">
        <f t="shared" si="36"/>
        <v/>
      </c>
      <c r="J56" s="90" t="str">
        <f t="shared" si="37"/>
        <v/>
      </c>
      <c r="Y56" s="190">
        <f>ResponseTimes!E23</f>
        <v>2418</v>
      </c>
      <c r="Z56" s="190">
        <f>ResponseTimes!N23</f>
        <v>2109</v>
      </c>
      <c r="AA56" s="190">
        <f>ResponseTimes!W23</f>
        <v>1792</v>
      </c>
      <c r="AC56" t="str">
        <f t="shared" si="30"/>
        <v>Avoid</v>
      </c>
      <c r="AD56" t="str">
        <f t="shared" si="31"/>
        <v>Avoid</v>
      </c>
      <c r="AE56" t="str">
        <f t="shared" si="32"/>
        <v>Approach</v>
      </c>
    </row>
    <row r="57" spans="1:48" ht="16" thickBot="1" x14ac:dyDescent="0.25">
      <c r="A57" s="116"/>
      <c r="B57" s="89" t="str">
        <f t="shared" si="33"/>
        <v/>
      </c>
      <c r="C57" s="89" t="str">
        <f t="shared" si="34"/>
        <v/>
      </c>
      <c r="D57" s="90">
        <f t="shared" si="35"/>
        <v>0</v>
      </c>
      <c r="G57" s="116"/>
      <c r="H57" s="89" t="str">
        <f t="shared" si="38"/>
        <v/>
      </c>
      <c r="I57" s="89" t="str">
        <f t="shared" si="36"/>
        <v/>
      </c>
      <c r="J57" s="90">
        <f t="shared" si="37"/>
        <v>0</v>
      </c>
      <c r="Y57" s="190">
        <f>ResponseTimes!E24</f>
        <v>1431</v>
      </c>
      <c r="Z57" s="190">
        <f>ResponseTimes!N24</f>
        <v>1850</v>
      </c>
      <c r="AA57" s="190">
        <f>ResponseTimes!W24</f>
        <v>3494</v>
      </c>
      <c r="AC57" t="str">
        <f t="shared" si="30"/>
        <v>Ambivalent</v>
      </c>
      <c r="AD57" t="str">
        <f t="shared" si="31"/>
        <v>Ambivalent</v>
      </c>
      <c r="AE57" t="str">
        <f t="shared" si="32"/>
        <v>Ambivalent</v>
      </c>
    </row>
    <row r="58" spans="1:48" ht="16" thickBot="1" x14ac:dyDescent="0.25">
      <c r="A58" s="116"/>
      <c r="B58" s="89" t="str">
        <f t="shared" si="33"/>
        <v/>
      </c>
      <c r="C58" s="89">
        <f t="shared" si="34"/>
        <v>8</v>
      </c>
      <c r="D58" s="90" t="str">
        <f t="shared" si="35"/>
        <v/>
      </c>
      <c r="G58" s="116"/>
      <c r="H58" s="89">
        <f t="shared" si="38"/>
        <v>8</v>
      </c>
      <c r="I58" s="89" t="str">
        <f t="shared" si="36"/>
        <v/>
      </c>
      <c r="J58" s="90" t="str">
        <f t="shared" si="37"/>
        <v/>
      </c>
      <c r="Y58" s="190">
        <f>ResponseTimes!E25</f>
        <v>2686</v>
      </c>
      <c r="Z58" s="190">
        <f>ResponseTimes!N25</f>
        <v>1993</v>
      </c>
      <c r="AA58" s="190">
        <f>ResponseTimes!W25</f>
        <v>1533</v>
      </c>
      <c r="AC58" t="str">
        <f t="shared" si="30"/>
        <v>Approach</v>
      </c>
      <c r="AD58" t="str">
        <f t="shared" si="31"/>
        <v>Approach</v>
      </c>
      <c r="AE58" t="str">
        <f t="shared" si="32"/>
        <v>Approach</v>
      </c>
    </row>
    <row r="59" spans="1:48" ht="16" thickBot="1" x14ac:dyDescent="0.25">
      <c r="A59" s="116"/>
      <c r="B59" s="89" t="str">
        <f t="shared" si="33"/>
        <v/>
      </c>
      <c r="C59" s="89">
        <f t="shared" si="34"/>
        <v>4</v>
      </c>
      <c r="D59" s="90" t="str">
        <f t="shared" si="35"/>
        <v/>
      </c>
      <c r="G59" s="116"/>
      <c r="H59" s="89" t="str">
        <f t="shared" si="38"/>
        <v/>
      </c>
      <c r="I59" s="89">
        <f t="shared" si="36"/>
        <v>4</v>
      </c>
      <c r="J59" s="90" t="str">
        <f t="shared" si="37"/>
        <v/>
      </c>
      <c r="Y59" s="190">
        <f>ResponseTimes!E26</f>
        <v>1906</v>
      </c>
      <c r="Z59" s="190">
        <f>ResponseTimes!N26</f>
        <v>1357</v>
      </c>
      <c r="AA59" s="190">
        <f>ResponseTimes!W26</f>
        <v>2440</v>
      </c>
      <c r="AC59" t="str">
        <f t="shared" si="30"/>
        <v>Ambivalent</v>
      </c>
      <c r="AD59" t="str">
        <f t="shared" si="31"/>
        <v>Ambivalent</v>
      </c>
      <c r="AE59" t="str">
        <f t="shared" si="32"/>
        <v>Ambivalent</v>
      </c>
    </row>
    <row r="60" spans="1:48" ht="16" thickBot="1" x14ac:dyDescent="0.25">
      <c r="A60" s="116"/>
      <c r="B60" s="89" t="str">
        <f t="shared" si="33"/>
        <v/>
      </c>
      <c r="C60" s="89">
        <f t="shared" si="34"/>
        <v>8</v>
      </c>
      <c r="D60" s="90" t="str">
        <f t="shared" si="35"/>
        <v/>
      </c>
      <c r="G60" s="116"/>
      <c r="H60" s="89">
        <f t="shared" si="38"/>
        <v>8</v>
      </c>
      <c r="I60" s="89" t="str">
        <f t="shared" si="36"/>
        <v/>
      </c>
      <c r="J60" s="90" t="str">
        <f t="shared" si="37"/>
        <v/>
      </c>
      <c r="Y60" s="190">
        <f>ResponseTimes!E27</f>
        <v>2871</v>
      </c>
      <c r="Z60" s="190">
        <f>ResponseTimes!N27</f>
        <v>2083</v>
      </c>
      <c r="AA60" s="190">
        <f>ResponseTimes!W27</f>
        <v>1718</v>
      </c>
      <c r="AC60" t="str">
        <f t="shared" si="30"/>
        <v>Avoid</v>
      </c>
      <c r="AD60" t="str">
        <f t="shared" si="31"/>
        <v>Avoid</v>
      </c>
      <c r="AE60" t="str">
        <f t="shared" si="32"/>
        <v>Approach</v>
      </c>
    </row>
    <row r="61" spans="1:48" ht="16" thickBot="1" x14ac:dyDescent="0.25">
      <c r="A61" s="116"/>
      <c r="B61" s="89" t="str">
        <f t="shared" si="33"/>
        <v/>
      </c>
      <c r="C61" s="89" t="str">
        <f t="shared" si="34"/>
        <v/>
      </c>
      <c r="D61" s="90">
        <f t="shared" si="35"/>
        <v>0</v>
      </c>
      <c r="G61" s="116"/>
      <c r="H61" s="89" t="str">
        <f t="shared" si="38"/>
        <v/>
      </c>
      <c r="I61" s="89" t="str">
        <f t="shared" si="36"/>
        <v/>
      </c>
      <c r="J61" s="90">
        <f t="shared" si="37"/>
        <v>0</v>
      </c>
      <c r="Y61" s="190">
        <f>ResponseTimes!E28</f>
        <v>2284</v>
      </c>
      <c r="Z61" s="190">
        <f>ResponseTimes!N28</f>
        <v>1966</v>
      </c>
      <c r="AA61" s="190">
        <f>ResponseTimes!W28</f>
        <v>1738</v>
      </c>
      <c r="AC61" t="str">
        <f t="shared" si="30"/>
        <v>Approach</v>
      </c>
      <c r="AD61" t="str">
        <f t="shared" si="31"/>
        <v>Approach</v>
      </c>
      <c r="AE61" t="str">
        <f t="shared" si="32"/>
        <v>Approach</v>
      </c>
    </row>
    <row r="62" spans="1:48" ht="16" thickBot="1" x14ac:dyDescent="0.25">
      <c r="A62" s="116"/>
      <c r="B62" s="89" t="str">
        <f t="shared" si="33"/>
        <v/>
      </c>
      <c r="C62" s="89">
        <f t="shared" si="34"/>
        <v>3</v>
      </c>
      <c r="D62" s="90" t="str">
        <f t="shared" si="35"/>
        <v/>
      </c>
      <c r="G62" s="116"/>
      <c r="H62" s="89" t="str">
        <f t="shared" si="38"/>
        <v/>
      </c>
      <c r="I62" s="89">
        <f t="shared" si="36"/>
        <v>3</v>
      </c>
      <c r="J62" s="90" t="str">
        <f t="shared" si="37"/>
        <v/>
      </c>
      <c r="Y62" s="190">
        <f>ResponseTimes!E29</f>
        <v>2663</v>
      </c>
      <c r="Z62" s="190">
        <f>ResponseTimes!N29</f>
        <v>2168</v>
      </c>
      <c r="AA62" s="190">
        <f>ResponseTimes!W29</f>
        <v>2261</v>
      </c>
      <c r="AC62" t="str">
        <f t="shared" si="30"/>
        <v>Avoid</v>
      </c>
      <c r="AD62" t="str">
        <f t="shared" si="31"/>
        <v>Avoid</v>
      </c>
      <c r="AE62" t="str">
        <f t="shared" si="32"/>
        <v>Avoid</v>
      </c>
    </row>
    <row r="63" spans="1:48" ht="16" thickBot="1" x14ac:dyDescent="0.25">
      <c r="A63" s="116"/>
      <c r="B63" s="89" t="str">
        <f t="shared" si="33"/>
        <v/>
      </c>
      <c r="C63" s="89">
        <f t="shared" si="34"/>
        <v>8</v>
      </c>
      <c r="D63" s="90" t="str">
        <f t="shared" si="35"/>
        <v/>
      </c>
      <c r="G63" s="116"/>
      <c r="H63" s="89">
        <f t="shared" si="38"/>
        <v>8</v>
      </c>
      <c r="I63" s="89" t="str">
        <f t="shared" si="36"/>
        <v/>
      </c>
      <c r="J63" s="90" t="str">
        <f t="shared" si="37"/>
        <v/>
      </c>
      <c r="Y63" s="190">
        <f>ResponseTimes!E30</f>
        <v>1979</v>
      </c>
      <c r="Z63" s="190">
        <f>ResponseTimes!N30</f>
        <v>1597</v>
      </c>
      <c r="AA63" s="190">
        <f>ResponseTimes!W30</f>
        <v>5296</v>
      </c>
      <c r="AC63" t="str">
        <f t="shared" si="30"/>
        <v>Approach</v>
      </c>
      <c r="AD63" t="str">
        <f t="shared" si="31"/>
        <v>Approach</v>
      </c>
      <c r="AE63" t="str">
        <f t="shared" si="32"/>
        <v>Approach</v>
      </c>
    </row>
    <row r="64" spans="1:48" ht="16" thickBot="1" x14ac:dyDescent="0.25">
      <c r="A64" s="116"/>
      <c r="B64" s="89" t="str">
        <f t="shared" si="33"/>
        <v/>
      </c>
      <c r="C64" s="89">
        <f t="shared" si="34"/>
        <v>4</v>
      </c>
      <c r="D64" s="90" t="str">
        <f t="shared" si="35"/>
        <v/>
      </c>
      <c r="G64" s="116"/>
      <c r="H64" s="89" t="str">
        <f t="shared" si="38"/>
        <v/>
      </c>
      <c r="I64" s="89">
        <f t="shared" si="36"/>
        <v>4</v>
      </c>
      <c r="J64" s="90" t="str">
        <f t="shared" si="37"/>
        <v/>
      </c>
      <c r="Y64" s="190">
        <f>ResponseTimes!E31</f>
        <v>2568</v>
      </c>
      <c r="Z64" s="190">
        <f>ResponseTimes!N31</f>
        <v>1922</v>
      </c>
      <c r="AA64" s="190">
        <f>ResponseTimes!W31</f>
        <v>2358</v>
      </c>
      <c r="AC64" t="str">
        <f t="shared" si="30"/>
        <v>Avoid</v>
      </c>
      <c r="AD64" t="str">
        <f t="shared" si="31"/>
        <v>Avoid</v>
      </c>
      <c r="AE64" t="str">
        <f t="shared" si="32"/>
        <v>Avoid</v>
      </c>
    </row>
    <row r="65" spans="1:46" ht="16" thickBot="1" x14ac:dyDescent="0.25">
      <c r="A65" s="116"/>
      <c r="B65" s="89" t="str">
        <f t="shared" si="33"/>
        <v/>
      </c>
      <c r="C65" s="89" t="str">
        <f t="shared" si="34"/>
        <v/>
      </c>
      <c r="D65" s="90">
        <f t="shared" si="35"/>
        <v>0</v>
      </c>
      <c r="G65" s="116"/>
      <c r="H65" s="89" t="str">
        <f t="shared" si="38"/>
        <v/>
      </c>
      <c r="I65" s="89" t="str">
        <f t="shared" si="36"/>
        <v/>
      </c>
      <c r="J65" s="90">
        <f t="shared" si="37"/>
        <v>0</v>
      </c>
      <c r="Y65" s="190">
        <f>ResponseTimes!E32</f>
        <v>4501</v>
      </c>
      <c r="Z65" s="190">
        <f>ResponseTimes!N32</f>
        <v>2751</v>
      </c>
      <c r="AA65" s="190">
        <f>ResponseTimes!W32</f>
        <v>1628</v>
      </c>
      <c r="AC65" t="str">
        <f>F32</f>
        <v>Ambivalent</v>
      </c>
      <c r="AD65" t="str">
        <f t="shared" si="31"/>
        <v>Ambivalent</v>
      </c>
      <c r="AE65" t="str">
        <f t="shared" si="32"/>
        <v>Approach</v>
      </c>
    </row>
    <row r="66" spans="1:46" ht="16" thickBot="1" x14ac:dyDescent="0.25">
      <c r="A66" s="116"/>
      <c r="B66" s="89" t="str">
        <f t="shared" si="33"/>
        <v/>
      </c>
      <c r="C66" s="89">
        <f t="shared" si="34"/>
        <v>5</v>
      </c>
      <c r="D66" s="90" t="str">
        <f t="shared" si="35"/>
        <v/>
      </c>
      <c r="G66" s="116"/>
      <c r="H66" s="89" t="str">
        <f t="shared" si="38"/>
        <v/>
      </c>
      <c r="I66" s="89">
        <f t="shared" si="36"/>
        <v>5</v>
      </c>
      <c r="J66" s="90" t="str">
        <f t="shared" si="37"/>
        <v/>
      </c>
    </row>
    <row r="67" spans="1:46" ht="16" thickBot="1" x14ac:dyDescent="0.25">
      <c r="A67" s="116"/>
      <c r="B67" s="89" t="str">
        <f t="shared" si="33"/>
        <v/>
      </c>
      <c r="C67" s="89" t="str">
        <f t="shared" si="34"/>
        <v/>
      </c>
      <c r="D67" s="90">
        <f t="shared" si="35"/>
        <v>0</v>
      </c>
      <c r="G67" s="116"/>
      <c r="H67" s="89" t="str">
        <f t="shared" si="38"/>
        <v/>
      </c>
      <c r="I67" s="89" t="str">
        <f t="shared" si="36"/>
        <v/>
      </c>
      <c r="J67" s="90">
        <f t="shared" si="37"/>
        <v>0</v>
      </c>
    </row>
    <row r="68" spans="1:46" ht="16" thickBot="1" x14ac:dyDescent="0.25">
      <c r="A68" s="116"/>
      <c r="B68" s="89" t="str">
        <f t="shared" si="33"/>
        <v/>
      </c>
      <c r="C68" s="89">
        <f t="shared" si="34"/>
        <v>5</v>
      </c>
      <c r="D68" s="90" t="str">
        <f t="shared" si="35"/>
        <v/>
      </c>
      <c r="G68" s="116"/>
      <c r="H68" s="89" t="str">
        <f t="shared" si="38"/>
        <v/>
      </c>
      <c r="I68" s="89">
        <f t="shared" si="36"/>
        <v>5</v>
      </c>
      <c r="J68" s="90" t="str">
        <f t="shared" si="37"/>
        <v/>
      </c>
    </row>
    <row r="69" spans="1:46" ht="16" thickBot="1" x14ac:dyDescent="0.25">
      <c r="A69" s="116"/>
      <c r="B69" s="89">
        <f t="shared" si="33"/>
        <v>9</v>
      </c>
      <c r="C69" s="89" t="str">
        <f t="shared" si="34"/>
        <v/>
      </c>
      <c r="D69" s="90" t="str">
        <f t="shared" si="35"/>
        <v/>
      </c>
      <c r="G69" s="116"/>
      <c r="H69" s="89">
        <f t="shared" si="38"/>
        <v>9</v>
      </c>
      <c r="I69" s="89" t="str">
        <f t="shared" si="36"/>
        <v/>
      </c>
      <c r="J69" s="90" t="str">
        <f t="shared" si="37"/>
        <v/>
      </c>
    </row>
    <row r="70" spans="1:46" ht="16" thickBot="1" x14ac:dyDescent="0.25">
      <c r="A70" s="116"/>
      <c r="B70" s="89" t="str">
        <f t="shared" si="33"/>
        <v/>
      </c>
      <c r="C70" s="89">
        <f t="shared" si="34"/>
        <v>3</v>
      </c>
      <c r="D70" s="90" t="str">
        <f t="shared" si="35"/>
        <v/>
      </c>
      <c r="G70" s="116"/>
      <c r="H70" s="89" t="str">
        <f t="shared" si="38"/>
        <v/>
      </c>
      <c r="I70" s="89">
        <f t="shared" si="36"/>
        <v>3</v>
      </c>
      <c r="J70" s="90" t="str">
        <f t="shared" si="37"/>
        <v/>
      </c>
    </row>
    <row r="71" spans="1:46" ht="16" thickBot="1" x14ac:dyDescent="0.25">
      <c r="A71" s="116"/>
      <c r="B71" s="89" t="str">
        <f t="shared" ref="B71:B75" si="39">IF(E27="APPROACH",C27,"")</f>
        <v/>
      </c>
      <c r="C71" s="89" t="str">
        <f t="shared" ref="C71:C76" si="40">IF(E27="AMBIVALENT",C27,"")</f>
        <v/>
      </c>
      <c r="D71" s="90">
        <f t="shared" ref="D71:D76" si="41">IF(E27="AVOID",C27,"")</f>
        <v>0</v>
      </c>
      <c r="G71" s="116"/>
      <c r="H71" s="89" t="str">
        <f t="shared" si="38"/>
        <v/>
      </c>
      <c r="I71" s="89" t="str">
        <f t="shared" si="36"/>
        <v/>
      </c>
      <c r="J71" s="90">
        <f t="shared" si="37"/>
        <v>0</v>
      </c>
    </row>
    <row r="72" spans="1:46" ht="16" thickBot="1" x14ac:dyDescent="0.25">
      <c r="A72" s="116"/>
      <c r="B72" s="89" t="str">
        <f t="shared" si="39"/>
        <v/>
      </c>
      <c r="C72" s="89">
        <f t="shared" si="40"/>
        <v>8</v>
      </c>
      <c r="D72" s="90" t="str">
        <f t="shared" si="41"/>
        <v/>
      </c>
      <c r="G72" s="116"/>
      <c r="H72" s="89">
        <f t="shared" si="38"/>
        <v>8</v>
      </c>
      <c r="I72" s="89" t="str">
        <f t="shared" si="36"/>
        <v/>
      </c>
      <c r="J72" s="90" t="str">
        <f t="shared" si="37"/>
        <v/>
      </c>
    </row>
    <row r="73" spans="1:46" ht="16" thickBot="1" x14ac:dyDescent="0.25">
      <c r="A73" s="116"/>
      <c r="B73" s="89" t="str">
        <f t="shared" si="39"/>
        <v/>
      </c>
      <c r="C73" s="89" t="str">
        <f t="shared" si="40"/>
        <v/>
      </c>
      <c r="D73" s="90">
        <f t="shared" si="41"/>
        <v>0</v>
      </c>
      <c r="G73" s="116"/>
      <c r="H73" s="89" t="str">
        <f t="shared" si="38"/>
        <v/>
      </c>
      <c r="I73" s="89" t="str">
        <f t="shared" si="36"/>
        <v/>
      </c>
      <c r="J73" s="90">
        <f t="shared" si="37"/>
        <v>0</v>
      </c>
    </row>
    <row r="74" spans="1:46" ht="16" thickBot="1" x14ac:dyDescent="0.25">
      <c r="A74" s="116"/>
      <c r="B74" s="89" t="str">
        <f t="shared" si="39"/>
        <v/>
      </c>
      <c r="C74" s="89">
        <f t="shared" si="40"/>
        <v>8</v>
      </c>
      <c r="D74" s="90" t="str">
        <f t="shared" si="41"/>
        <v/>
      </c>
      <c r="G74" s="116"/>
      <c r="H74" s="89">
        <f t="shared" si="38"/>
        <v>8</v>
      </c>
      <c r="I74" s="89" t="str">
        <f t="shared" si="36"/>
        <v/>
      </c>
      <c r="J74" s="90" t="str">
        <f t="shared" si="37"/>
        <v/>
      </c>
    </row>
    <row r="75" spans="1:46" ht="16" thickBot="1" x14ac:dyDescent="0.25">
      <c r="A75" s="116"/>
      <c r="B75" s="89" t="str">
        <f t="shared" si="39"/>
        <v/>
      </c>
      <c r="C75" s="89" t="str">
        <f t="shared" si="40"/>
        <v/>
      </c>
      <c r="D75" s="90">
        <f t="shared" si="41"/>
        <v>0</v>
      </c>
      <c r="G75" s="116"/>
      <c r="H75" s="89" t="str">
        <f t="shared" si="38"/>
        <v/>
      </c>
      <c r="I75" s="89" t="str">
        <f t="shared" si="36"/>
        <v/>
      </c>
      <c r="J75" s="90">
        <f t="shared" si="37"/>
        <v>0</v>
      </c>
    </row>
    <row r="76" spans="1:46" ht="16" thickBot="1" x14ac:dyDescent="0.25">
      <c r="A76" s="116"/>
      <c r="B76" s="89" t="str">
        <f>IF(E32="APPROACH",C32,"")</f>
        <v/>
      </c>
      <c r="C76" s="89">
        <f t="shared" si="40"/>
        <v>3</v>
      </c>
      <c r="D76" s="90" t="str">
        <f t="shared" si="41"/>
        <v/>
      </c>
      <c r="G76" s="116"/>
      <c r="H76" s="89" t="str">
        <f t="shared" si="38"/>
        <v/>
      </c>
      <c r="I76" s="89">
        <f t="shared" si="36"/>
        <v>3</v>
      </c>
      <c r="J76" s="90" t="str">
        <f t="shared" si="37"/>
        <v/>
      </c>
    </row>
    <row r="77" spans="1:46" ht="16" thickBot="1" x14ac:dyDescent="0.25">
      <c r="A77" s="112" t="s">
        <v>11</v>
      </c>
      <c r="B77" s="89" t="str">
        <f t="shared" ref="B77:B86" si="42">IF(L3="APPROACH",J3,"")</f>
        <v/>
      </c>
      <c r="C77" s="89">
        <f t="shared" ref="C77:C86" si="43">IF(L3="AMBIVALENT",J3,"")</f>
        <v>8</v>
      </c>
      <c r="D77" s="90" t="str">
        <f t="shared" ref="D77:D86" si="44">IF(L3="AVOID",J3,"")</f>
        <v/>
      </c>
      <c r="G77" s="112" t="s">
        <v>11</v>
      </c>
      <c r="H77" s="89">
        <f>IF(M3="APPROACH",J3,"")</f>
        <v>8</v>
      </c>
      <c r="I77" s="89" t="str">
        <f>IF(M3="AMBIVALENT",J3,"")</f>
        <v/>
      </c>
      <c r="J77" s="90" t="str">
        <f>IF(M3="AVOID",J3,"")</f>
        <v/>
      </c>
    </row>
    <row r="78" spans="1:46" ht="16" thickBot="1" x14ac:dyDescent="0.25">
      <c r="A78" s="113"/>
      <c r="B78" s="89" t="str">
        <f t="shared" si="42"/>
        <v/>
      </c>
      <c r="C78" s="89">
        <f t="shared" si="43"/>
        <v>7</v>
      </c>
      <c r="D78" s="90" t="str">
        <f t="shared" si="44"/>
        <v/>
      </c>
      <c r="G78" s="113"/>
      <c r="H78" s="89" t="str">
        <f t="shared" ref="H78:H106" si="45">IF(M4="APPROACH",J4,"")</f>
        <v/>
      </c>
      <c r="I78" s="89">
        <f t="shared" ref="I78:I105" si="46">IF(M4="AMBIVALENT",J4,"")</f>
        <v>7</v>
      </c>
      <c r="J78" s="90" t="str">
        <f t="shared" ref="J78:J106" si="47">IF(M4="AVOID",J4,"")</f>
        <v/>
      </c>
      <c r="AT78" s="46"/>
    </row>
    <row r="79" spans="1:46" ht="16" thickBot="1" x14ac:dyDescent="0.25">
      <c r="A79" s="113"/>
      <c r="B79" s="89" t="str">
        <f t="shared" si="42"/>
        <v/>
      </c>
      <c r="C79" s="89" t="str">
        <f t="shared" si="43"/>
        <v/>
      </c>
      <c r="D79" s="90">
        <f t="shared" si="44"/>
        <v>0</v>
      </c>
      <c r="G79" s="113"/>
      <c r="H79" s="89" t="str">
        <f t="shared" si="45"/>
        <v/>
      </c>
      <c r="I79" s="89" t="str">
        <f t="shared" si="46"/>
        <v/>
      </c>
      <c r="J79" s="90">
        <f t="shared" si="47"/>
        <v>0</v>
      </c>
      <c r="AT79" s="46"/>
    </row>
    <row r="80" spans="1:46" ht="16" thickBot="1" x14ac:dyDescent="0.25">
      <c r="A80" s="113"/>
      <c r="B80" s="89" t="str">
        <f t="shared" si="42"/>
        <v/>
      </c>
      <c r="C80" s="89">
        <f t="shared" si="43"/>
        <v>8</v>
      </c>
      <c r="D80" s="90" t="str">
        <f t="shared" si="44"/>
        <v/>
      </c>
      <c r="G80" s="113"/>
      <c r="H80" s="89">
        <f t="shared" si="45"/>
        <v>8</v>
      </c>
      <c r="I80" s="89" t="str">
        <f t="shared" si="46"/>
        <v/>
      </c>
      <c r="J80" s="90" t="str">
        <f t="shared" si="47"/>
        <v/>
      </c>
      <c r="AT80" s="46"/>
    </row>
    <row r="81" spans="1:46" ht="16" thickBot="1" x14ac:dyDescent="0.25">
      <c r="A81" s="113"/>
      <c r="B81" s="89" t="str">
        <f t="shared" si="42"/>
        <v/>
      </c>
      <c r="C81" s="89">
        <f t="shared" si="43"/>
        <v>5</v>
      </c>
      <c r="D81" s="90" t="str">
        <f t="shared" si="44"/>
        <v/>
      </c>
      <c r="G81" s="113"/>
      <c r="H81" s="89" t="str">
        <f t="shared" si="45"/>
        <v/>
      </c>
      <c r="I81" s="89">
        <f t="shared" si="46"/>
        <v>5</v>
      </c>
      <c r="J81" s="90" t="str">
        <f t="shared" si="47"/>
        <v/>
      </c>
      <c r="AT81" s="46"/>
    </row>
    <row r="82" spans="1:46" ht="16" thickBot="1" x14ac:dyDescent="0.25">
      <c r="A82" s="113"/>
      <c r="B82" s="89" t="str">
        <f t="shared" si="42"/>
        <v/>
      </c>
      <c r="C82" s="89">
        <f t="shared" si="43"/>
        <v>8</v>
      </c>
      <c r="D82" s="90" t="str">
        <f t="shared" si="44"/>
        <v/>
      </c>
      <c r="G82" s="113"/>
      <c r="H82" s="89">
        <f t="shared" si="45"/>
        <v>8</v>
      </c>
      <c r="I82" s="89" t="str">
        <f t="shared" si="46"/>
        <v/>
      </c>
      <c r="J82" s="90" t="str">
        <f t="shared" si="47"/>
        <v/>
      </c>
      <c r="AT82" s="46"/>
    </row>
    <row r="83" spans="1:46" ht="16" thickBot="1" x14ac:dyDescent="0.25">
      <c r="A83" s="113"/>
      <c r="B83" s="89" t="str">
        <f t="shared" si="42"/>
        <v/>
      </c>
      <c r="C83" s="89" t="str">
        <f t="shared" si="43"/>
        <v/>
      </c>
      <c r="D83" s="90">
        <f t="shared" si="44"/>
        <v>0</v>
      </c>
      <c r="G83" s="113"/>
      <c r="H83" s="89" t="str">
        <f t="shared" si="45"/>
        <v/>
      </c>
      <c r="I83" s="89" t="str">
        <f t="shared" si="46"/>
        <v/>
      </c>
      <c r="J83" s="90">
        <f t="shared" si="47"/>
        <v>0</v>
      </c>
      <c r="AT83" s="46"/>
    </row>
    <row r="84" spans="1:46" ht="16" thickBot="1" x14ac:dyDescent="0.25">
      <c r="A84" s="113"/>
      <c r="B84" s="89" t="str">
        <f t="shared" si="42"/>
        <v/>
      </c>
      <c r="C84" s="89">
        <f t="shared" si="43"/>
        <v>3</v>
      </c>
      <c r="D84" s="90" t="str">
        <f t="shared" si="44"/>
        <v/>
      </c>
      <c r="G84" s="113"/>
      <c r="H84" s="89" t="str">
        <f t="shared" si="45"/>
        <v/>
      </c>
      <c r="I84" s="89">
        <f t="shared" si="46"/>
        <v>3</v>
      </c>
      <c r="J84" s="90" t="str">
        <f t="shared" si="47"/>
        <v/>
      </c>
      <c r="AT84" s="46"/>
    </row>
    <row r="85" spans="1:46" ht="16" thickBot="1" x14ac:dyDescent="0.25">
      <c r="A85" s="114"/>
      <c r="B85" s="89" t="str">
        <f t="shared" si="42"/>
        <v/>
      </c>
      <c r="C85" s="89" t="str">
        <f t="shared" si="43"/>
        <v/>
      </c>
      <c r="D85" s="90">
        <f t="shared" si="44"/>
        <v>0</v>
      </c>
      <c r="G85" s="114"/>
      <c r="H85" s="89" t="str">
        <f t="shared" si="45"/>
        <v/>
      </c>
      <c r="I85" s="89" t="str">
        <f t="shared" si="46"/>
        <v/>
      </c>
      <c r="J85" s="90">
        <f t="shared" si="47"/>
        <v>0</v>
      </c>
      <c r="AT85" s="46"/>
    </row>
    <row r="86" spans="1:46" ht="16" thickBot="1" x14ac:dyDescent="0.25">
      <c r="A86" s="114"/>
      <c r="B86" s="89" t="str">
        <f t="shared" si="42"/>
        <v/>
      </c>
      <c r="C86" s="89">
        <f t="shared" si="43"/>
        <v>8</v>
      </c>
      <c r="D86" s="90" t="str">
        <f t="shared" si="44"/>
        <v/>
      </c>
      <c r="G86" s="114"/>
      <c r="H86" s="89">
        <f t="shared" si="45"/>
        <v>8</v>
      </c>
      <c r="I86" s="89" t="str">
        <f t="shared" si="46"/>
        <v/>
      </c>
      <c r="J86" s="90" t="str">
        <f t="shared" si="47"/>
        <v/>
      </c>
      <c r="AT86" s="46"/>
    </row>
    <row r="87" spans="1:46" ht="16" thickBot="1" x14ac:dyDescent="0.25">
      <c r="A87" s="114"/>
      <c r="B87" s="89" t="str">
        <f t="shared" ref="B87:B105" si="48">IF(L13="APPROACH",J13,"")</f>
        <v/>
      </c>
      <c r="C87" s="89" t="str">
        <f t="shared" ref="C87:C106" si="49">IF(L13="AMBIVALENT",J13,"")</f>
        <v/>
      </c>
      <c r="D87" s="90">
        <f t="shared" ref="D87:D106" si="50">IF(L13="AVOID",J13,"")</f>
        <v>0</v>
      </c>
      <c r="G87" s="114"/>
      <c r="H87" s="89" t="str">
        <f t="shared" si="45"/>
        <v/>
      </c>
      <c r="I87" s="89" t="str">
        <f t="shared" si="46"/>
        <v/>
      </c>
      <c r="J87" s="90">
        <f t="shared" si="47"/>
        <v>0</v>
      </c>
      <c r="AT87" s="46"/>
    </row>
    <row r="88" spans="1:46" ht="16" thickBot="1" x14ac:dyDescent="0.25">
      <c r="A88" s="114"/>
      <c r="B88" s="89" t="str">
        <f t="shared" si="48"/>
        <v/>
      </c>
      <c r="C88" s="89">
        <f t="shared" si="49"/>
        <v>8</v>
      </c>
      <c r="D88" s="90" t="str">
        <f t="shared" si="50"/>
        <v/>
      </c>
      <c r="G88" s="114"/>
      <c r="H88" s="89">
        <f t="shared" si="45"/>
        <v>8</v>
      </c>
      <c r="I88" s="89" t="str">
        <f t="shared" si="46"/>
        <v/>
      </c>
      <c r="J88" s="90" t="str">
        <f t="shared" si="47"/>
        <v/>
      </c>
      <c r="AT88" s="46"/>
    </row>
    <row r="89" spans="1:46" ht="16" thickBot="1" x14ac:dyDescent="0.25">
      <c r="A89" s="114"/>
      <c r="B89" s="89" t="str">
        <f t="shared" si="48"/>
        <v/>
      </c>
      <c r="C89" s="89">
        <f t="shared" si="49"/>
        <v>4</v>
      </c>
      <c r="D89" s="90" t="str">
        <f t="shared" si="50"/>
        <v/>
      </c>
      <c r="G89" s="114"/>
      <c r="H89" s="89" t="str">
        <f t="shared" si="45"/>
        <v/>
      </c>
      <c r="I89" s="89">
        <f t="shared" si="46"/>
        <v>4</v>
      </c>
      <c r="J89" s="90" t="str">
        <f t="shared" si="47"/>
        <v/>
      </c>
      <c r="AT89" s="46"/>
    </row>
    <row r="90" spans="1:46" ht="16" thickBot="1" x14ac:dyDescent="0.25">
      <c r="A90" s="114"/>
      <c r="B90" s="89" t="str">
        <f t="shared" si="48"/>
        <v/>
      </c>
      <c r="C90" s="89">
        <f t="shared" si="49"/>
        <v>8</v>
      </c>
      <c r="D90" s="90" t="str">
        <f t="shared" si="50"/>
        <v/>
      </c>
      <c r="G90" s="114"/>
      <c r="H90" s="89">
        <f t="shared" si="45"/>
        <v>8</v>
      </c>
      <c r="I90" s="89" t="str">
        <f t="shared" si="46"/>
        <v/>
      </c>
      <c r="J90" s="90" t="str">
        <f t="shared" si="47"/>
        <v/>
      </c>
      <c r="AT90" s="46"/>
    </row>
    <row r="91" spans="1:46" ht="16" thickBot="1" x14ac:dyDescent="0.25">
      <c r="A91" s="114"/>
      <c r="B91" s="89" t="str">
        <f t="shared" si="48"/>
        <v/>
      </c>
      <c r="C91" s="89" t="str">
        <f t="shared" si="49"/>
        <v/>
      </c>
      <c r="D91" s="90">
        <f t="shared" si="50"/>
        <v>0</v>
      </c>
      <c r="G91" s="114"/>
      <c r="H91" s="89" t="str">
        <f t="shared" si="45"/>
        <v/>
      </c>
      <c r="I91" s="89" t="str">
        <f t="shared" si="46"/>
        <v/>
      </c>
      <c r="J91" s="90">
        <f t="shared" si="47"/>
        <v>0</v>
      </c>
      <c r="AT91" s="46"/>
    </row>
    <row r="92" spans="1:46" ht="16" thickBot="1" x14ac:dyDescent="0.25">
      <c r="A92" s="114"/>
      <c r="B92" s="89" t="str">
        <f t="shared" si="48"/>
        <v/>
      </c>
      <c r="C92" s="89">
        <f t="shared" si="49"/>
        <v>4</v>
      </c>
      <c r="D92" s="90" t="str">
        <f t="shared" si="50"/>
        <v/>
      </c>
      <c r="G92" s="114"/>
      <c r="H92" s="89" t="str">
        <f t="shared" si="45"/>
        <v/>
      </c>
      <c r="I92" s="89">
        <f t="shared" si="46"/>
        <v>4</v>
      </c>
      <c r="J92" s="90" t="str">
        <f t="shared" si="47"/>
        <v/>
      </c>
      <c r="AT92" s="46"/>
    </row>
    <row r="93" spans="1:46" ht="16" thickBot="1" x14ac:dyDescent="0.25">
      <c r="A93" s="114"/>
      <c r="B93" s="89" t="str">
        <f t="shared" si="48"/>
        <v/>
      </c>
      <c r="C93" s="89">
        <f t="shared" si="49"/>
        <v>8</v>
      </c>
      <c r="D93" s="90" t="str">
        <f t="shared" si="50"/>
        <v/>
      </c>
      <c r="G93" s="114"/>
      <c r="H93" s="89">
        <f t="shared" si="45"/>
        <v>8</v>
      </c>
      <c r="I93" s="89" t="str">
        <f t="shared" si="46"/>
        <v/>
      </c>
      <c r="J93" s="90" t="str">
        <f t="shared" si="47"/>
        <v/>
      </c>
      <c r="AT93" s="46"/>
    </row>
    <row r="94" spans="1:46" ht="16" thickBot="1" x14ac:dyDescent="0.25">
      <c r="A94" s="114"/>
      <c r="B94" s="89" t="str">
        <f t="shared" si="48"/>
        <v/>
      </c>
      <c r="C94" s="89">
        <f t="shared" si="49"/>
        <v>3</v>
      </c>
      <c r="D94" s="90" t="str">
        <f t="shared" si="50"/>
        <v/>
      </c>
      <c r="G94" s="114"/>
      <c r="H94" s="89" t="str">
        <f t="shared" si="45"/>
        <v/>
      </c>
      <c r="I94" s="89">
        <f t="shared" si="46"/>
        <v>3</v>
      </c>
      <c r="J94" s="90" t="str">
        <f t="shared" si="47"/>
        <v/>
      </c>
      <c r="AT94" s="46"/>
    </row>
    <row r="95" spans="1:46" ht="16" thickBot="1" x14ac:dyDescent="0.25">
      <c r="A95" s="114"/>
      <c r="B95" s="89" t="str">
        <f t="shared" si="48"/>
        <v/>
      </c>
      <c r="C95" s="89" t="str">
        <f t="shared" si="49"/>
        <v/>
      </c>
      <c r="D95" s="90">
        <f t="shared" si="50"/>
        <v>0</v>
      </c>
      <c r="G95" s="114"/>
      <c r="H95" s="89" t="str">
        <f t="shared" si="45"/>
        <v/>
      </c>
      <c r="I95" s="89" t="str">
        <f t="shared" si="46"/>
        <v/>
      </c>
      <c r="J95" s="90">
        <f t="shared" si="47"/>
        <v>0</v>
      </c>
      <c r="AT95" s="46"/>
    </row>
    <row r="96" spans="1:46" ht="16" thickBot="1" x14ac:dyDescent="0.25">
      <c r="A96" s="114"/>
      <c r="B96" s="89" t="str">
        <f t="shared" si="48"/>
        <v/>
      </c>
      <c r="C96" s="89">
        <f t="shared" si="49"/>
        <v>4</v>
      </c>
      <c r="D96" s="90" t="str">
        <f t="shared" si="50"/>
        <v/>
      </c>
      <c r="G96" s="114"/>
      <c r="H96" s="89" t="str">
        <f t="shared" si="45"/>
        <v/>
      </c>
      <c r="I96" s="89">
        <f t="shared" si="46"/>
        <v>4</v>
      </c>
      <c r="J96" s="90" t="str">
        <f t="shared" si="47"/>
        <v/>
      </c>
      <c r="AT96" s="46"/>
    </row>
    <row r="97" spans="1:46" ht="16" thickBot="1" x14ac:dyDescent="0.25">
      <c r="A97" s="114"/>
      <c r="B97" s="89" t="str">
        <f t="shared" si="48"/>
        <v/>
      </c>
      <c r="C97" s="89" t="str">
        <f t="shared" si="49"/>
        <v/>
      </c>
      <c r="D97" s="90">
        <f t="shared" si="50"/>
        <v>0</v>
      </c>
      <c r="G97" s="114"/>
      <c r="H97" s="89" t="str">
        <f t="shared" si="45"/>
        <v/>
      </c>
      <c r="I97" s="89" t="str">
        <f t="shared" si="46"/>
        <v/>
      </c>
      <c r="J97" s="90">
        <f t="shared" si="47"/>
        <v>0</v>
      </c>
      <c r="AT97" s="46"/>
    </row>
    <row r="98" spans="1:46" ht="16" thickBot="1" x14ac:dyDescent="0.25">
      <c r="A98" s="114"/>
      <c r="B98" s="89" t="str">
        <f t="shared" si="48"/>
        <v/>
      </c>
      <c r="C98" s="89">
        <f t="shared" si="49"/>
        <v>4</v>
      </c>
      <c r="D98" s="90" t="str">
        <f t="shared" si="50"/>
        <v/>
      </c>
      <c r="G98" s="114"/>
      <c r="H98" s="89" t="str">
        <f t="shared" si="45"/>
        <v/>
      </c>
      <c r="I98" s="89">
        <f t="shared" si="46"/>
        <v>4</v>
      </c>
      <c r="J98" s="90" t="str">
        <f t="shared" si="47"/>
        <v/>
      </c>
      <c r="AT98" s="46"/>
    </row>
    <row r="99" spans="1:46" ht="16" thickBot="1" x14ac:dyDescent="0.25">
      <c r="A99" s="114"/>
      <c r="B99" s="89">
        <f t="shared" si="48"/>
        <v>9</v>
      </c>
      <c r="C99" s="89" t="str">
        <f t="shared" si="49"/>
        <v/>
      </c>
      <c r="D99" s="90" t="str">
        <f t="shared" si="50"/>
        <v/>
      </c>
      <c r="G99" s="114"/>
      <c r="H99" s="89">
        <f t="shared" si="45"/>
        <v>9</v>
      </c>
      <c r="I99" s="89" t="str">
        <f t="shared" si="46"/>
        <v/>
      </c>
      <c r="J99" s="90" t="str">
        <f t="shared" si="47"/>
        <v/>
      </c>
      <c r="AT99" s="46"/>
    </row>
    <row r="100" spans="1:46" ht="16" thickBot="1" x14ac:dyDescent="0.25">
      <c r="A100" s="114"/>
      <c r="B100" s="89" t="str">
        <f t="shared" si="48"/>
        <v/>
      </c>
      <c r="C100" s="89">
        <f t="shared" si="49"/>
        <v>4</v>
      </c>
      <c r="D100" s="90" t="str">
        <f t="shared" si="50"/>
        <v/>
      </c>
      <c r="G100" s="114"/>
      <c r="H100" s="89" t="str">
        <f t="shared" si="45"/>
        <v/>
      </c>
      <c r="I100" s="89">
        <f t="shared" si="46"/>
        <v>4</v>
      </c>
      <c r="J100" s="90" t="str">
        <f t="shared" si="47"/>
        <v/>
      </c>
      <c r="AT100" s="46"/>
    </row>
    <row r="101" spans="1:46" ht="16" thickBot="1" x14ac:dyDescent="0.25">
      <c r="A101" s="114"/>
      <c r="B101" s="89" t="str">
        <f t="shared" si="48"/>
        <v/>
      </c>
      <c r="C101" s="89" t="str">
        <f t="shared" si="49"/>
        <v/>
      </c>
      <c r="D101" s="90">
        <f t="shared" si="50"/>
        <v>0</v>
      </c>
      <c r="G101" s="114"/>
      <c r="H101" s="89" t="str">
        <f t="shared" si="45"/>
        <v/>
      </c>
      <c r="I101" s="89" t="str">
        <f t="shared" si="46"/>
        <v/>
      </c>
      <c r="J101" s="90">
        <f t="shared" si="47"/>
        <v>0</v>
      </c>
      <c r="AT101" s="46"/>
    </row>
    <row r="102" spans="1:46" ht="16" thickBot="1" x14ac:dyDescent="0.25">
      <c r="A102" s="114"/>
      <c r="B102" s="89" t="str">
        <f t="shared" si="48"/>
        <v/>
      </c>
      <c r="C102" s="89">
        <f t="shared" si="49"/>
        <v>8</v>
      </c>
      <c r="D102" s="90" t="str">
        <f t="shared" si="50"/>
        <v/>
      </c>
      <c r="G102" s="114"/>
      <c r="H102" s="89">
        <f t="shared" si="45"/>
        <v>8</v>
      </c>
      <c r="I102" s="89" t="str">
        <f t="shared" si="46"/>
        <v/>
      </c>
      <c r="J102" s="90" t="str">
        <f>IF(M28="AVOID",J28,"")</f>
        <v/>
      </c>
      <c r="AT102" s="46"/>
    </row>
    <row r="103" spans="1:46" ht="16" thickBot="1" x14ac:dyDescent="0.25">
      <c r="A103" s="114"/>
      <c r="B103" s="89" t="str">
        <f t="shared" si="48"/>
        <v/>
      </c>
      <c r="C103" s="89" t="str">
        <f t="shared" si="49"/>
        <v/>
      </c>
      <c r="D103" s="90">
        <f t="shared" si="50"/>
        <v>0</v>
      </c>
      <c r="G103" s="114"/>
      <c r="H103" s="89" t="str">
        <f t="shared" si="45"/>
        <v/>
      </c>
      <c r="I103" s="89" t="str">
        <f t="shared" si="46"/>
        <v/>
      </c>
      <c r="J103" s="90">
        <f t="shared" si="47"/>
        <v>0</v>
      </c>
      <c r="AT103" s="46"/>
    </row>
    <row r="104" spans="1:46" ht="16" thickBot="1" x14ac:dyDescent="0.25">
      <c r="A104" s="114"/>
      <c r="B104" s="89" t="str">
        <f t="shared" si="48"/>
        <v/>
      </c>
      <c r="C104" s="89">
        <f t="shared" si="49"/>
        <v>8</v>
      </c>
      <c r="D104" s="90" t="str">
        <f t="shared" si="50"/>
        <v/>
      </c>
      <c r="G104" s="114"/>
      <c r="H104" s="89">
        <f t="shared" si="45"/>
        <v>8</v>
      </c>
      <c r="I104" s="89" t="str">
        <f t="shared" si="46"/>
        <v/>
      </c>
      <c r="J104" s="90" t="str">
        <f t="shared" si="47"/>
        <v/>
      </c>
    </row>
    <row r="105" spans="1:46" ht="16" thickBot="1" x14ac:dyDescent="0.25">
      <c r="A105" s="114"/>
      <c r="B105" s="89" t="str">
        <f t="shared" si="48"/>
        <v/>
      </c>
      <c r="C105" s="89" t="str">
        <f t="shared" si="49"/>
        <v/>
      </c>
      <c r="D105" s="90">
        <f t="shared" si="50"/>
        <v>0</v>
      </c>
      <c r="G105" s="114"/>
      <c r="H105" s="89" t="str">
        <f t="shared" si="45"/>
        <v/>
      </c>
      <c r="I105" s="89" t="str">
        <f t="shared" si="46"/>
        <v/>
      </c>
      <c r="J105" s="90">
        <f t="shared" si="47"/>
        <v>0</v>
      </c>
    </row>
    <row r="106" spans="1:46" ht="16" thickBot="1" x14ac:dyDescent="0.25">
      <c r="A106" s="114"/>
      <c r="B106" s="89" t="str">
        <f>IF(L32="APPROACH",J32,"")</f>
        <v/>
      </c>
      <c r="C106" s="89">
        <f t="shared" si="49"/>
        <v>7</v>
      </c>
      <c r="D106" s="90" t="str">
        <f t="shared" si="50"/>
        <v/>
      </c>
      <c r="G106" s="114"/>
      <c r="H106" s="89" t="str">
        <f t="shared" si="45"/>
        <v/>
      </c>
      <c r="I106" s="89">
        <f>IF(M32="AMBIVALENT",J32,"")</f>
        <v>7</v>
      </c>
      <c r="J106" s="90" t="str">
        <f t="shared" si="47"/>
        <v/>
      </c>
    </row>
    <row r="107" spans="1:46" ht="16" thickBot="1" x14ac:dyDescent="0.25">
      <c r="A107" s="110" t="s">
        <v>12</v>
      </c>
      <c r="B107" s="89">
        <f t="shared" ref="B107:B108" si="51">IF(S3="APPROACH",Q3,"")</f>
        <v>9</v>
      </c>
      <c r="C107" s="89" t="str">
        <f t="shared" ref="C107:C108" si="52">IF(S3="AMBIVALENT",Q3,"")</f>
        <v/>
      </c>
      <c r="D107" s="90" t="str">
        <f t="shared" ref="D107:D108" si="53">IF(S3="AVOID",Q3,"")</f>
        <v/>
      </c>
      <c r="G107" s="110" t="s">
        <v>12</v>
      </c>
      <c r="H107" s="89">
        <f>IF(T3="APPROACH",Q3,"")</f>
        <v>9</v>
      </c>
      <c r="I107" s="89" t="str">
        <f>IF(T3="AMBIVALENT",Q3,"")</f>
        <v/>
      </c>
      <c r="J107" s="90" t="str">
        <f>IF(T3="AVOID",Q3,"")</f>
        <v/>
      </c>
    </row>
    <row r="108" spans="1:46" ht="16" thickBot="1" x14ac:dyDescent="0.25">
      <c r="A108" s="111"/>
      <c r="B108" s="89" t="str">
        <f t="shared" si="51"/>
        <v/>
      </c>
      <c r="C108" s="89">
        <f t="shared" si="52"/>
        <v>5</v>
      </c>
      <c r="D108" s="90" t="str">
        <f t="shared" si="53"/>
        <v/>
      </c>
      <c r="G108" s="111"/>
      <c r="H108" s="89" t="str">
        <f t="shared" ref="H108:H136" si="54">IF(T4="APPROACH",Q4,"")</f>
        <v/>
      </c>
      <c r="I108" s="89">
        <f t="shared" ref="I108:I136" si="55">IF(T4="AMBIVALENT",Q4,"")</f>
        <v>5</v>
      </c>
      <c r="J108" s="90" t="str">
        <f t="shared" ref="J108:J136" si="56">IF(T4="AVOID",Q4,"")</f>
        <v/>
      </c>
    </row>
    <row r="109" spans="1:46" ht="16" thickBot="1" x14ac:dyDescent="0.25">
      <c r="A109" s="111"/>
      <c r="B109" s="89" t="str">
        <f t="shared" ref="B109:B136" si="57">IF(S5="APPROACH",Q5,"")</f>
        <v/>
      </c>
      <c r="C109" s="89" t="str">
        <f t="shared" ref="C109:C136" si="58">IF(S5="AMBIVALENT",Q5,"")</f>
        <v/>
      </c>
      <c r="D109" s="90">
        <f t="shared" ref="D109:D136" si="59">IF(S5="AVOID",Q5,"")</f>
        <v>0</v>
      </c>
      <c r="G109" s="111"/>
      <c r="H109" s="89" t="str">
        <f t="shared" si="54"/>
        <v/>
      </c>
      <c r="I109" s="89" t="str">
        <f t="shared" si="55"/>
        <v/>
      </c>
      <c r="J109" s="90">
        <f t="shared" si="56"/>
        <v>0</v>
      </c>
    </row>
    <row r="110" spans="1:46" ht="16" thickBot="1" x14ac:dyDescent="0.25">
      <c r="A110" s="111"/>
      <c r="B110" s="89" t="str">
        <f t="shared" si="57"/>
        <v/>
      </c>
      <c r="C110" s="89">
        <f t="shared" si="58"/>
        <v>8</v>
      </c>
      <c r="D110" s="90" t="str">
        <f t="shared" si="59"/>
        <v/>
      </c>
      <c r="G110" s="111"/>
      <c r="H110" s="89">
        <f t="shared" si="54"/>
        <v>8</v>
      </c>
      <c r="I110" s="89" t="str">
        <f t="shared" si="55"/>
        <v/>
      </c>
      <c r="J110" s="90" t="str">
        <f t="shared" si="56"/>
        <v/>
      </c>
    </row>
    <row r="111" spans="1:46" ht="16" thickBot="1" x14ac:dyDescent="0.25">
      <c r="A111" s="111"/>
      <c r="B111" s="89" t="str">
        <f t="shared" si="57"/>
        <v/>
      </c>
      <c r="C111" s="89">
        <f t="shared" si="58"/>
        <v>3</v>
      </c>
      <c r="D111" s="90" t="str">
        <f t="shared" si="59"/>
        <v/>
      </c>
      <c r="G111" s="111"/>
      <c r="H111" s="89" t="str">
        <f t="shared" si="54"/>
        <v/>
      </c>
      <c r="I111" s="89">
        <f t="shared" si="55"/>
        <v>3</v>
      </c>
      <c r="J111" s="90" t="str">
        <f t="shared" si="56"/>
        <v/>
      </c>
    </row>
    <row r="112" spans="1:46" ht="16" thickBot="1" x14ac:dyDescent="0.25">
      <c r="A112" s="111"/>
      <c r="B112" s="89" t="str">
        <f t="shared" si="57"/>
        <v/>
      </c>
      <c r="C112" s="89">
        <f t="shared" si="58"/>
        <v>8</v>
      </c>
      <c r="D112" s="90" t="str">
        <f t="shared" si="59"/>
        <v/>
      </c>
      <c r="G112" s="111"/>
      <c r="H112" s="89">
        <f t="shared" si="54"/>
        <v>8</v>
      </c>
      <c r="I112" s="89" t="str">
        <f t="shared" si="55"/>
        <v/>
      </c>
      <c r="J112" s="90" t="str">
        <f t="shared" si="56"/>
        <v/>
      </c>
    </row>
    <row r="113" spans="1:10" ht="16" thickBot="1" x14ac:dyDescent="0.25">
      <c r="A113" s="111"/>
      <c r="B113" s="89">
        <f t="shared" si="57"/>
        <v>9</v>
      </c>
      <c r="C113" s="89" t="str">
        <f t="shared" si="58"/>
        <v/>
      </c>
      <c r="D113" s="90" t="str">
        <f t="shared" si="59"/>
        <v/>
      </c>
      <c r="G113" s="111"/>
      <c r="H113" s="89">
        <f t="shared" si="54"/>
        <v>9</v>
      </c>
      <c r="I113" s="89" t="str">
        <f t="shared" si="55"/>
        <v/>
      </c>
      <c r="J113" s="90" t="str">
        <f t="shared" si="56"/>
        <v/>
      </c>
    </row>
    <row r="114" spans="1:10" ht="16" thickBot="1" x14ac:dyDescent="0.25">
      <c r="A114" s="111"/>
      <c r="B114" s="89" t="str">
        <f t="shared" si="57"/>
        <v/>
      </c>
      <c r="C114" s="89">
        <f t="shared" si="58"/>
        <v>4</v>
      </c>
      <c r="D114" s="90" t="str">
        <f t="shared" si="59"/>
        <v/>
      </c>
      <c r="G114" s="111"/>
      <c r="H114" s="89" t="str">
        <f t="shared" si="54"/>
        <v/>
      </c>
      <c r="I114" s="89">
        <f t="shared" si="55"/>
        <v>4</v>
      </c>
      <c r="J114" s="90" t="str">
        <f t="shared" si="56"/>
        <v/>
      </c>
    </row>
    <row r="115" spans="1:10" ht="16" thickBot="1" x14ac:dyDescent="0.25">
      <c r="A115" s="110"/>
      <c r="B115" s="89" t="str">
        <f t="shared" si="57"/>
        <v/>
      </c>
      <c r="C115" s="89" t="str">
        <f t="shared" si="58"/>
        <v/>
      </c>
      <c r="D115" s="90">
        <f t="shared" si="59"/>
        <v>0</v>
      </c>
      <c r="G115" s="110"/>
      <c r="H115" s="89" t="str">
        <f t="shared" si="54"/>
        <v/>
      </c>
      <c r="I115" s="89" t="str">
        <f t="shared" si="55"/>
        <v/>
      </c>
      <c r="J115" s="90">
        <f t="shared" si="56"/>
        <v>0</v>
      </c>
    </row>
    <row r="116" spans="1:10" ht="16" thickBot="1" x14ac:dyDescent="0.25">
      <c r="A116" s="110"/>
      <c r="B116" s="89" t="str">
        <f t="shared" si="57"/>
        <v/>
      </c>
      <c r="C116" s="89">
        <f t="shared" si="58"/>
        <v>8</v>
      </c>
      <c r="D116" s="90" t="str">
        <f t="shared" si="59"/>
        <v/>
      </c>
      <c r="G116" s="110"/>
      <c r="H116" s="89">
        <f t="shared" si="54"/>
        <v>8</v>
      </c>
      <c r="I116" s="89" t="str">
        <f t="shared" si="55"/>
        <v/>
      </c>
      <c r="J116" s="90" t="str">
        <f t="shared" si="56"/>
        <v/>
      </c>
    </row>
    <row r="117" spans="1:10" ht="16" thickBot="1" x14ac:dyDescent="0.25">
      <c r="A117" s="110"/>
      <c r="B117" s="89" t="str">
        <f t="shared" si="57"/>
        <v/>
      </c>
      <c r="C117" s="89" t="str">
        <f t="shared" si="58"/>
        <v/>
      </c>
      <c r="D117" s="90">
        <f t="shared" si="59"/>
        <v>0</v>
      </c>
      <c r="G117" s="110"/>
      <c r="H117" s="89" t="str">
        <f t="shared" si="54"/>
        <v/>
      </c>
      <c r="I117" s="89" t="str">
        <f t="shared" si="55"/>
        <v/>
      </c>
      <c r="J117" s="90">
        <f t="shared" si="56"/>
        <v>0</v>
      </c>
    </row>
    <row r="118" spans="1:10" ht="16" thickBot="1" x14ac:dyDescent="0.25">
      <c r="A118" s="110"/>
      <c r="B118" s="89">
        <f t="shared" si="57"/>
        <v>9</v>
      </c>
      <c r="C118" s="89" t="str">
        <f t="shared" si="58"/>
        <v/>
      </c>
      <c r="D118" s="90" t="str">
        <f t="shared" si="59"/>
        <v/>
      </c>
      <c r="G118" s="110"/>
      <c r="H118" s="89">
        <f t="shared" si="54"/>
        <v>9</v>
      </c>
      <c r="I118" s="89" t="str">
        <f t="shared" si="55"/>
        <v/>
      </c>
      <c r="J118" s="90" t="str">
        <f t="shared" si="56"/>
        <v/>
      </c>
    </row>
    <row r="119" spans="1:10" ht="16" thickBot="1" x14ac:dyDescent="0.25">
      <c r="A119" s="110"/>
      <c r="B119" s="89" t="str">
        <f t="shared" si="57"/>
        <v/>
      </c>
      <c r="C119" s="89">
        <f t="shared" si="58"/>
        <v>7</v>
      </c>
      <c r="D119" s="90" t="str">
        <f t="shared" si="59"/>
        <v/>
      </c>
      <c r="G119" s="110"/>
      <c r="H119" s="89" t="str">
        <f t="shared" si="54"/>
        <v/>
      </c>
      <c r="I119" s="89">
        <f t="shared" si="55"/>
        <v>7</v>
      </c>
      <c r="J119" s="90" t="str">
        <f t="shared" si="56"/>
        <v/>
      </c>
    </row>
    <row r="120" spans="1:10" ht="16" thickBot="1" x14ac:dyDescent="0.25">
      <c r="A120" s="110"/>
      <c r="B120" s="89" t="str">
        <f t="shared" si="57"/>
        <v/>
      </c>
      <c r="C120" s="89">
        <f t="shared" si="58"/>
        <v>8</v>
      </c>
      <c r="D120" s="90" t="str">
        <f t="shared" si="59"/>
        <v/>
      </c>
      <c r="G120" s="110"/>
      <c r="H120" s="89">
        <f t="shared" si="54"/>
        <v>8</v>
      </c>
      <c r="I120" s="89" t="str">
        <f t="shared" si="55"/>
        <v/>
      </c>
      <c r="J120" s="90" t="str">
        <f t="shared" si="56"/>
        <v/>
      </c>
    </row>
    <row r="121" spans="1:10" ht="16" thickBot="1" x14ac:dyDescent="0.25">
      <c r="A121" s="110"/>
      <c r="B121" s="89" t="str">
        <f t="shared" si="57"/>
        <v/>
      </c>
      <c r="C121" s="89" t="str">
        <f t="shared" si="58"/>
        <v/>
      </c>
      <c r="D121" s="90">
        <f t="shared" si="59"/>
        <v>0</v>
      </c>
      <c r="G121" s="110"/>
      <c r="H121" s="89" t="str">
        <f t="shared" si="54"/>
        <v/>
      </c>
      <c r="I121" s="89" t="str">
        <f t="shared" si="55"/>
        <v/>
      </c>
      <c r="J121" s="90">
        <f t="shared" si="56"/>
        <v>0</v>
      </c>
    </row>
    <row r="122" spans="1:10" ht="16" thickBot="1" x14ac:dyDescent="0.25">
      <c r="A122" s="110"/>
      <c r="B122" s="89" t="str">
        <f t="shared" si="57"/>
        <v/>
      </c>
      <c r="C122" s="89">
        <f t="shared" si="58"/>
        <v>4</v>
      </c>
      <c r="D122" s="90" t="str">
        <f t="shared" si="59"/>
        <v/>
      </c>
      <c r="G122" s="110"/>
      <c r="H122" s="89" t="str">
        <f t="shared" si="54"/>
        <v/>
      </c>
      <c r="I122" s="89">
        <f t="shared" si="55"/>
        <v>4</v>
      </c>
      <c r="J122" s="90" t="str">
        <f t="shared" si="56"/>
        <v/>
      </c>
    </row>
    <row r="123" spans="1:10" ht="16" thickBot="1" x14ac:dyDescent="0.25">
      <c r="A123" s="110"/>
      <c r="B123" s="89" t="str">
        <f t="shared" si="57"/>
        <v/>
      </c>
      <c r="C123" s="89">
        <f t="shared" si="58"/>
        <v>8</v>
      </c>
      <c r="D123" s="90" t="str">
        <f t="shared" si="59"/>
        <v/>
      </c>
      <c r="G123" s="110"/>
      <c r="H123" s="89">
        <f t="shared" si="54"/>
        <v>8</v>
      </c>
      <c r="I123" s="89" t="str">
        <f t="shared" si="55"/>
        <v/>
      </c>
      <c r="J123" s="90" t="str">
        <f t="shared" si="56"/>
        <v/>
      </c>
    </row>
    <row r="124" spans="1:10" ht="16" thickBot="1" x14ac:dyDescent="0.25">
      <c r="A124" s="110"/>
      <c r="B124" s="89" t="str">
        <f t="shared" si="57"/>
        <v/>
      </c>
      <c r="C124" s="89">
        <f t="shared" si="58"/>
        <v>8</v>
      </c>
      <c r="D124" s="90" t="str">
        <f t="shared" si="59"/>
        <v/>
      </c>
      <c r="G124" s="110"/>
      <c r="H124" s="89">
        <f t="shared" si="54"/>
        <v>8</v>
      </c>
      <c r="I124" s="89" t="str">
        <f t="shared" si="55"/>
        <v/>
      </c>
      <c r="J124" s="90" t="str">
        <f t="shared" si="56"/>
        <v/>
      </c>
    </row>
    <row r="125" spans="1:10" ht="16" thickBot="1" x14ac:dyDescent="0.25">
      <c r="A125" s="110"/>
      <c r="B125" s="89" t="str">
        <f t="shared" si="57"/>
        <v/>
      </c>
      <c r="C125" s="89">
        <f t="shared" si="58"/>
        <v>8</v>
      </c>
      <c r="D125" s="90" t="str">
        <f t="shared" si="59"/>
        <v/>
      </c>
      <c r="G125" s="110"/>
      <c r="H125" s="89">
        <f t="shared" si="54"/>
        <v>8</v>
      </c>
      <c r="I125" s="89" t="str">
        <f t="shared" si="55"/>
        <v/>
      </c>
      <c r="J125" s="90" t="str">
        <f t="shared" si="56"/>
        <v/>
      </c>
    </row>
    <row r="126" spans="1:10" ht="16" thickBot="1" x14ac:dyDescent="0.25">
      <c r="A126" s="110"/>
      <c r="B126" s="89" t="str">
        <f t="shared" si="57"/>
        <v/>
      </c>
      <c r="C126" s="89">
        <f t="shared" si="58"/>
        <v>3</v>
      </c>
      <c r="D126" s="90" t="str">
        <f t="shared" si="59"/>
        <v/>
      </c>
      <c r="G126" s="110"/>
      <c r="H126" s="89" t="str">
        <f t="shared" si="54"/>
        <v/>
      </c>
      <c r="I126" s="89">
        <f t="shared" si="55"/>
        <v>3</v>
      </c>
      <c r="J126" s="90" t="str">
        <f t="shared" si="56"/>
        <v/>
      </c>
    </row>
    <row r="127" spans="1:10" ht="16" thickBot="1" x14ac:dyDescent="0.25">
      <c r="A127" s="110"/>
      <c r="B127" s="89" t="str">
        <f t="shared" si="57"/>
        <v/>
      </c>
      <c r="C127" s="89">
        <f t="shared" si="58"/>
        <v>8</v>
      </c>
      <c r="D127" s="90" t="str">
        <f t="shared" si="59"/>
        <v/>
      </c>
      <c r="G127" s="110"/>
      <c r="H127" s="89">
        <f t="shared" si="54"/>
        <v>8</v>
      </c>
      <c r="I127" s="89" t="str">
        <f t="shared" si="55"/>
        <v/>
      </c>
      <c r="J127" s="90" t="str">
        <f t="shared" si="56"/>
        <v/>
      </c>
    </row>
    <row r="128" spans="1:10" ht="16" thickBot="1" x14ac:dyDescent="0.25">
      <c r="A128" s="110"/>
      <c r="B128" s="89" t="str">
        <f t="shared" si="57"/>
        <v/>
      </c>
      <c r="C128" s="89">
        <f t="shared" si="58"/>
        <v>5</v>
      </c>
      <c r="D128" s="90" t="str">
        <f t="shared" si="59"/>
        <v/>
      </c>
      <c r="G128" s="110"/>
      <c r="H128" s="89" t="str">
        <f t="shared" si="54"/>
        <v/>
      </c>
      <c r="I128" s="89">
        <f t="shared" si="55"/>
        <v>5</v>
      </c>
      <c r="J128" s="90" t="str">
        <f t="shared" si="56"/>
        <v/>
      </c>
    </row>
    <row r="129" spans="1:10" ht="16" thickBot="1" x14ac:dyDescent="0.25">
      <c r="A129" s="110"/>
      <c r="B129" s="89" t="str">
        <f t="shared" si="57"/>
        <v/>
      </c>
      <c r="C129" s="89">
        <f t="shared" si="58"/>
        <v>8</v>
      </c>
      <c r="D129" s="90" t="str">
        <f t="shared" si="59"/>
        <v/>
      </c>
      <c r="G129" s="110"/>
      <c r="H129" s="89">
        <f t="shared" si="54"/>
        <v>8</v>
      </c>
      <c r="I129" s="89" t="str">
        <f t="shared" si="55"/>
        <v/>
      </c>
      <c r="J129" s="90" t="str">
        <f t="shared" si="56"/>
        <v/>
      </c>
    </row>
    <row r="130" spans="1:10" ht="16" thickBot="1" x14ac:dyDescent="0.25">
      <c r="A130" s="110"/>
      <c r="B130" s="89" t="str">
        <f t="shared" si="57"/>
        <v/>
      </c>
      <c r="C130" s="89">
        <f t="shared" si="58"/>
        <v>4</v>
      </c>
      <c r="D130" s="90" t="str">
        <f t="shared" si="59"/>
        <v/>
      </c>
      <c r="G130" s="110"/>
      <c r="H130" s="89" t="str">
        <f t="shared" si="54"/>
        <v/>
      </c>
      <c r="I130" s="89">
        <f t="shared" si="55"/>
        <v>4</v>
      </c>
      <c r="J130" s="90" t="str">
        <f t="shared" si="56"/>
        <v/>
      </c>
    </row>
    <row r="131" spans="1:10" ht="16" thickBot="1" x14ac:dyDescent="0.25">
      <c r="A131" s="110"/>
      <c r="B131" s="89" t="str">
        <f t="shared" si="57"/>
        <v/>
      </c>
      <c r="C131" s="89">
        <f t="shared" si="58"/>
        <v>8</v>
      </c>
      <c r="D131" s="90" t="str">
        <f t="shared" si="59"/>
        <v/>
      </c>
      <c r="G131" s="110"/>
      <c r="H131" s="89">
        <f t="shared" si="54"/>
        <v>8</v>
      </c>
      <c r="I131" s="89" t="str">
        <f t="shared" si="55"/>
        <v/>
      </c>
      <c r="J131" s="90" t="str">
        <f t="shared" si="56"/>
        <v/>
      </c>
    </row>
    <row r="132" spans="1:10" ht="16" thickBot="1" x14ac:dyDescent="0.25">
      <c r="A132" s="110"/>
      <c r="B132" s="89" t="str">
        <f t="shared" si="57"/>
        <v/>
      </c>
      <c r="C132" s="89">
        <f t="shared" si="58"/>
        <v>8</v>
      </c>
      <c r="D132" s="90" t="str">
        <f t="shared" si="59"/>
        <v/>
      </c>
      <c r="G132" s="110"/>
      <c r="H132" s="89">
        <f t="shared" si="54"/>
        <v>8</v>
      </c>
      <c r="I132" s="89" t="str">
        <f t="shared" si="55"/>
        <v/>
      </c>
      <c r="J132" s="90" t="str">
        <f t="shared" si="56"/>
        <v/>
      </c>
    </row>
    <row r="133" spans="1:10" ht="16" thickBot="1" x14ac:dyDescent="0.25">
      <c r="A133" s="110"/>
      <c r="B133" s="89" t="str">
        <f t="shared" si="57"/>
        <v/>
      </c>
      <c r="C133" s="89" t="str">
        <f t="shared" si="58"/>
        <v/>
      </c>
      <c r="D133" s="90">
        <f t="shared" si="59"/>
        <v>0</v>
      </c>
      <c r="G133" s="110"/>
      <c r="H133" s="89" t="str">
        <f t="shared" si="54"/>
        <v/>
      </c>
      <c r="I133" s="89" t="str">
        <f t="shared" si="55"/>
        <v/>
      </c>
      <c r="J133" s="90">
        <f t="shared" si="56"/>
        <v>0</v>
      </c>
    </row>
    <row r="134" spans="1:10" ht="16" thickBot="1" x14ac:dyDescent="0.25">
      <c r="A134" s="110"/>
      <c r="B134" s="89" t="str">
        <f t="shared" si="57"/>
        <v/>
      </c>
      <c r="C134" s="89">
        <f t="shared" si="58"/>
        <v>8</v>
      </c>
      <c r="D134" s="90" t="str">
        <f t="shared" si="59"/>
        <v/>
      </c>
      <c r="G134" s="110"/>
      <c r="H134" s="89">
        <f t="shared" si="54"/>
        <v>8</v>
      </c>
      <c r="I134" s="89" t="str">
        <f t="shared" si="55"/>
        <v/>
      </c>
      <c r="J134" s="90" t="str">
        <f t="shared" si="56"/>
        <v/>
      </c>
    </row>
    <row r="135" spans="1:10" ht="16" thickBot="1" x14ac:dyDescent="0.25">
      <c r="A135" s="170"/>
      <c r="B135" s="89" t="str">
        <f t="shared" si="57"/>
        <v/>
      </c>
      <c r="C135" s="89" t="str">
        <f t="shared" si="58"/>
        <v/>
      </c>
      <c r="D135" s="90">
        <f t="shared" si="59"/>
        <v>0</v>
      </c>
      <c r="G135" s="170"/>
      <c r="H135" s="89" t="str">
        <f t="shared" si="54"/>
        <v/>
      </c>
      <c r="I135" s="89" t="str">
        <f t="shared" si="55"/>
        <v/>
      </c>
      <c r="J135" s="90">
        <f t="shared" si="56"/>
        <v>0</v>
      </c>
    </row>
    <row r="136" spans="1:10" ht="16" thickBot="1" x14ac:dyDescent="0.25">
      <c r="A136" s="173"/>
      <c r="B136" s="171" t="str">
        <f t="shared" si="57"/>
        <v/>
      </c>
      <c r="C136" s="172">
        <f t="shared" si="58"/>
        <v>8</v>
      </c>
      <c r="D136" s="172" t="str">
        <f t="shared" si="59"/>
        <v/>
      </c>
      <c r="G136" s="173"/>
      <c r="H136" s="187">
        <f t="shared" si="54"/>
        <v>8</v>
      </c>
      <c r="I136" s="188" t="str">
        <f t="shared" si="55"/>
        <v/>
      </c>
      <c r="J136" s="189" t="str">
        <f t="shared" si="56"/>
        <v/>
      </c>
    </row>
  </sheetData>
  <mergeCells count="1">
    <mergeCell ref="Y34:Z3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T263"/>
  <sheetViews>
    <sheetView tabSelected="1" topLeftCell="AC62" workbookViewId="0">
      <selection activeCell="AT65" sqref="AT65:AT97"/>
    </sheetView>
  </sheetViews>
  <sheetFormatPr baseColWidth="10" defaultColWidth="8.83203125" defaultRowHeight="15" x14ac:dyDescent="0.2"/>
  <cols>
    <col min="1" max="1" width="13" customWidth="1"/>
    <col min="2" max="2" width="6.1640625" customWidth="1"/>
    <col min="3" max="3" width="11" style="2" customWidth="1"/>
    <col min="4" max="6" width="8.83203125" style="2"/>
    <col min="7" max="7" width="2.33203125" style="44" customWidth="1"/>
    <col min="8" max="8" width="9.5" customWidth="1"/>
    <col min="9" max="9" width="13" customWidth="1"/>
    <col min="10" max="10" width="1.83203125" style="44" customWidth="1"/>
    <col min="12" max="12" width="13.1640625" customWidth="1"/>
    <col min="13" max="13" width="11.33203125" customWidth="1"/>
    <col min="14" max="14" width="12" customWidth="1"/>
    <col min="15" max="15" width="12.6640625" customWidth="1"/>
    <col min="16" max="18" width="13" customWidth="1"/>
    <col min="19" max="19" width="2.33203125" style="44" customWidth="1"/>
    <col min="20" max="20" width="32.1640625" bestFit="1" customWidth="1"/>
    <col min="21" max="21" width="2.33203125" style="44" customWidth="1"/>
    <col min="22" max="22" width="16.83203125" customWidth="1"/>
    <col min="23" max="23" width="21.33203125" customWidth="1"/>
    <col min="24" max="24" width="4.5" style="44" customWidth="1"/>
    <col min="25" max="25" width="11.5" customWidth="1"/>
    <col min="26" max="26" width="7.5" customWidth="1"/>
    <col min="27" max="27" width="3.33203125" customWidth="1"/>
    <col min="41" max="41" width="2.6640625" style="44" customWidth="1"/>
    <col min="42" max="42" width="13.1640625" customWidth="1"/>
    <col min="43" max="43" width="14.5" style="230" bestFit="1" customWidth="1"/>
    <col min="44" max="44" width="8.83203125" style="230"/>
    <col min="45" max="45" width="28.83203125" style="230" customWidth="1"/>
    <col min="58" max="58" width="8.83203125" style="44"/>
    <col min="59" max="83" width="8.83203125" style="251"/>
  </cols>
  <sheetData>
    <row r="1" spans="1:83" s="44" customFormat="1" ht="21" x14ac:dyDescent="0.25">
      <c r="C1" s="95"/>
      <c r="D1" s="95"/>
      <c r="E1" s="95"/>
      <c r="F1" s="95"/>
      <c r="V1" s="223"/>
      <c r="W1" s="223"/>
      <c r="AQ1" s="227"/>
      <c r="AR1" s="227"/>
      <c r="AS1" s="227"/>
      <c r="BG1" s="52" t="s">
        <v>394</v>
      </c>
      <c r="BH1" s="251"/>
      <c r="BI1" s="251"/>
      <c r="BJ1" s="251"/>
      <c r="BK1" s="251"/>
      <c r="BL1" s="251"/>
      <c r="BM1" s="251"/>
      <c r="BN1" s="251"/>
      <c r="BO1" s="251"/>
      <c r="BP1" s="251"/>
      <c r="BQ1" s="251"/>
      <c r="BR1" s="251"/>
      <c r="BS1" s="251"/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</row>
    <row r="2" spans="1:83" ht="21" x14ac:dyDescent="0.25">
      <c r="A2" s="71" t="s">
        <v>10</v>
      </c>
      <c r="B2" s="71"/>
      <c r="V2" s="223" t="s">
        <v>374</v>
      </c>
      <c r="W2" s="223"/>
      <c r="Y2" s="1" t="s">
        <v>122</v>
      </c>
      <c r="AP2" s="228" t="s">
        <v>376</v>
      </c>
      <c r="AQ2" s="229"/>
      <c r="AR2" s="229"/>
      <c r="AS2" s="229"/>
      <c r="AT2" s="228"/>
      <c r="AU2" s="41"/>
      <c r="AV2" s="41"/>
      <c r="AW2" s="41"/>
      <c r="AX2" s="41"/>
      <c r="AY2" s="41"/>
      <c r="AZ2" s="41"/>
      <c r="BA2" s="41"/>
      <c r="BB2" s="41"/>
      <c r="BC2" s="41"/>
      <c r="BG2" s="252" t="s">
        <v>124</v>
      </c>
    </row>
    <row r="3" spans="1:83" x14ac:dyDescent="0.2">
      <c r="A3" s="40"/>
      <c r="B3" s="71"/>
      <c r="C3" s="96" t="s">
        <v>99</v>
      </c>
      <c r="F3" s="96"/>
      <c r="K3" s="97"/>
      <c r="L3" s="97"/>
      <c r="M3" s="97" t="s">
        <v>100</v>
      </c>
      <c r="N3" s="97"/>
      <c r="O3" s="97"/>
    </row>
    <row r="4" spans="1:83" ht="16" thickBot="1" x14ac:dyDescent="0.25">
      <c r="A4" s="40"/>
      <c r="B4" s="71"/>
      <c r="C4" s="98" t="s">
        <v>58</v>
      </c>
      <c r="E4" s="98" t="s">
        <v>59</v>
      </c>
      <c r="H4" s="1" t="s">
        <v>58</v>
      </c>
      <c r="I4" s="1" t="s">
        <v>59</v>
      </c>
      <c r="K4" s="97" t="s">
        <v>90</v>
      </c>
      <c r="L4" s="97"/>
      <c r="M4" s="97" t="s">
        <v>91</v>
      </c>
      <c r="N4" s="97"/>
      <c r="O4" s="97" t="s">
        <v>92</v>
      </c>
      <c r="Q4" s="1" t="s">
        <v>93</v>
      </c>
      <c r="V4" s="1" t="s">
        <v>375</v>
      </c>
      <c r="Y4" s="135"/>
      <c r="Z4" s="135"/>
      <c r="AA4" s="135"/>
      <c r="AB4" s="136" t="s">
        <v>101</v>
      </c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P4" s="231" t="s">
        <v>377</v>
      </c>
      <c r="AQ4" s="232"/>
      <c r="AR4" s="232"/>
      <c r="AS4" s="232" t="s">
        <v>21</v>
      </c>
      <c r="AT4" s="231"/>
      <c r="AU4" s="231"/>
      <c r="AV4" s="94"/>
      <c r="AW4" s="94"/>
      <c r="AX4" s="94"/>
      <c r="AY4" s="94"/>
      <c r="AZ4" s="94"/>
    </row>
    <row r="5" spans="1:83" x14ac:dyDescent="0.2">
      <c r="A5" s="40"/>
      <c r="B5" s="71"/>
      <c r="C5" s="96" t="s">
        <v>102</v>
      </c>
      <c r="D5" s="96" t="s">
        <v>75</v>
      </c>
      <c r="E5" s="96" t="s">
        <v>102</v>
      </c>
      <c r="F5" s="96" t="s">
        <v>75</v>
      </c>
      <c r="K5" s="99" t="s">
        <v>58</v>
      </c>
      <c r="L5" s="99" t="s">
        <v>59</v>
      </c>
      <c r="M5" s="99" t="s">
        <v>58</v>
      </c>
      <c r="N5" s="99" t="s">
        <v>59</v>
      </c>
      <c r="O5" s="99" t="s">
        <v>58</v>
      </c>
      <c r="P5" s="99" t="s">
        <v>59</v>
      </c>
      <c r="Q5" s="99" t="s">
        <v>58</v>
      </c>
      <c r="R5" s="99" t="s">
        <v>59</v>
      </c>
      <c r="S5" s="100"/>
      <c r="T5" s="1" t="s">
        <v>80</v>
      </c>
      <c r="U5" s="100"/>
      <c r="V5" s="99" t="s">
        <v>58</v>
      </c>
      <c r="W5" s="99" t="s">
        <v>59</v>
      </c>
      <c r="X5" s="100"/>
      <c r="Y5" s="137" t="s">
        <v>90</v>
      </c>
      <c r="Z5" s="138" t="s">
        <v>58</v>
      </c>
      <c r="AA5" s="135">
        <v>1</v>
      </c>
      <c r="AB5" s="135" t="str">
        <f>CONCATENATE(K6,K7,K8,K9,K10,K11,K12,K13,K14,K15,K16,K17,K18,K19,K20,K21,K22,K23,K24,K25,K26,K27,K28,K29,K30,K31,K32,K33,K34,K35)</f>
        <v xml:space="preserve">377.95:4 </v>
      </c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P5" t="s">
        <v>90</v>
      </c>
      <c r="AQ5" t="s">
        <v>58</v>
      </c>
      <c r="AR5">
        <v>1</v>
      </c>
      <c r="AS5" t="str">
        <f>IF(AB5="","9999:9999",AB5)</f>
        <v xml:space="preserve">377.95:4 </v>
      </c>
      <c r="BA5" s="15"/>
      <c r="BB5" s="15"/>
      <c r="BC5" s="15"/>
      <c r="BD5" s="15"/>
      <c r="BE5" s="233"/>
      <c r="BG5" s="251" t="s">
        <v>90</v>
      </c>
      <c r="BH5" s="251" t="s">
        <v>58</v>
      </c>
      <c r="BI5" s="251">
        <v>1</v>
      </c>
      <c r="BJ5" s="251" t="str">
        <f>IF(AND(AB5="",AB40="",AB75=""),"9999:9999",CONCATENATE(AB5,AB40,AB75))</f>
        <v xml:space="preserve">377.95:4 377.97:4 5.97:4 107.98:3.99 196.98:3.99 </v>
      </c>
    </row>
    <row r="6" spans="1:83" x14ac:dyDescent="0.2">
      <c r="A6" s="149">
        <v>0.01</v>
      </c>
      <c r="B6" s="101">
        <v>1</v>
      </c>
      <c r="C6" s="2">
        <f>ROUND('Timing-Actual'!G7,2)</f>
        <v>5.95</v>
      </c>
      <c r="D6" s="2">
        <f>ROUND('Timing-Actual'!F7,2)</f>
        <v>4</v>
      </c>
      <c r="E6" s="2">
        <f>ROUND('Timing-Actual'!M7,2)</f>
        <v>9.9600000000000009</v>
      </c>
      <c r="F6" s="2">
        <f>ROUND('Timing-Actual'!L7,2)</f>
        <v>4.82</v>
      </c>
      <c r="H6" t="str">
        <f>C6&amp;":"&amp;D6&amp;" "</f>
        <v xml:space="preserve">5.95:4 </v>
      </c>
      <c r="I6" t="str">
        <f>E6&amp;":"&amp;F6&amp;" "</f>
        <v xml:space="preserve">9.96:4.82 </v>
      </c>
      <c r="K6" t="str">
        <f>IF(T6="Approach",H6,"")</f>
        <v/>
      </c>
      <c r="L6" t="str">
        <f>IF(T6="Approach",I6,"")</f>
        <v/>
      </c>
      <c r="M6" t="str">
        <f>IF(T6="Ambivalent",H6,"")</f>
        <v xml:space="preserve">5.95:4 </v>
      </c>
      <c r="N6" t="str">
        <f>IF(T6="Ambivalent",I6,"")</f>
        <v xml:space="preserve">9.96:4.82 </v>
      </c>
      <c r="O6" t="str">
        <f>IF(T6="Avoid",H6,"")</f>
        <v/>
      </c>
      <c r="P6" t="str">
        <f>IF(T6="Avoid",I6,"")</f>
        <v/>
      </c>
      <c r="Q6" t="str">
        <f>IF(T6="Missing",H6,"")</f>
        <v/>
      </c>
      <c r="R6" t="str">
        <f>IF(T6="Missing",I6,"")</f>
        <v/>
      </c>
      <c r="T6" s="102" t="str">
        <f>ChoiceCoding!AC3</f>
        <v>Ambivalent</v>
      </c>
      <c r="V6" t="str">
        <f>IF($T6&lt;&gt;"Missing",H6,"")</f>
        <v xml:space="preserve">5.95:4 </v>
      </c>
      <c r="W6" t="str">
        <f>IF($T6&lt;&gt;"Missing",I6,"")</f>
        <v xml:space="preserve">9.96:4.82 </v>
      </c>
      <c r="Y6" s="137"/>
      <c r="Z6" s="138" t="s">
        <v>59</v>
      </c>
      <c r="AA6" s="135">
        <v>2</v>
      </c>
      <c r="AB6" s="135" t="str">
        <f>CONCATENATE(L6,L7,L8,L9,L10,L11,L12,L13,L14,L15,L16,L17,L18,L19,L20,L21,L22,L23,L24,L25,L26,L27,L28,L29,L30,L31,L32,L33,L34,L35)</f>
        <v xml:space="preserve">381.95:2.74 </v>
      </c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Q6"/>
      <c r="AR6">
        <v>2</v>
      </c>
      <c r="AS6" t="str">
        <f>IF(AB40="","9999:9999",AB40)</f>
        <v xml:space="preserve">377.97:4 </v>
      </c>
      <c r="BE6" s="62"/>
      <c r="BG6" s="251" t="s">
        <v>21</v>
      </c>
      <c r="BH6" s="251" t="s">
        <v>59</v>
      </c>
      <c r="BI6" s="251">
        <v>2</v>
      </c>
      <c r="BJ6" s="251" t="str">
        <f t="shared" ref="BJ6:BJ12" si="0">IF(AND(AB6="",AB41="",AB76=""),"9999:9999",CONCATENATE(AB6,AB41,AB76))</f>
        <v xml:space="preserve">381.95:2.74 381.97:2.04 9.98:2.72 111.97:2.84 200.97:2.84 </v>
      </c>
    </row>
    <row r="7" spans="1:83" ht="16" thickBot="1" x14ac:dyDescent="0.25">
      <c r="A7" s="42">
        <v>5</v>
      </c>
      <c r="B7" s="101">
        <v>2</v>
      </c>
      <c r="C7" s="2">
        <f>ROUND('Timing-Actual'!G8,2)</f>
        <v>22.95</v>
      </c>
      <c r="D7" s="2">
        <f>ROUND('Timing-Actual'!F8,2)</f>
        <v>4</v>
      </c>
      <c r="E7" s="2">
        <f>ROUND('Timing-Actual'!M8,2)</f>
        <v>26.95</v>
      </c>
      <c r="F7" s="2">
        <f>ROUND('Timing-Actual'!L8,2)</f>
        <v>3.74</v>
      </c>
      <c r="H7" t="str">
        <f t="shared" ref="H7:H32" si="1">C7&amp;":"&amp;D7&amp;" "</f>
        <v xml:space="preserve">22.95:4 </v>
      </c>
      <c r="I7" t="str">
        <f t="shared" ref="I7:I32" si="2">E7&amp;":"&amp;F7&amp;" "</f>
        <v xml:space="preserve">26.95:3.74 </v>
      </c>
      <c r="K7" t="str">
        <f t="shared" ref="K7:K32" si="3">IF(T7="Approach",H7,"")</f>
        <v/>
      </c>
      <c r="L7" t="str">
        <f t="shared" ref="L7:L32" si="4">IF(T7="Approach",I7,"")</f>
        <v/>
      </c>
      <c r="M7" t="str">
        <f t="shared" ref="M7:M32" si="5">IF(T7="Ambivalent",H7,"")</f>
        <v xml:space="preserve">22.95:4 </v>
      </c>
      <c r="N7" t="str">
        <f t="shared" ref="N7:N32" si="6">IF(T7="Ambivalent",I7,"")</f>
        <v xml:space="preserve">26.95:3.74 </v>
      </c>
      <c r="O7" t="str">
        <f t="shared" ref="O7:O32" si="7">IF(T7="Avoid",H7,"")</f>
        <v/>
      </c>
      <c r="P7" t="str">
        <f t="shared" ref="P7:P32" si="8">IF(T7="Avoid",I7,"")</f>
        <v/>
      </c>
      <c r="Q7" t="str">
        <f t="shared" ref="Q7:Q32" si="9">IF(T7="Missing",H7,"")</f>
        <v/>
      </c>
      <c r="R7" t="str">
        <f t="shared" ref="R7:R32" si="10">IF(T7="Missing",I7,"")</f>
        <v/>
      </c>
      <c r="T7" s="102" t="str">
        <f>ChoiceCoding!AC4</f>
        <v>Ambivalent</v>
      </c>
      <c r="V7" t="str">
        <f t="shared" ref="V7:W32" si="11">IF($T7&lt;&gt;"Missing",H7,"")</f>
        <v xml:space="preserve">22.95:4 </v>
      </c>
      <c r="W7" t="str">
        <f t="shared" si="11"/>
        <v xml:space="preserve">26.95:3.74 </v>
      </c>
      <c r="Y7" s="137" t="s">
        <v>91</v>
      </c>
      <c r="Z7" s="138" t="s">
        <v>58</v>
      </c>
      <c r="AA7" s="135">
        <v>3</v>
      </c>
      <c r="AB7" s="135" t="str">
        <f>CONCATENATE(M6,M7,M8,M9,M10,M11,M12,M13,M14,M15,M16,M17,M18,M19,M20,M21,M22,M23,M24,M25,M26,M27,M28,M29,M30,M31,M32,M33,M34,M35)</f>
        <v xml:space="preserve">5.95:4 22.95:4 64.95:4 79.94:4 94.96:4 126.95:4 166.96:3.99 196.95:4 209.96:3.99 232.96:3.99 264.95:4 279.94:4 300.94:4 328.95:4 356.95:4 392.95:4 420.95:4 452.96:3.99 488.95:4 </v>
      </c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P7" s="94"/>
      <c r="AQ7" s="94"/>
      <c r="AR7" s="94">
        <v>3</v>
      </c>
      <c r="AS7" s="94" t="str">
        <f>IF(AB75="","9999:9999",AB75)</f>
        <v xml:space="preserve">5.97:4 107.98:3.99 196.98:3.99 </v>
      </c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63"/>
      <c r="BG7" s="251" t="s">
        <v>91</v>
      </c>
      <c r="BH7" s="251" t="s">
        <v>58</v>
      </c>
      <c r="BI7" s="251">
        <v>3</v>
      </c>
      <c r="BJ7" s="251" t="str">
        <f t="shared" si="0"/>
        <v xml:space="preserve">5.95:4 22.95:4 64.95:4 79.94:4 94.96:4 126.95:4 166.96:3.99 196.95:4 209.96:3.99 232.96:3.99 264.95:4 279.94:4 300.94:4 328.95:4 356.95:4 392.95:4 420.95:4 452.96:3.99 488.95:4 5.97:4 22.97:4 64.97:4 79.96:4 94.97:4 126.96:4 166.96:4 196.97:4 209.98:3.99 232.96:4 264.97:4 279.96:4 300.96:4 328.97:4 356.97:4 392.96:4 420.97:4 452.98:3.99 488.97:4 22.97:4 64.98:3.99 79.98:4 94.97:4 126.98:4 166.98:4 209.98:4 232.98:4 264.98:3.99 279.98:4 300.98:4 313.97:4 328.98:3.99 343.98:4 356.97:4 377.97:4 392.98:4 405.97:4 420.98:3.99 452.98:4 488.97:4 </v>
      </c>
    </row>
    <row r="8" spans="1:83" x14ac:dyDescent="0.2">
      <c r="A8" s="159">
        <v>50</v>
      </c>
      <c r="B8" s="101">
        <v>3</v>
      </c>
      <c r="C8" s="2">
        <f>ROUND('Timing-Actual'!G9,2)</f>
        <v>45.95</v>
      </c>
      <c r="D8" s="2">
        <f>ROUND('Timing-Actual'!F9,2)</f>
        <v>4</v>
      </c>
      <c r="E8" s="2">
        <f>ROUND('Timing-Actual'!M9,2)</f>
        <v>49.95</v>
      </c>
      <c r="F8" s="2">
        <f>ROUND('Timing-Actual'!L9,2)</f>
        <v>3.87</v>
      </c>
      <c r="H8" t="str">
        <f t="shared" si="1"/>
        <v xml:space="preserve">45.95:4 </v>
      </c>
      <c r="I8" t="str">
        <f t="shared" si="2"/>
        <v xml:space="preserve">49.95:3.87 </v>
      </c>
      <c r="K8" t="str">
        <f t="shared" si="3"/>
        <v/>
      </c>
      <c r="L8" t="str">
        <f t="shared" si="4"/>
        <v/>
      </c>
      <c r="M8" t="str">
        <f t="shared" si="5"/>
        <v/>
      </c>
      <c r="N8" t="str">
        <f t="shared" si="6"/>
        <v/>
      </c>
      <c r="O8" t="str">
        <f t="shared" si="7"/>
        <v xml:space="preserve">45.95:4 </v>
      </c>
      <c r="P8" t="str">
        <f t="shared" si="8"/>
        <v xml:space="preserve">49.95:3.87 </v>
      </c>
      <c r="Q8" t="str">
        <f t="shared" si="9"/>
        <v/>
      </c>
      <c r="R8" t="str">
        <f t="shared" si="10"/>
        <v/>
      </c>
      <c r="T8" s="102" t="str">
        <f>ChoiceCoding!AC5</f>
        <v>Avoid</v>
      </c>
      <c r="V8" t="str">
        <f t="shared" si="11"/>
        <v xml:space="preserve">45.95:4 </v>
      </c>
      <c r="W8" t="str">
        <f t="shared" si="11"/>
        <v xml:space="preserve">49.95:3.87 </v>
      </c>
      <c r="Y8" s="137"/>
      <c r="Z8" s="138" t="s">
        <v>59</v>
      </c>
      <c r="AA8" s="135">
        <v>4</v>
      </c>
      <c r="AB8" s="135" t="str">
        <f>CONCATENATE(N6,N7,N8,N9,N10,N11,N12,N13,N14,N15,N16,N17,N18,N19,N20,N21,N22,N23,N24,N25,N26,N27,N28,N29,N30,N31,N32,N33,N34,N35)</f>
        <v xml:space="preserve">9.96:4.82 26.95:3.74 68.95:2.59 83.95:4.92 98.96:3.72 130.95:2.99 170.95:2.38 200.95:2.29 213.94:3.32 236.95:2.39 268.95:2.83 283.95:1.8 304.95:2.05 332.95:2.52 360.96:1.48 396.95:1.97 424.95:2.34 456.94:2.04 492.96:4.55 </v>
      </c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P8" s="16" t="s">
        <v>90</v>
      </c>
      <c r="AQ8" t="s">
        <v>59</v>
      </c>
      <c r="AR8">
        <v>1</v>
      </c>
      <c r="AS8" t="str">
        <f>IF(AB6="","9999:9999",AB6)</f>
        <v xml:space="preserve">381.95:2.74 </v>
      </c>
      <c r="BA8" s="15"/>
      <c r="BB8" s="15"/>
      <c r="BC8" s="15"/>
      <c r="BD8" s="15"/>
      <c r="BE8" s="233"/>
      <c r="BG8" s="251" t="s">
        <v>21</v>
      </c>
      <c r="BH8" s="251" t="s">
        <v>59</v>
      </c>
      <c r="BI8" s="251">
        <v>4</v>
      </c>
      <c r="BJ8" s="251" t="str">
        <f t="shared" si="0"/>
        <v xml:space="preserve">9.96:4.82 26.95:3.74 68.95:2.59 83.95:4.92 98.96:3.72 130.95:2.99 170.95:2.38 200.95:2.29 213.94:3.32 236.95:2.39 268.95:2.83 283.95:1.8 304.95:2.05 332.95:2.52 360.96:1.48 396.95:1.97 424.95:2.34 456.94:2.04 492.96:4.55 9.98:2.87 26.97:2.35 68.97:2.58 83.96:1.67 98.98:1.87 130.97:2.09 170.96:1.82 200.97:1.87 213.96:3.74 236.96:2.3 268.97:2.78 283.96:1.74 304.96:3.82 332.97:1.18 360.97:1.9 396.97:1.4 424.97:2.02 456.96:1.63 492.97:2.8 26.97:1.15 68.97:1.97 83.98:2.52 98.98:1.79 130.98:2.89 170.98:2.6 213.98:1.75 236.98:2.4 268.97:1.48 283.98:2.25 304.98:1.77 317.97:1.85 332.97:2.74 347.98:1.83 360.97:3.54 381.97:1.58 396.98:2.48 409.98:1.77 424.97:1.78 456.98:5.34 492.97:1.67 </v>
      </c>
    </row>
    <row r="9" spans="1:83" x14ac:dyDescent="0.2">
      <c r="A9" s="149">
        <v>0</v>
      </c>
      <c r="B9" s="101">
        <v>4</v>
      </c>
      <c r="C9" s="2">
        <f>ROUND('Timing-Actual'!G10,2)</f>
        <v>64.95</v>
      </c>
      <c r="D9" s="2">
        <f>ROUND('Timing-Actual'!F10,2)</f>
        <v>4</v>
      </c>
      <c r="E9" s="2">
        <f>ROUND('Timing-Actual'!M10,2)</f>
        <v>68.95</v>
      </c>
      <c r="F9" s="2">
        <f>ROUND('Timing-Actual'!L10,2)</f>
        <v>2.59</v>
      </c>
      <c r="H9" t="str">
        <f t="shared" si="1"/>
        <v xml:space="preserve">64.95:4 </v>
      </c>
      <c r="I9" t="str">
        <f t="shared" si="2"/>
        <v xml:space="preserve">68.95:2.59 </v>
      </c>
      <c r="K9" t="str">
        <f t="shared" si="3"/>
        <v/>
      </c>
      <c r="L9" t="str">
        <f t="shared" si="4"/>
        <v/>
      </c>
      <c r="M9" t="str">
        <f t="shared" si="5"/>
        <v xml:space="preserve">64.95:4 </v>
      </c>
      <c r="N9" t="str">
        <f t="shared" si="6"/>
        <v xml:space="preserve">68.95:2.59 </v>
      </c>
      <c r="O9" t="str">
        <f t="shared" si="7"/>
        <v/>
      </c>
      <c r="P9" t="str">
        <f t="shared" si="8"/>
        <v/>
      </c>
      <c r="Q9" t="str">
        <f t="shared" si="9"/>
        <v/>
      </c>
      <c r="R9" t="str">
        <f t="shared" si="10"/>
        <v/>
      </c>
      <c r="T9" s="102" t="str">
        <f>ChoiceCoding!AC6</f>
        <v>Ambivalent</v>
      </c>
      <c r="V9" t="str">
        <f t="shared" si="11"/>
        <v xml:space="preserve">64.95:4 </v>
      </c>
      <c r="W9" t="str">
        <f t="shared" si="11"/>
        <v xml:space="preserve">68.95:2.59 </v>
      </c>
      <c r="Y9" s="137" t="s">
        <v>92</v>
      </c>
      <c r="Z9" s="138" t="s">
        <v>58</v>
      </c>
      <c r="AA9" s="135">
        <v>5</v>
      </c>
      <c r="AB9" s="135" t="str">
        <f>CONCATENATE(O6,O7,O8,O9,O10,O11,O12,O13,O14,O15,O16,O17,O18,O19,O20,O21,O22,O23,O24,O25,O26,O27,O28,O29,O30,O31,O32,O33,O34,O35)</f>
        <v xml:space="preserve">45.95:4 107.95:4 145.94:4 181.95:4 247.95:4 313.95:4 343.96:3.99 405.96:4 437.95:4 475.96:3.99 </v>
      </c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P9" s="16"/>
      <c r="AQ9"/>
      <c r="AR9">
        <v>2</v>
      </c>
      <c r="AS9" t="str">
        <f>IF(AB41="","9999:9999",AB41)</f>
        <v xml:space="preserve">381.97:2.04 </v>
      </c>
      <c r="BE9" s="62"/>
      <c r="BF9" s="44" t="s">
        <v>21</v>
      </c>
      <c r="BG9" s="251" t="s">
        <v>92</v>
      </c>
      <c r="BH9" s="251" t="s">
        <v>58</v>
      </c>
      <c r="BI9" s="251">
        <v>5</v>
      </c>
      <c r="BJ9" s="251" t="str">
        <f t="shared" si="0"/>
        <v xml:space="preserve">45.95:4 107.95:4 145.94:4 181.95:4 247.95:4 313.95:4 343.96:3.99 405.96:4 437.95:4 475.96:3.99 45.97:4 107.97:4 145.96:4 181.97:4 247.97:4 313.97:4 343.96:4 405.97:3.99 437.96:4 475.96:4 45.97:4 145.98:4 181.97:4 247.97:4 437.98:4 475.98:4 </v>
      </c>
    </row>
    <row r="10" spans="1:83" ht="16" thickBot="1" x14ac:dyDescent="0.25">
      <c r="A10" s="147">
        <v>15</v>
      </c>
      <c r="B10" s="101">
        <v>5</v>
      </c>
      <c r="C10" s="2">
        <f>ROUND('Timing-Actual'!G11,2)</f>
        <v>79.94</v>
      </c>
      <c r="D10" s="2">
        <f>ROUND('Timing-Actual'!F11,2)</f>
        <v>4</v>
      </c>
      <c r="E10" s="2">
        <f>ROUND('Timing-Actual'!M11,2)</f>
        <v>83.95</v>
      </c>
      <c r="F10" s="2">
        <f>ROUND('Timing-Actual'!L11,2)</f>
        <v>4.92</v>
      </c>
      <c r="H10" t="str">
        <f t="shared" si="1"/>
        <v xml:space="preserve">79.94:4 </v>
      </c>
      <c r="I10" t="str">
        <f t="shared" si="2"/>
        <v xml:space="preserve">83.95:4.92 </v>
      </c>
      <c r="K10" t="str">
        <f t="shared" si="3"/>
        <v/>
      </c>
      <c r="L10" t="str">
        <f t="shared" si="4"/>
        <v/>
      </c>
      <c r="M10" t="str">
        <f t="shared" si="5"/>
        <v xml:space="preserve">79.94:4 </v>
      </c>
      <c r="N10" t="str">
        <f t="shared" si="6"/>
        <v xml:space="preserve">83.95:4.92 </v>
      </c>
      <c r="O10" t="str">
        <f t="shared" si="7"/>
        <v/>
      </c>
      <c r="P10" t="str">
        <f t="shared" si="8"/>
        <v/>
      </c>
      <c r="Q10" t="str">
        <f t="shared" si="9"/>
        <v/>
      </c>
      <c r="R10" t="str">
        <f t="shared" si="10"/>
        <v/>
      </c>
      <c r="T10" s="102" t="str">
        <f>ChoiceCoding!AC7</f>
        <v>Ambivalent</v>
      </c>
      <c r="V10" t="str">
        <f t="shared" si="11"/>
        <v xml:space="preserve">79.94:4 </v>
      </c>
      <c r="W10" t="str">
        <f t="shared" si="11"/>
        <v xml:space="preserve">83.95:4.92 </v>
      </c>
      <c r="Y10" s="139"/>
      <c r="Z10" s="138" t="s">
        <v>59</v>
      </c>
      <c r="AA10" s="135">
        <v>6</v>
      </c>
      <c r="AB10" s="135" t="str">
        <f>CONCATENATE(P6,P7,P8,P9,P10,P11,P12,P13,P14,P15,P16,P17,P18,P19,P20,P21,P22,P23,P24,P25,P26,P27,P28,P29,P30,P31,P32,P33,P34,P35)</f>
        <v xml:space="preserve">49.95:3.87 111.95:3.69 149.95:3.37 185.96:3.54 251.96:3.74 317.96:2.8 347.95:2.47 409.96:2.92 441.95:2.72 479.95:2.62 </v>
      </c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P10" s="17"/>
      <c r="AQ10" s="94"/>
      <c r="AR10" s="94">
        <v>3</v>
      </c>
      <c r="AS10" s="94" t="str">
        <f>IF(AB76="","9999:9999",AB76)</f>
        <v xml:space="preserve">9.98:2.72 111.97:2.84 200.97:2.84 </v>
      </c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63"/>
      <c r="BF10" s="44" t="s">
        <v>21</v>
      </c>
      <c r="BG10" s="251" t="s">
        <v>21</v>
      </c>
      <c r="BH10" s="251" t="s">
        <v>59</v>
      </c>
      <c r="BI10" s="251">
        <v>6</v>
      </c>
      <c r="BJ10" s="251" t="str">
        <f t="shared" si="0"/>
        <v xml:space="preserve">49.95:3.87 111.95:3.69 149.95:3.37 185.96:3.54 251.96:3.74 317.96:2.8 347.95:2.47 409.96:2.92 441.95:2.72 479.95:2.62 49.97:2.57 111.97:3.94 149.96:2.32 185.97:2.29 251.97:2.2 317.97:2.49 347.96:2.15 409.96:2.13 441.97:2.22 479.96:1.97 49.97:2.27 149.98:2.33 185.97:2.48 251.97:2.07 441.98:2.3 479.98:2.4 </v>
      </c>
    </row>
    <row r="11" spans="1:83" x14ac:dyDescent="0.2">
      <c r="A11" s="149">
        <v>0.05</v>
      </c>
      <c r="B11" s="101">
        <v>6</v>
      </c>
      <c r="C11" s="2">
        <f>ROUND('Timing-Actual'!G12,2)</f>
        <v>94.96</v>
      </c>
      <c r="D11" s="2">
        <f>ROUND('Timing-Actual'!F12,2)</f>
        <v>4</v>
      </c>
      <c r="E11" s="2">
        <f>ROUND('Timing-Actual'!M12,2)</f>
        <v>98.96</v>
      </c>
      <c r="F11" s="2">
        <f>ROUND('Timing-Actual'!L12,2)</f>
        <v>3.72</v>
      </c>
      <c r="H11" t="str">
        <f t="shared" si="1"/>
        <v xml:space="preserve">94.96:4 </v>
      </c>
      <c r="I11" t="str">
        <f t="shared" si="2"/>
        <v xml:space="preserve">98.96:3.72 </v>
      </c>
      <c r="K11" t="str">
        <f t="shared" si="3"/>
        <v/>
      </c>
      <c r="L11" t="str">
        <f t="shared" si="4"/>
        <v/>
      </c>
      <c r="M11" t="str">
        <f t="shared" si="5"/>
        <v xml:space="preserve">94.96:4 </v>
      </c>
      <c r="N11" t="str">
        <f t="shared" si="6"/>
        <v xml:space="preserve">98.96:3.72 </v>
      </c>
      <c r="O11" t="str">
        <f t="shared" si="7"/>
        <v/>
      </c>
      <c r="P11" t="str">
        <f t="shared" si="8"/>
        <v/>
      </c>
      <c r="Q11" t="str">
        <f t="shared" si="9"/>
        <v/>
      </c>
      <c r="R11" t="str">
        <f t="shared" si="10"/>
        <v/>
      </c>
      <c r="T11" s="102" t="str">
        <f>ChoiceCoding!AC8</f>
        <v>Ambivalent</v>
      </c>
      <c r="V11" t="str">
        <f t="shared" si="11"/>
        <v xml:space="preserve">94.96:4 </v>
      </c>
      <c r="W11" t="str">
        <f t="shared" si="11"/>
        <v xml:space="preserve">98.96:3.72 </v>
      </c>
      <c r="Y11" s="137" t="s">
        <v>93</v>
      </c>
      <c r="Z11" s="138" t="s">
        <v>58</v>
      </c>
      <c r="AA11" s="135">
        <v>7</v>
      </c>
      <c r="AB11" s="135" t="str">
        <f>CONCATENATE(Q6,Q7,Q8,Q9,Q10,Q11,Q12,Q13,Q14,Q15,Q16,Q17,Q18,Q19,Q20,Q21,Q22,Q23,Q24,Q25,Q26,Q27,Q28,Q29,Q30,Q31,Q32,Q33,Q34,Q35)</f>
        <v/>
      </c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P11" s="45" t="s">
        <v>91</v>
      </c>
      <c r="AQ11" s="15" t="s">
        <v>58</v>
      </c>
      <c r="AR11" s="15">
        <v>1</v>
      </c>
      <c r="AS11" s="15" t="str">
        <f>IF(AB7="","9999:9999",AB7)</f>
        <v xml:space="preserve">5.95:4 22.95:4 64.95:4 79.94:4 94.96:4 126.95:4 166.96:3.99 196.95:4 209.96:3.99 232.96:3.99 264.95:4 279.94:4 300.94:4 328.95:4 356.95:4 392.95:4 420.95:4 452.96:3.99 488.95:4 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233"/>
      <c r="BF11" s="44" t="s">
        <v>21</v>
      </c>
      <c r="BG11" s="251" t="s">
        <v>93</v>
      </c>
      <c r="BH11" s="251" t="s">
        <v>58</v>
      </c>
      <c r="BI11" s="251">
        <v>7</v>
      </c>
      <c r="BJ11" s="251" t="str">
        <f t="shared" si="0"/>
        <v>9999:9999</v>
      </c>
    </row>
    <row r="12" spans="1:83" x14ac:dyDescent="0.2">
      <c r="A12" s="160">
        <v>40</v>
      </c>
      <c r="B12" s="101">
        <v>7</v>
      </c>
      <c r="C12" s="2">
        <f>ROUND('Timing-Actual'!G13,2)</f>
        <v>107.95</v>
      </c>
      <c r="D12" s="2">
        <f>ROUND('Timing-Actual'!F13,2)</f>
        <v>4</v>
      </c>
      <c r="E12" s="2">
        <f>ROUND('Timing-Actual'!M13,2)</f>
        <v>111.95</v>
      </c>
      <c r="F12" s="2">
        <f>ROUND('Timing-Actual'!L13,2)</f>
        <v>3.69</v>
      </c>
      <c r="H12" t="str">
        <f t="shared" si="1"/>
        <v xml:space="preserve">107.95:4 </v>
      </c>
      <c r="I12" t="str">
        <f t="shared" si="2"/>
        <v xml:space="preserve">111.95:3.69 </v>
      </c>
      <c r="K12" t="str">
        <f t="shared" si="3"/>
        <v/>
      </c>
      <c r="L12" t="str">
        <f t="shared" si="4"/>
        <v/>
      </c>
      <c r="M12" t="str">
        <f t="shared" si="5"/>
        <v/>
      </c>
      <c r="N12" t="str">
        <f t="shared" si="6"/>
        <v/>
      </c>
      <c r="O12" t="str">
        <f t="shared" si="7"/>
        <v xml:space="preserve">107.95:4 </v>
      </c>
      <c r="P12" t="str">
        <f t="shared" si="8"/>
        <v xml:space="preserve">111.95:3.69 </v>
      </c>
      <c r="Q12" t="str">
        <f t="shared" si="9"/>
        <v/>
      </c>
      <c r="R12" t="str">
        <f t="shared" si="10"/>
        <v/>
      </c>
      <c r="T12" s="102" t="str">
        <f>ChoiceCoding!AC9</f>
        <v>Avoid</v>
      </c>
      <c r="V12" t="str">
        <f t="shared" si="11"/>
        <v xml:space="preserve">107.95:4 </v>
      </c>
      <c r="W12" t="str">
        <f t="shared" si="11"/>
        <v xml:space="preserve">111.95:3.69 </v>
      </c>
      <c r="Y12" s="139"/>
      <c r="Z12" s="138" t="s">
        <v>59</v>
      </c>
      <c r="AA12" s="135">
        <v>8</v>
      </c>
      <c r="AB12" s="135" t="str">
        <f>CONCATENATE(R6,R7,R8,R9,R10,R11,R12,R13,R14,R15,R16,R17,R18,R19,R20,R21,R22,R23,R24,R25,R26,R27,R28,R29,R30,R31,R32,R33,R34,R35)</f>
        <v/>
      </c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P12" s="16"/>
      <c r="AQ12"/>
      <c r="AR12">
        <v>2</v>
      </c>
      <c r="AS12" t="str">
        <f>IF(AB42="","9999:9999",AB42)</f>
        <v xml:space="preserve">5.97:4 22.97:4 64.97:4 79.96:4 94.97:4 126.96:4 166.96:4 196.97:4 209.98:3.99 232.96:4 264.97:4 279.96:4 300.96:4 328.97:4 356.97:4 392.96:4 420.97:4 452.98:3.99 488.97:4 </v>
      </c>
      <c r="BE12" s="62"/>
      <c r="BF12" s="44" t="s">
        <v>21</v>
      </c>
      <c r="BH12" s="251" t="s">
        <v>59</v>
      </c>
      <c r="BI12" s="251">
        <v>8</v>
      </c>
      <c r="BJ12" s="251" t="str">
        <f t="shared" si="0"/>
        <v>9999:9999</v>
      </c>
    </row>
    <row r="13" spans="1:83" ht="16" thickBot="1" x14ac:dyDescent="0.25">
      <c r="A13" s="147">
        <v>13</v>
      </c>
      <c r="B13" s="101">
        <v>8</v>
      </c>
      <c r="C13" s="2">
        <f>ROUND('Timing-Actual'!G14,2)</f>
        <v>126.95</v>
      </c>
      <c r="D13" s="2">
        <f>ROUND('Timing-Actual'!F14,2)</f>
        <v>4</v>
      </c>
      <c r="E13" s="2">
        <f>ROUND('Timing-Actual'!M14,2)</f>
        <v>130.94999999999999</v>
      </c>
      <c r="F13" s="2">
        <f>ROUND('Timing-Actual'!L14,2)</f>
        <v>2.99</v>
      </c>
      <c r="H13" t="str">
        <f t="shared" si="1"/>
        <v xml:space="preserve">126.95:4 </v>
      </c>
      <c r="I13" t="str">
        <f t="shared" si="2"/>
        <v xml:space="preserve">130.95:2.99 </v>
      </c>
      <c r="K13" t="str">
        <f t="shared" si="3"/>
        <v/>
      </c>
      <c r="L13" t="str">
        <f t="shared" si="4"/>
        <v/>
      </c>
      <c r="M13" t="str">
        <f t="shared" si="5"/>
        <v xml:space="preserve">126.95:4 </v>
      </c>
      <c r="N13" t="str">
        <f t="shared" si="6"/>
        <v xml:space="preserve">130.95:2.99 </v>
      </c>
      <c r="O13" t="str">
        <f t="shared" si="7"/>
        <v/>
      </c>
      <c r="P13" t="str">
        <f t="shared" si="8"/>
        <v/>
      </c>
      <c r="Q13" t="str">
        <f t="shared" si="9"/>
        <v/>
      </c>
      <c r="R13" t="str">
        <f t="shared" si="10"/>
        <v/>
      </c>
      <c r="T13" s="102" t="str">
        <f>ChoiceCoding!AC10</f>
        <v>Ambivalent</v>
      </c>
      <c r="V13" t="str">
        <f t="shared" si="11"/>
        <v xml:space="preserve">126.95:4 </v>
      </c>
      <c r="W13" t="str">
        <f t="shared" si="11"/>
        <v xml:space="preserve">130.95:2.99 </v>
      </c>
      <c r="AP13" s="17"/>
      <c r="AQ13" s="94"/>
      <c r="AR13" s="94">
        <v>3</v>
      </c>
      <c r="AS13" s="94" t="str">
        <f>IF(AB77="","9999:9999",AB77)</f>
        <v xml:space="preserve">22.97:4 64.98:3.99 79.98:4 94.97:4 126.98:4 166.98:4 209.98:4 232.98:4 264.98:3.99 279.98:4 300.98:4 313.97:4 328.98:3.99 343.98:4 356.97:4 377.97:4 392.98:4 405.97:4 420.98:3.99 452.98:4 488.97:4 </v>
      </c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63"/>
      <c r="BF13" s="44" t="s">
        <v>21</v>
      </c>
    </row>
    <row r="14" spans="1:83" x14ac:dyDescent="0.2">
      <c r="A14" s="159">
        <v>80</v>
      </c>
      <c r="B14" s="101">
        <v>9</v>
      </c>
      <c r="C14" s="2">
        <f>ROUND('Timing-Actual'!G15,2)</f>
        <v>145.94</v>
      </c>
      <c r="D14" s="2">
        <f>ROUND('Timing-Actual'!F15,2)</f>
        <v>4</v>
      </c>
      <c r="E14" s="2">
        <f>ROUND('Timing-Actual'!M15,2)</f>
        <v>149.94999999999999</v>
      </c>
      <c r="F14" s="2">
        <f>ROUND('Timing-Actual'!L15,2)</f>
        <v>3.37</v>
      </c>
      <c r="H14" t="str">
        <f t="shared" si="1"/>
        <v xml:space="preserve">145.94:4 </v>
      </c>
      <c r="I14" t="str">
        <f t="shared" si="2"/>
        <v xml:space="preserve">149.95:3.37 </v>
      </c>
      <c r="K14" t="str">
        <f t="shared" si="3"/>
        <v/>
      </c>
      <c r="L14" t="str">
        <f t="shared" si="4"/>
        <v/>
      </c>
      <c r="M14" t="str">
        <f t="shared" si="5"/>
        <v/>
      </c>
      <c r="N14" t="str">
        <f t="shared" si="6"/>
        <v/>
      </c>
      <c r="O14" t="str">
        <f t="shared" si="7"/>
        <v xml:space="preserve">145.94:4 </v>
      </c>
      <c r="P14" t="str">
        <f t="shared" si="8"/>
        <v xml:space="preserve">149.95:3.37 </v>
      </c>
      <c r="Q14" t="str">
        <f t="shared" si="9"/>
        <v/>
      </c>
      <c r="R14" t="str">
        <f t="shared" si="10"/>
        <v/>
      </c>
      <c r="T14" s="102" t="str">
        <f>ChoiceCoding!AC11</f>
        <v>Avoid</v>
      </c>
      <c r="V14" t="str">
        <f t="shared" si="11"/>
        <v xml:space="preserve">145.94:4 </v>
      </c>
      <c r="W14" t="str">
        <f t="shared" si="11"/>
        <v xml:space="preserve">149.95:3.37 </v>
      </c>
      <c r="Y14" s="256" t="s">
        <v>395</v>
      </c>
      <c r="Z14" s="257" t="s">
        <v>58</v>
      </c>
      <c r="AA14" s="52"/>
      <c r="AB14" s="52" t="str">
        <f>_xlfn.CONCAT(V6,V7,V8,V9,V10,V11,V12,V13,V14,V15,V16,V17,V18,V19,V20,V21,V22,V23,V24,V25,V26,V27,V28,V29,V30,V31,V32,V33,V34,V35)</f>
        <v xml:space="preserve">5.95:4 22.95:4 45.95:4 64.95:4 79.94:4 94.96:4 107.95:4 126.95:4 145.94:4 166.96:3.99 181.95:4 196.95:4 209.96:3.99 232.96:3.99 247.95:4 264.95:4 279.94:4 300.94:4 313.95:4 328.95:4 343.96:3.99 356.95:4 377.95:4 392.95:4 405.96:4 420.95:4 437.95:4 452.96:3.99 475.96:3.99 488.95:4 </v>
      </c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P14" s="45" t="s">
        <v>91</v>
      </c>
      <c r="AQ14" s="15" t="s">
        <v>59</v>
      </c>
      <c r="AR14" s="15">
        <v>1</v>
      </c>
      <c r="AS14" s="15" t="str">
        <f>IF(AB8="","9999:9999",AB8)</f>
        <v xml:space="preserve">9.96:4.82 26.95:3.74 68.95:2.59 83.95:4.92 98.96:3.72 130.95:2.99 170.95:2.38 200.95:2.29 213.94:3.32 236.95:2.39 268.95:2.83 283.95:1.8 304.95:2.05 332.95:2.52 360.96:1.48 396.95:1.97 424.95:2.34 456.94:2.04 492.96:4.55 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233"/>
      <c r="BF14" s="44" t="s">
        <v>21</v>
      </c>
    </row>
    <row r="15" spans="1:83" x14ac:dyDescent="0.2">
      <c r="A15" s="149">
        <v>0.01</v>
      </c>
      <c r="B15" s="101">
        <v>10</v>
      </c>
      <c r="C15" s="2">
        <f>ROUND('Timing-Actual'!G16,2)</f>
        <v>166.96</v>
      </c>
      <c r="D15" s="2">
        <f>ROUND('Timing-Actual'!F16,2)</f>
        <v>3.99</v>
      </c>
      <c r="E15" s="2">
        <f>ROUND('Timing-Actual'!M16,2)</f>
        <v>170.95</v>
      </c>
      <c r="F15" s="2">
        <f>ROUND('Timing-Actual'!L16,2)</f>
        <v>2.38</v>
      </c>
      <c r="H15" t="str">
        <f t="shared" si="1"/>
        <v xml:space="preserve">166.96:3.99 </v>
      </c>
      <c r="I15" t="str">
        <f t="shared" si="2"/>
        <v xml:space="preserve">170.95:2.38 </v>
      </c>
      <c r="K15" t="str">
        <f t="shared" si="3"/>
        <v/>
      </c>
      <c r="L15" t="str">
        <f t="shared" si="4"/>
        <v/>
      </c>
      <c r="M15" t="str">
        <f t="shared" si="5"/>
        <v xml:space="preserve">166.96:3.99 </v>
      </c>
      <c r="N15" t="str">
        <f t="shared" si="6"/>
        <v xml:space="preserve">170.95:2.38 </v>
      </c>
      <c r="O15" t="str">
        <f t="shared" si="7"/>
        <v/>
      </c>
      <c r="P15" t="str">
        <f t="shared" si="8"/>
        <v/>
      </c>
      <c r="Q15" t="str">
        <f t="shared" si="9"/>
        <v/>
      </c>
      <c r="R15" t="str">
        <f t="shared" si="10"/>
        <v/>
      </c>
      <c r="T15" s="102" t="str">
        <f>ChoiceCoding!AC12</f>
        <v>Ambivalent</v>
      </c>
      <c r="V15" t="str">
        <f t="shared" si="11"/>
        <v xml:space="preserve">166.96:3.99 </v>
      </c>
      <c r="W15" t="str">
        <f t="shared" si="11"/>
        <v xml:space="preserve">170.95:2.38 </v>
      </c>
      <c r="Y15" s="52"/>
      <c r="Z15" s="257" t="s">
        <v>59</v>
      </c>
      <c r="AA15" s="52"/>
      <c r="AB15" s="52" t="str">
        <f>_xlfn.CONCAT(W6,W7,W8,W9,W10,W11,W12,W13,W14,W15,W16,W17,W18,W19,W20,W21,W22,W23,W24,W25,W26,W27,W28,W29,W30,W31,W32,W33,W34,W35)</f>
        <v xml:space="preserve">9.96:4.82 26.95:3.74 49.95:3.87 68.95:2.59 83.95:4.92 98.96:3.72 111.95:3.69 130.95:2.99 149.95:3.37 170.95:2.38 185.96:3.54 200.95:2.29 213.94:3.32 236.95:2.39 251.96:3.74 268.95:2.83 283.95:1.8 304.95:2.05 317.96:2.8 332.95:2.52 347.95:2.47 360.96:1.48 381.95:2.74 396.95:1.97 409.96:2.92 424.95:2.34 441.95:2.72 456.94:2.04 479.95:2.62 492.96:4.55 </v>
      </c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P15" s="16"/>
      <c r="AQ15"/>
      <c r="AR15">
        <v>2</v>
      </c>
      <c r="AS15" t="str">
        <f>IF(AB43="","9999:9999",AB43)</f>
        <v xml:space="preserve">9.98:2.87 26.97:2.35 68.97:2.58 83.96:1.67 98.98:1.87 130.97:2.09 170.96:1.82 200.97:1.87 213.96:3.74 236.96:2.3 268.97:2.78 283.96:1.74 304.96:3.82 332.97:1.18 360.97:1.9 396.97:1.4 424.97:2.02 456.96:1.63 492.97:2.8 </v>
      </c>
      <c r="BE15" s="62"/>
      <c r="BF15" s="44" t="s">
        <v>21</v>
      </c>
    </row>
    <row r="16" spans="1:83" ht="16" thickBot="1" x14ac:dyDescent="0.25">
      <c r="A16" s="159">
        <v>30</v>
      </c>
      <c r="B16" s="101">
        <v>11</v>
      </c>
      <c r="C16" s="2">
        <f>ROUND('Timing-Actual'!G17,2)</f>
        <v>181.95</v>
      </c>
      <c r="D16" s="2">
        <f>ROUND('Timing-Actual'!F17,2)</f>
        <v>4</v>
      </c>
      <c r="E16" s="2">
        <f>ROUND('Timing-Actual'!M17,2)</f>
        <v>185.96</v>
      </c>
      <c r="F16" s="2">
        <f>ROUND('Timing-Actual'!L17,2)</f>
        <v>3.54</v>
      </c>
      <c r="H16" t="str">
        <f t="shared" si="1"/>
        <v xml:space="preserve">181.95:4 </v>
      </c>
      <c r="I16" t="str">
        <f t="shared" si="2"/>
        <v xml:space="preserve">185.96:3.54 </v>
      </c>
      <c r="K16" t="str">
        <f t="shared" si="3"/>
        <v/>
      </c>
      <c r="L16" t="str">
        <f t="shared" si="4"/>
        <v/>
      </c>
      <c r="M16" t="str">
        <f t="shared" si="5"/>
        <v/>
      </c>
      <c r="N16" t="str">
        <f t="shared" si="6"/>
        <v/>
      </c>
      <c r="O16" t="str">
        <f t="shared" si="7"/>
        <v xml:space="preserve">181.95:4 </v>
      </c>
      <c r="P16" t="str">
        <f t="shared" si="8"/>
        <v xml:space="preserve">185.96:3.54 </v>
      </c>
      <c r="Q16" t="str">
        <f t="shared" si="9"/>
        <v/>
      </c>
      <c r="R16" t="str">
        <f t="shared" si="10"/>
        <v/>
      </c>
      <c r="T16" s="102" t="str">
        <f>ChoiceCoding!AC13</f>
        <v>Avoid</v>
      </c>
      <c r="V16" t="str">
        <f t="shared" si="11"/>
        <v xml:space="preserve">181.95:4 </v>
      </c>
      <c r="W16" t="str">
        <f t="shared" si="11"/>
        <v xml:space="preserve">185.96:3.54 </v>
      </c>
      <c r="AP16" s="17"/>
      <c r="AQ16" s="94"/>
      <c r="AR16" s="94">
        <v>3</v>
      </c>
      <c r="AS16" s="94" t="str">
        <f>IF(AB78="","9999:9999",AB78)</f>
        <v xml:space="preserve">26.97:1.15 68.97:1.97 83.98:2.52 98.98:1.79 130.98:2.89 170.98:2.6 213.98:1.75 236.98:2.4 268.97:1.48 283.98:2.25 304.98:1.77 317.97:1.85 332.97:2.74 347.98:1.83 360.97:3.54 381.97:1.58 396.98:2.48 409.98:1.77 424.97:1.78 456.98:5.34 492.97:1.67 </v>
      </c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63"/>
      <c r="BF16" s="44" t="s">
        <v>21</v>
      </c>
      <c r="BG16" s="252" t="s">
        <v>118</v>
      </c>
    </row>
    <row r="17" spans="1:62" x14ac:dyDescent="0.2">
      <c r="A17" s="149">
        <v>0.02</v>
      </c>
      <c r="B17" s="101">
        <v>12</v>
      </c>
      <c r="C17" s="2">
        <f>ROUND('Timing-Actual'!G18,2)</f>
        <v>196.95</v>
      </c>
      <c r="D17" s="2">
        <f>ROUND('Timing-Actual'!F18,2)</f>
        <v>4</v>
      </c>
      <c r="E17" s="2">
        <f>ROUND('Timing-Actual'!M18,2)</f>
        <v>200.95</v>
      </c>
      <c r="F17" s="2">
        <f>ROUND('Timing-Actual'!L18,2)</f>
        <v>2.29</v>
      </c>
      <c r="H17" t="str">
        <f t="shared" si="1"/>
        <v xml:space="preserve">196.95:4 </v>
      </c>
      <c r="I17" t="str">
        <f t="shared" si="2"/>
        <v xml:space="preserve">200.95:2.29 </v>
      </c>
      <c r="K17" t="str">
        <f t="shared" si="3"/>
        <v/>
      </c>
      <c r="L17" t="str">
        <f t="shared" si="4"/>
        <v/>
      </c>
      <c r="M17" t="str">
        <f t="shared" si="5"/>
        <v xml:space="preserve">196.95:4 </v>
      </c>
      <c r="N17" t="str">
        <f t="shared" si="6"/>
        <v xml:space="preserve">200.95:2.29 </v>
      </c>
      <c r="O17" t="str">
        <f t="shared" si="7"/>
        <v/>
      </c>
      <c r="P17" t="str">
        <f t="shared" si="8"/>
        <v/>
      </c>
      <c r="Q17" t="str">
        <f t="shared" si="9"/>
        <v/>
      </c>
      <c r="R17" t="str">
        <f t="shared" si="10"/>
        <v/>
      </c>
      <c r="T17" s="102" t="str">
        <f>ChoiceCoding!AC14</f>
        <v>Ambivalent</v>
      </c>
      <c r="V17" t="str">
        <f t="shared" si="11"/>
        <v xml:space="preserve">196.95:4 </v>
      </c>
      <c r="W17" t="str">
        <f t="shared" si="11"/>
        <v xml:space="preserve">200.95:2.29 </v>
      </c>
      <c r="AP17" s="45" t="s">
        <v>92</v>
      </c>
      <c r="AQ17" s="15" t="s">
        <v>58</v>
      </c>
      <c r="AR17" s="15">
        <v>1</v>
      </c>
      <c r="AS17" s="15" t="str">
        <f>IF(AB9="","9999:9999",AB9)</f>
        <v xml:space="preserve">45.95:4 107.95:4 145.94:4 181.95:4 247.95:4 313.95:4 343.96:3.99 405.96:4 437.95:4 475.96:3.99 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233"/>
      <c r="BF17" s="44" t="s">
        <v>21</v>
      </c>
      <c r="BG17" s="251" t="str">
        <f>'Paste Run 1'!B2</f>
        <v>XXXX</v>
      </c>
    </row>
    <row r="18" spans="1:62" x14ac:dyDescent="0.2">
      <c r="A18" s="147">
        <v>9</v>
      </c>
      <c r="B18" s="101">
        <v>13</v>
      </c>
      <c r="C18" s="2">
        <f>ROUND('Timing-Actual'!G19,2)</f>
        <v>209.96</v>
      </c>
      <c r="D18" s="2">
        <f>ROUND('Timing-Actual'!F19,2)</f>
        <v>3.99</v>
      </c>
      <c r="E18" s="2">
        <f>ROUND('Timing-Actual'!M19,2)</f>
        <v>213.94</v>
      </c>
      <c r="F18" s="2">
        <f>ROUND('Timing-Actual'!L19,2)</f>
        <v>3.32</v>
      </c>
      <c r="H18" t="str">
        <f t="shared" si="1"/>
        <v xml:space="preserve">209.96:3.99 </v>
      </c>
      <c r="I18" t="str">
        <f t="shared" si="2"/>
        <v xml:space="preserve">213.94:3.32 </v>
      </c>
      <c r="K18" t="str">
        <f t="shared" si="3"/>
        <v/>
      </c>
      <c r="L18" t="str">
        <f t="shared" si="4"/>
        <v/>
      </c>
      <c r="M18" t="str">
        <f t="shared" si="5"/>
        <v xml:space="preserve">209.96:3.99 </v>
      </c>
      <c r="N18" t="str">
        <f t="shared" si="6"/>
        <v xml:space="preserve">213.94:3.32 </v>
      </c>
      <c r="O18" t="str">
        <f t="shared" si="7"/>
        <v/>
      </c>
      <c r="P18" t="str">
        <f t="shared" si="8"/>
        <v/>
      </c>
      <c r="Q18" t="str">
        <f t="shared" si="9"/>
        <v/>
      </c>
      <c r="R18" t="str">
        <f t="shared" si="10"/>
        <v/>
      </c>
      <c r="T18" s="102" t="str">
        <f>ChoiceCoding!AC15</f>
        <v>Ambivalent</v>
      </c>
      <c r="V18" t="str">
        <f t="shared" si="11"/>
        <v xml:space="preserve">209.96:3.99 </v>
      </c>
      <c r="W18" t="str">
        <f t="shared" si="11"/>
        <v xml:space="preserve">213.94:3.32 </v>
      </c>
      <c r="AP18" s="16"/>
      <c r="AQ18"/>
      <c r="AR18">
        <v>2</v>
      </c>
      <c r="AS18" t="str">
        <f>IF(AB44="","9999:9999",AB44)</f>
        <v xml:space="preserve">45.97:4 107.97:4 145.96:4 181.97:4 247.97:4 313.97:4 343.96:4 405.97:3.99 437.96:4 475.96:4 </v>
      </c>
      <c r="BE18" s="62"/>
      <c r="BF18" s="44" t="s">
        <v>21</v>
      </c>
      <c r="BG18" s="253" t="s">
        <v>90</v>
      </c>
      <c r="BH18" s="254" t="s">
        <v>58</v>
      </c>
      <c r="BI18" s="251">
        <v>1</v>
      </c>
      <c r="BJ18" s="251" t="str">
        <f>_xlfn.CONCAT("echo ",BJ5," &gt; ",BG$17,".stim.app_decide.1D")</f>
        <v>echo 377.95:4 377.97:4 5.97:4 107.98:3.99 196.98:3.99  &gt; XXXX.stim.app_decide.1D</v>
      </c>
    </row>
    <row r="19" spans="1:62" ht="16" thickBot="1" x14ac:dyDescent="0.25">
      <c r="A19" s="149">
        <v>0.05</v>
      </c>
      <c r="B19" s="101">
        <v>14</v>
      </c>
      <c r="C19" s="2">
        <f>ROUND('Timing-Actual'!G20,2)</f>
        <v>232.96</v>
      </c>
      <c r="D19" s="2">
        <f>ROUND('Timing-Actual'!F20,2)</f>
        <v>3.99</v>
      </c>
      <c r="E19" s="2">
        <f>ROUND('Timing-Actual'!M20,2)</f>
        <v>236.95</v>
      </c>
      <c r="F19" s="2">
        <f>ROUND('Timing-Actual'!L20,2)</f>
        <v>2.39</v>
      </c>
      <c r="H19" t="str">
        <f t="shared" si="1"/>
        <v xml:space="preserve">232.96:3.99 </v>
      </c>
      <c r="I19" t="str">
        <f t="shared" si="2"/>
        <v xml:space="preserve">236.95:2.39 </v>
      </c>
      <c r="K19" t="str">
        <f t="shared" si="3"/>
        <v/>
      </c>
      <c r="L19" t="str">
        <f t="shared" si="4"/>
        <v/>
      </c>
      <c r="M19" t="str">
        <f t="shared" si="5"/>
        <v xml:space="preserve">232.96:3.99 </v>
      </c>
      <c r="N19" t="str">
        <f t="shared" si="6"/>
        <v xml:space="preserve">236.95:2.39 </v>
      </c>
      <c r="O19" t="str">
        <f t="shared" si="7"/>
        <v/>
      </c>
      <c r="P19" t="str">
        <f t="shared" si="8"/>
        <v/>
      </c>
      <c r="Q19" t="str">
        <f t="shared" si="9"/>
        <v/>
      </c>
      <c r="R19" t="str">
        <f t="shared" si="10"/>
        <v/>
      </c>
      <c r="T19" s="102" t="str">
        <f>ChoiceCoding!AC16</f>
        <v>Ambivalent</v>
      </c>
      <c r="V19" t="str">
        <f t="shared" si="11"/>
        <v xml:space="preserve">232.96:3.99 </v>
      </c>
      <c r="W19" t="str">
        <f t="shared" si="11"/>
        <v xml:space="preserve">236.95:2.39 </v>
      </c>
      <c r="AP19" s="16"/>
      <c r="AQ19"/>
      <c r="AR19">
        <v>3</v>
      </c>
      <c r="AS19" s="94" t="str">
        <f>IF(AB79="","9999:9999",AB79)</f>
        <v xml:space="preserve">45.97:4 145.98:4 181.97:4 247.97:4 437.98:4 475.98:4 </v>
      </c>
      <c r="BE19" s="62"/>
      <c r="BF19" s="44" t="s">
        <v>21</v>
      </c>
      <c r="BG19" s="253"/>
      <c r="BH19" s="254" t="s">
        <v>59</v>
      </c>
      <c r="BI19" s="251">
        <v>2</v>
      </c>
      <c r="BJ19" s="251" t="str">
        <f>_xlfn.CONCAT("echo ",BJ6," &gt; ",BG$17,".stim.app_input.1D")</f>
        <v>echo 381.95:2.74 381.97:2.04 9.98:2.72 111.97:2.84 200.97:2.84  &gt; XXXX.stim.app_input.1D</v>
      </c>
    </row>
    <row r="20" spans="1:62" x14ac:dyDescent="0.2">
      <c r="A20" s="159">
        <v>70</v>
      </c>
      <c r="B20" s="101">
        <v>15</v>
      </c>
      <c r="C20" s="2">
        <f>ROUND('Timing-Actual'!G21,2)</f>
        <v>247.95</v>
      </c>
      <c r="D20" s="2">
        <f>ROUND('Timing-Actual'!F21,2)</f>
        <v>4</v>
      </c>
      <c r="E20" s="2">
        <f>ROUND('Timing-Actual'!M21,2)</f>
        <v>251.96</v>
      </c>
      <c r="F20" s="2">
        <f>ROUND('Timing-Actual'!L21,2)</f>
        <v>3.74</v>
      </c>
      <c r="H20" t="str">
        <f t="shared" si="1"/>
        <v xml:space="preserve">247.95:4 </v>
      </c>
      <c r="I20" t="str">
        <f t="shared" si="2"/>
        <v xml:space="preserve">251.96:3.74 </v>
      </c>
      <c r="K20" t="str">
        <f t="shared" si="3"/>
        <v/>
      </c>
      <c r="L20" t="str">
        <f t="shared" si="4"/>
        <v/>
      </c>
      <c r="M20" t="str">
        <f t="shared" si="5"/>
        <v/>
      </c>
      <c r="N20" t="str">
        <f t="shared" si="6"/>
        <v/>
      </c>
      <c r="O20" t="str">
        <f t="shared" si="7"/>
        <v xml:space="preserve">247.95:4 </v>
      </c>
      <c r="P20" t="str">
        <f t="shared" si="8"/>
        <v xml:space="preserve">251.96:3.74 </v>
      </c>
      <c r="Q20" t="str">
        <f t="shared" si="9"/>
        <v/>
      </c>
      <c r="R20" t="str">
        <f t="shared" si="10"/>
        <v/>
      </c>
      <c r="T20" s="102" t="str">
        <f>ChoiceCoding!AC17</f>
        <v>Avoid</v>
      </c>
      <c r="V20" t="str">
        <f t="shared" si="11"/>
        <v xml:space="preserve">247.95:4 </v>
      </c>
      <c r="W20" t="str">
        <f t="shared" si="11"/>
        <v xml:space="preserve">251.96:3.74 </v>
      </c>
      <c r="AP20" s="45" t="s">
        <v>92</v>
      </c>
      <c r="AQ20" s="15" t="s">
        <v>59</v>
      </c>
      <c r="AR20" s="15">
        <v>1</v>
      </c>
      <c r="AS20" s="15" t="str">
        <f>IF(AB10="","9999:9999",AB10)</f>
        <v xml:space="preserve">49.95:3.87 111.95:3.69 149.95:3.37 185.96:3.54 251.96:3.74 317.96:2.8 347.95:2.47 409.96:2.92 441.95:2.72 479.95:2.62 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233"/>
      <c r="BF20" s="44" t="s">
        <v>21</v>
      </c>
      <c r="BG20" s="253" t="s">
        <v>91</v>
      </c>
      <c r="BH20" s="254" t="s">
        <v>58</v>
      </c>
      <c r="BI20" s="251">
        <v>3</v>
      </c>
      <c r="BJ20" s="251" t="str">
        <f>_xlfn.CONCAT("echo ",BJ7," &gt; ",BG$17,".stim.amb_decide.1D")</f>
        <v>echo 5.95:4 22.95:4 64.95:4 79.94:4 94.96:4 126.95:4 166.96:3.99 196.95:4 209.96:3.99 232.96:3.99 264.95:4 279.94:4 300.94:4 328.95:4 356.95:4 392.95:4 420.95:4 452.96:3.99 488.95:4 5.97:4 22.97:4 64.97:4 79.96:4 94.97:4 126.96:4 166.96:4 196.97:4 209.98:3.99 232.96:4 264.97:4 279.96:4 300.96:4 328.97:4 356.97:4 392.96:4 420.97:4 452.98:3.99 488.97:4 22.97:4 64.98:3.99 79.98:4 94.97:4 126.98:4 166.98:4 209.98:4 232.98:4 264.98:3.99 279.98:4 300.98:4 313.97:4 328.98:3.99 343.98:4 356.97:4 377.97:4 392.98:4 405.97:4 420.98:3.99 452.98:4 488.97:4  &gt; XXXX.stim.amb_decide.1D</v>
      </c>
    </row>
    <row r="21" spans="1:62" x14ac:dyDescent="0.2">
      <c r="A21" s="147">
        <v>13</v>
      </c>
      <c r="B21" s="101">
        <v>16</v>
      </c>
      <c r="C21" s="2">
        <f>ROUND('Timing-Actual'!G22,2)</f>
        <v>264.95</v>
      </c>
      <c r="D21" s="2">
        <f>ROUND('Timing-Actual'!F22,2)</f>
        <v>4</v>
      </c>
      <c r="E21" s="2">
        <f>ROUND('Timing-Actual'!M22,2)</f>
        <v>268.95</v>
      </c>
      <c r="F21" s="2">
        <f>ROUND('Timing-Actual'!L22,2)</f>
        <v>2.83</v>
      </c>
      <c r="H21" t="str">
        <f t="shared" si="1"/>
        <v xml:space="preserve">264.95:4 </v>
      </c>
      <c r="I21" t="str">
        <f t="shared" si="2"/>
        <v xml:space="preserve">268.95:2.83 </v>
      </c>
      <c r="K21" t="str">
        <f t="shared" si="3"/>
        <v/>
      </c>
      <c r="L21" t="str">
        <f t="shared" si="4"/>
        <v/>
      </c>
      <c r="M21" t="str">
        <f t="shared" si="5"/>
        <v xml:space="preserve">264.95:4 </v>
      </c>
      <c r="N21" t="str">
        <f t="shared" si="6"/>
        <v xml:space="preserve">268.95:2.83 </v>
      </c>
      <c r="O21" t="str">
        <f t="shared" si="7"/>
        <v/>
      </c>
      <c r="P21" t="str">
        <f t="shared" si="8"/>
        <v/>
      </c>
      <c r="Q21" t="str">
        <f t="shared" si="9"/>
        <v/>
      </c>
      <c r="R21" t="str">
        <f t="shared" si="10"/>
        <v/>
      </c>
      <c r="T21" s="102" t="str">
        <f>ChoiceCoding!AC18</f>
        <v>Ambivalent</v>
      </c>
      <c r="V21" t="str">
        <f t="shared" si="11"/>
        <v xml:space="preserve">264.95:4 </v>
      </c>
      <c r="W21" t="str">
        <f t="shared" si="11"/>
        <v xml:space="preserve">268.95:2.83 </v>
      </c>
      <c r="AP21" s="16"/>
      <c r="AQ21"/>
      <c r="AR21">
        <v>2</v>
      </c>
      <c r="AS21" t="str">
        <f>IF(AB45="","9999:9999",AB45)</f>
        <v xml:space="preserve">49.97:2.57 111.97:3.94 149.96:2.32 185.97:2.29 251.97:2.2 317.97:2.49 347.96:2.15 409.96:2.13 441.97:2.22 479.96:1.97 </v>
      </c>
      <c r="BE21" s="62"/>
      <c r="BF21" s="44" t="s">
        <v>21</v>
      </c>
      <c r="BG21" s="253"/>
      <c r="BH21" s="254" t="s">
        <v>59</v>
      </c>
      <c r="BI21" s="251">
        <v>4</v>
      </c>
      <c r="BJ21" s="251" t="str">
        <f>_xlfn.CONCAT("echo ",BJ8," &gt; ",BG$17,".stim.amb_input.1D")</f>
        <v>echo 9.96:4.82 26.95:3.74 68.95:2.59 83.95:4.92 98.96:3.72 130.95:2.99 170.95:2.38 200.95:2.29 213.94:3.32 236.95:2.39 268.95:2.83 283.95:1.8 304.95:2.05 332.95:2.52 360.96:1.48 396.95:1.97 424.95:2.34 456.94:2.04 492.96:4.55 9.98:2.87 26.97:2.35 68.97:2.58 83.96:1.67 98.98:1.87 130.97:2.09 170.96:1.82 200.97:1.87 213.96:3.74 236.96:2.3 268.97:2.78 283.96:1.74 304.96:3.82 332.97:1.18 360.97:1.9 396.97:1.4 424.97:2.02 456.96:1.63 492.97:2.8 26.97:1.15 68.97:1.97 83.98:2.52 98.98:1.79 130.98:2.89 170.98:2.6 213.98:1.75 236.98:2.4 268.97:1.48 283.98:2.25 304.98:1.77 317.97:1.85 332.97:2.74 347.98:1.83 360.97:3.54 381.97:1.58 396.98:2.48 409.98:1.77 424.97:1.78 456.98:5.34 492.97:1.67  &gt; XXXX.stim.amb_input.1D</v>
      </c>
    </row>
    <row r="22" spans="1:62" ht="16" thickBot="1" x14ac:dyDescent="0.25">
      <c r="A22" s="149">
        <v>0.04</v>
      </c>
      <c r="B22" s="101">
        <v>17</v>
      </c>
      <c r="C22" s="2">
        <f>ROUND('Timing-Actual'!G23,2)</f>
        <v>279.94</v>
      </c>
      <c r="D22" s="2">
        <f>ROUND('Timing-Actual'!F23,2)</f>
        <v>4</v>
      </c>
      <c r="E22" s="2">
        <f>ROUND('Timing-Actual'!M23,2)</f>
        <v>283.95</v>
      </c>
      <c r="F22" s="2">
        <f>ROUND('Timing-Actual'!L23,2)</f>
        <v>1.8</v>
      </c>
      <c r="H22" t="str">
        <f t="shared" si="1"/>
        <v xml:space="preserve">279.94:4 </v>
      </c>
      <c r="I22" t="str">
        <f t="shared" si="2"/>
        <v xml:space="preserve">283.95:1.8 </v>
      </c>
      <c r="K22" t="str">
        <f t="shared" si="3"/>
        <v/>
      </c>
      <c r="L22" t="str">
        <f t="shared" si="4"/>
        <v/>
      </c>
      <c r="M22" t="str">
        <f t="shared" si="5"/>
        <v xml:space="preserve">279.94:4 </v>
      </c>
      <c r="N22" t="str">
        <f t="shared" si="6"/>
        <v xml:space="preserve">283.95:1.8 </v>
      </c>
      <c r="O22" t="str">
        <f t="shared" si="7"/>
        <v/>
      </c>
      <c r="P22" t="str">
        <f t="shared" si="8"/>
        <v/>
      </c>
      <c r="Q22" t="str">
        <f t="shared" si="9"/>
        <v/>
      </c>
      <c r="R22" t="str">
        <f t="shared" si="10"/>
        <v/>
      </c>
      <c r="T22" s="102" t="str">
        <f>ChoiceCoding!AC19</f>
        <v>Ambivalent</v>
      </c>
      <c r="V22" t="str">
        <f t="shared" si="11"/>
        <v xml:space="preserve">279.94:4 </v>
      </c>
      <c r="W22" t="str">
        <f t="shared" si="11"/>
        <v xml:space="preserve">283.95:1.8 </v>
      </c>
      <c r="AP22" s="17"/>
      <c r="AQ22" s="94"/>
      <c r="AR22" s="94">
        <v>3</v>
      </c>
      <c r="AS22" s="94" t="str">
        <f>IF(AB80="","9999:9999",AB80)</f>
        <v xml:space="preserve">49.97:2.27 149.98:2.33 185.97:2.48 251.97:2.07 441.98:2.3 479.98:2.4 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63"/>
      <c r="BF22" s="44" t="s">
        <v>21</v>
      </c>
      <c r="BG22" s="253" t="s">
        <v>92</v>
      </c>
      <c r="BH22" s="254" t="s">
        <v>58</v>
      </c>
      <c r="BI22" s="251">
        <v>5</v>
      </c>
      <c r="BJ22" s="251" t="str">
        <f>_xlfn.CONCAT("echo ",BJ9," &gt; ",BG$17,".stim.avo_decide.1D")</f>
        <v>echo 45.95:4 107.95:4 145.94:4 181.95:4 247.95:4 313.95:4 343.96:3.99 405.96:4 437.95:4 475.96:3.99 45.97:4 107.97:4 145.96:4 181.97:4 247.97:4 313.97:4 343.96:4 405.97:3.99 437.96:4 475.96:4 45.97:4 145.98:4 181.97:4 247.97:4 437.98:4 475.98:4  &gt; XXXX.stim.avo_decide.1D</v>
      </c>
    </row>
    <row r="23" spans="1:62" x14ac:dyDescent="0.2">
      <c r="A23" s="147">
        <v>9</v>
      </c>
      <c r="B23" s="101">
        <v>18</v>
      </c>
      <c r="C23" s="2">
        <f>ROUND('Timing-Actual'!G24,2)</f>
        <v>300.94</v>
      </c>
      <c r="D23" s="2">
        <f>ROUND('Timing-Actual'!F24,2)</f>
        <v>4</v>
      </c>
      <c r="E23" s="2">
        <f>ROUND('Timing-Actual'!M24,2)</f>
        <v>304.95</v>
      </c>
      <c r="F23" s="2">
        <f>ROUND('Timing-Actual'!L24,2)</f>
        <v>2.0499999999999998</v>
      </c>
      <c r="H23" t="str">
        <f t="shared" si="1"/>
        <v xml:space="preserve">300.94:4 </v>
      </c>
      <c r="I23" t="str">
        <f t="shared" si="2"/>
        <v xml:space="preserve">304.95:2.05 </v>
      </c>
      <c r="K23" t="str">
        <f t="shared" si="3"/>
        <v/>
      </c>
      <c r="L23" t="str">
        <f t="shared" si="4"/>
        <v/>
      </c>
      <c r="M23" t="str">
        <f t="shared" si="5"/>
        <v xml:space="preserve">300.94:4 </v>
      </c>
      <c r="N23" t="str">
        <f t="shared" si="6"/>
        <v xml:space="preserve">304.95:2.05 </v>
      </c>
      <c r="O23" t="str">
        <f t="shared" si="7"/>
        <v/>
      </c>
      <c r="P23" t="str">
        <f t="shared" si="8"/>
        <v/>
      </c>
      <c r="Q23" t="str">
        <f t="shared" si="9"/>
        <v/>
      </c>
      <c r="R23" t="str">
        <f t="shared" si="10"/>
        <v/>
      </c>
      <c r="T23" s="102" t="str">
        <f>ChoiceCoding!AC20</f>
        <v>Ambivalent</v>
      </c>
      <c r="V23" t="str">
        <f t="shared" si="11"/>
        <v xml:space="preserve">300.94:4 </v>
      </c>
      <c r="W23" t="str">
        <f t="shared" si="11"/>
        <v xml:space="preserve">304.95:2.05 </v>
      </c>
      <c r="AP23" s="16" t="s">
        <v>93</v>
      </c>
      <c r="AQ23" t="s">
        <v>58</v>
      </c>
      <c r="AR23">
        <v>1</v>
      </c>
      <c r="AS23" t="str">
        <f>IF(AB11="","9999:9999",AB11)</f>
        <v>9999:9999</v>
      </c>
      <c r="BE23" s="62"/>
      <c r="BF23" s="44" t="s">
        <v>21</v>
      </c>
      <c r="BG23" s="255"/>
      <c r="BH23" s="254" t="s">
        <v>59</v>
      </c>
      <c r="BI23" s="251">
        <v>6</v>
      </c>
      <c r="BJ23" s="251" t="str">
        <f>_xlfn.CONCAT("echo ",BJ10," &gt; ",BG$17,".stim.avo_input.1D")</f>
        <v>echo 49.95:3.87 111.95:3.69 149.95:3.37 185.96:3.54 251.96:3.74 317.96:2.8 347.95:2.47 409.96:2.92 441.95:2.72 479.95:2.62 49.97:2.57 111.97:3.94 149.96:2.32 185.97:2.29 251.97:2.2 317.97:2.49 347.96:2.15 409.96:2.13 441.97:2.22 479.96:1.97 49.97:2.27 149.98:2.33 185.97:2.48 251.97:2.07 441.98:2.3 479.98:2.4  &gt; XXXX.stim.avo_input.1D</v>
      </c>
    </row>
    <row r="24" spans="1:62" x14ac:dyDescent="0.2">
      <c r="A24" s="159">
        <v>60</v>
      </c>
      <c r="B24" s="101">
        <v>19</v>
      </c>
      <c r="C24" s="2">
        <f>ROUND('Timing-Actual'!G25,2)</f>
        <v>313.95</v>
      </c>
      <c r="D24" s="2">
        <f>ROUND('Timing-Actual'!F25,2)</f>
        <v>4</v>
      </c>
      <c r="E24" s="2">
        <f>ROUND('Timing-Actual'!M25,2)</f>
        <v>317.95999999999998</v>
      </c>
      <c r="F24" s="2">
        <f>ROUND('Timing-Actual'!L25,2)</f>
        <v>2.8</v>
      </c>
      <c r="H24" t="str">
        <f t="shared" si="1"/>
        <v xml:space="preserve">313.95:4 </v>
      </c>
      <c r="I24" t="str">
        <f t="shared" si="2"/>
        <v xml:space="preserve">317.96:2.8 </v>
      </c>
      <c r="K24" t="str">
        <f t="shared" si="3"/>
        <v/>
      </c>
      <c r="L24" t="str">
        <f t="shared" si="4"/>
        <v/>
      </c>
      <c r="M24" t="str">
        <f t="shared" si="5"/>
        <v/>
      </c>
      <c r="N24" t="str">
        <f t="shared" si="6"/>
        <v/>
      </c>
      <c r="O24" t="str">
        <f t="shared" si="7"/>
        <v xml:space="preserve">313.95:4 </v>
      </c>
      <c r="P24" t="str">
        <f t="shared" si="8"/>
        <v xml:space="preserve">317.96:2.8 </v>
      </c>
      <c r="Q24" t="str">
        <f t="shared" si="9"/>
        <v/>
      </c>
      <c r="R24" t="str">
        <f t="shared" si="10"/>
        <v/>
      </c>
      <c r="T24" s="102" t="str">
        <f>ChoiceCoding!AC21</f>
        <v>Avoid</v>
      </c>
      <c r="V24" t="str">
        <f t="shared" si="11"/>
        <v xml:space="preserve">313.95:4 </v>
      </c>
      <c r="W24" t="str">
        <f t="shared" si="11"/>
        <v xml:space="preserve">317.96:2.8 </v>
      </c>
      <c r="AP24" s="16"/>
      <c r="AQ24"/>
      <c r="AR24">
        <v>2</v>
      </c>
      <c r="AS24" t="str">
        <f>IF(AB46="","9999:9999",AB46)</f>
        <v>9999:9999</v>
      </c>
      <c r="BE24" s="62"/>
      <c r="BF24" s="44" t="s">
        <v>21</v>
      </c>
      <c r="BG24" s="253" t="s">
        <v>93</v>
      </c>
      <c r="BH24" s="254" t="s">
        <v>58</v>
      </c>
      <c r="BI24" s="251">
        <v>7</v>
      </c>
      <c r="BJ24" s="251" t="str">
        <f>_xlfn.CONCAT("echo ",BJ11," &gt; ",BG$17,".stim.missing_decide.1D")</f>
        <v>echo 9999:9999 &gt; XXXX.stim.missing_decide.1D</v>
      </c>
    </row>
    <row r="25" spans="1:62" ht="16" thickBot="1" x14ac:dyDescent="0.25">
      <c r="A25" s="147">
        <v>7</v>
      </c>
      <c r="B25" s="101">
        <v>20</v>
      </c>
      <c r="C25" s="2">
        <f>ROUND('Timing-Actual'!G26,2)</f>
        <v>328.95</v>
      </c>
      <c r="D25" s="2">
        <f>ROUND('Timing-Actual'!F26,2)</f>
        <v>4</v>
      </c>
      <c r="E25" s="2">
        <f>ROUND('Timing-Actual'!M26,2)</f>
        <v>332.95</v>
      </c>
      <c r="F25" s="2">
        <f>ROUND('Timing-Actual'!L26,2)</f>
        <v>2.52</v>
      </c>
      <c r="H25" t="str">
        <f t="shared" si="1"/>
        <v xml:space="preserve">328.95:4 </v>
      </c>
      <c r="I25" t="str">
        <f t="shared" si="2"/>
        <v xml:space="preserve">332.95:2.52 </v>
      </c>
      <c r="K25" t="str">
        <f t="shared" si="3"/>
        <v/>
      </c>
      <c r="L25" t="str">
        <f t="shared" si="4"/>
        <v/>
      </c>
      <c r="M25" t="str">
        <f t="shared" si="5"/>
        <v xml:space="preserve">328.95:4 </v>
      </c>
      <c r="N25" t="str">
        <f t="shared" si="6"/>
        <v xml:space="preserve">332.95:2.52 </v>
      </c>
      <c r="O25" t="str">
        <f t="shared" si="7"/>
        <v/>
      </c>
      <c r="P25" t="str">
        <f t="shared" si="8"/>
        <v/>
      </c>
      <c r="Q25" t="str">
        <f t="shared" si="9"/>
        <v/>
      </c>
      <c r="R25" t="str">
        <f t="shared" si="10"/>
        <v/>
      </c>
      <c r="T25" s="102" t="str">
        <f>ChoiceCoding!AC22</f>
        <v>Ambivalent</v>
      </c>
      <c r="V25" t="str">
        <f t="shared" si="11"/>
        <v xml:space="preserve">328.95:4 </v>
      </c>
      <c r="W25" t="str">
        <f t="shared" si="11"/>
        <v xml:space="preserve">332.95:2.52 </v>
      </c>
      <c r="AP25" s="17"/>
      <c r="AQ25" s="94"/>
      <c r="AR25" s="94">
        <v>3</v>
      </c>
      <c r="AS25" s="94" t="str">
        <f>IF(AB81="","9999:9999",AB81)</f>
        <v>9999:9999</v>
      </c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63"/>
      <c r="BF25" s="44" t="s">
        <v>21</v>
      </c>
      <c r="BG25" s="255"/>
      <c r="BH25" s="254" t="s">
        <v>59</v>
      </c>
      <c r="BI25" s="251">
        <v>8</v>
      </c>
      <c r="BJ25" s="251" t="str">
        <f>_xlfn.CONCAT("echo ",BJ12," &gt; ",BG$17,".stim.missing_input.1D")</f>
        <v>echo 9999:9999 &gt; XXXX.stim.missing_input.1D</v>
      </c>
    </row>
    <row r="26" spans="1:62" x14ac:dyDescent="0.2">
      <c r="A26" s="160">
        <v>40</v>
      </c>
      <c r="B26" s="101">
        <v>21</v>
      </c>
      <c r="C26" s="2">
        <f>ROUND('Timing-Actual'!G27,2)</f>
        <v>343.96</v>
      </c>
      <c r="D26" s="2">
        <f>ROUND('Timing-Actual'!F27,2)</f>
        <v>3.99</v>
      </c>
      <c r="E26" s="2">
        <f>ROUND('Timing-Actual'!M27,2)</f>
        <v>347.95</v>
      </c>
      <c r="F26" s="2">
        <f>ROUND('Timing-Actual'!L27,2)</f>
        <v>2.4700000000000002</v>
      </c>
      <c r="H26" t="str">
        <f t="shared" si="1"/>
        <v xml:space="preserve">343.96:3.99 </v>
      </c>
      <c r="I26" t="str">
        <f t="shared" si="2"/>
        <v xml:space="preserve">347.95:2.47 </v>
      </c>
      <c r="K26" t="str">
        <f t="shared" si="3"/>
        <v/>
      </c>
      <c r="L26" t="str">
        <f t="shared" si="4"/>
        <v/>
      </c>
      <c r="M26" t="str">
        <f t="shared" si="5"/>
        <v/>
      </c>
      <c r="N26" t="str">
        <f t="shared" si="6"/>
        <v/>
      </c>
      <c r="O26" t="str">
        <f t="shared" si="7"/>
        <v xml:space="preserve">343.96:3.99 </v>
      </c>
      <c r="P26" t="str">
        <f t="shared" si="8"/>
        <v xml:space="preserve">347.95:2.47 </v>
      </c>
      <c r="Q26" t="str">
        <f t="shared" si="9"/>
        <v/>
      </c>
      <c r="R26" t="str">
        <f t="shared" si="10"/>
        <v/>
      </c>
      <c r="T26" s="102" t="str">
        <f>ChoiceCoding!AC23</f>
        <v>Avoid</v>
      </c>
      <c r="V26" t="str">
        <f t="shared" si="11"/>
        <v xml:space="preserve">343.96:3.99 </v>
      </c>
      <c r="W26" t="str">
        <f t="shared" si="11"/>
        <v xml:space="preserve">347.95:2.47 </v>
      </c>
      <c r="AP26" s="45" t="s">
        <v>93</v>
      </c>
      <c r="AQ26" s="15" t="s">
        <v>59</v>
      </c>
      <c r="AR26" s="15">
        <v>1</v>
      </c>
      <c r="AS26" s="15" t="str">
        <f>IF(AB12="","9999:9999",AB12)</f>
        <v>9999:9999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233"/>
      <c r="BF26" s="44" t="s">
        <v>21</v>
      </c>
      <c r="BJ26" s="251" t="s">
        <v>128</v>
      </c>
    </row>
    <row r="27" spans="1:62" x14ac:dyDescent="0.2">
      <c r="A27" s="147">
        <v>7</v>
      </c>
      <c r="B27" s="101">
        <v>22</v>
      </c>
      <c r="C27" s="2">
        <f>ROUND('Timing-Actual'!G28,2)</f>
        <v>356.95</v>
      </c>
      <c r="D27" s="2">
        <f>ROUND('Timing-Actual'!F28,2)</f>
        <v>4</v>
      </c>
      <c r="E27" s="2">
        <f>ROUND('Timing-Actual'!M28,2)</f>
        <v>360.96</v>
      </c>
      <c r="F27" s="2">
        <f>ROUND('Timing-Actual'!L28,2)</f>
        <v>1.48</v>
      </c>
      <c r="H27" t="str">
        <f t="shared" si="1"/>
        <v xml:space="preserve">356.95:4 </v>
      </c>
      <c r="I27" t="str">
        <f t="shared" si="2"/>
        <v xml:space="preserve">360.96:1.48 </v>
      </c>
      <c r="K27" t="str">
        <f t="shared" si="3"/>
        <v/>
      </c>
      <c r="L27" t="str">
        <f t="shared" si="4"/>
        <v/>
      </c>
      <c r="M27" t="str">
        <f t="shared" si="5"/>
        <v xml:space="preserve">356.95:4 </v>
      </c>
      <c r="N27" t="str">
        <f t="shared" si="6"/>
        <v xml:space="preserve">360.96:1.48 </v>
      </c>
      <c r="O27" t="str">
        <f t="shared" si="7"/>
        <v/>
      </c>
      <c r="P27" t="str">
        <f t="shared" si="8"/>
        <v/>
      </c>
      <c r="Q27" t="str">
        <f t="shared" si="9"/>
        <v/>
      </c>
      <c r="R27" t="str">
        <f t="shared" si="10"/>
        <v/>
      </c>
      <c r="T27" s="102" t="str">
        <f>ChoiceCoding!AC24</f>
        <v>Ambivalent</v>
      </c>
      <c r="V27" t="str">
        <f t="shared" si="11"/>
        <v xml:space="preserve">356.95:4 </v>
      </c>
      <c r="W27" t="str">
        <f t="shared" si="11"/>
        <v xml:space="preserve">360.96:1.48 </v>
      </c>
      <c r="AP27" s="16"/>
      <c r="AQ27"/>
      <c r="AR27">
        <v>2</v>
      </c>
      <c r="AS27" t="str">
        <f>IF(AB47="","9999:9999",AB47)</f>
        <v>9999:9999</v>
      </c>
      <c r="BE27" s="62"/>
      <c r="BF27" s="44" t="s">
        <v>21</v>
      </c>
      <c r="BJ27" s="251" t="s">
        <v>129</v>
      </c>
    </row>
    <row r="28" spans="1:62" ht="16" thickBot="1" x14ac:dyDescent="0.25">
      <c r="A28" s="149">
        <v>0</v>
      </c>
      <c r="B28" s="101">
        <v>23</v>
      </c>
      <c r="C28" s="2">
        <f>ROUND('Timing-Actual'!G29,2)</f>
        <v>377.95</v>
      </c>
      <c r="D28" s="2">
        <f>ROUND('Timing-Actual'!F29,2)</f>
        <v>4</v>
      </c>
      <c r="E28" s="2">
        <f>ROUND('Timing-Actual'!M29,2)</f>
        <v>381.95</v>
      </c>
      <c r="F28" s="2">
        <f>ROUND('Timing-Actual'!L29,2)</f>
        <v>2.74</v>
      </c>
      <c r="H28" t="str">
        <f t="shared" si="1"/>
        <v xml:space="preserve">377.95:4 </v>
      </c>
      <c r="I28" t="str">
        <f t="shared" si="2"/>
        <v xml:space="preserve">381.95:2.74 </v>
      </c>
      <c r="K28" t="str">
        <f t="shared" si="3"/>
        <v xml:space="preserve">377.95:4 </v>
      </c>
      <c r="L28" t="str">
        <f t="shared" si="4"/>
        <v xml:space="preserve">381.95:2.74 </v>
      </c>
      <c r="M28" t="str">
        <f t="shared" si="5"/>
        <v/>
      </c>
      <c r="N28" t="str">
        <f t="shared" si="6"/>
        <v/>
      </c>
      <c r="O28" t="str">
        <f t="shared" si="7"/>
        <v/>
      </c>
      <c r="P28" t="str">
        <f t="shared" si="8"/>
        <v/>
      </c>
      <c r="Q28" t="str">
        <f t="shared" si="9"/>
        <v/>
      </c>
      <c r="R28" t="str">
        <f t="shared" si="10"/>
        <v/>
      </c>
      <c r="T28" s="102" t="str">
        <f>ChoiceCoding!AC25</f>
        <v>Approach</v>
      </c>
      <c r="V28" t="str">
        <f t="shared" si="11"/>
        <v xml:space="preserve">377.95:4 </v>
      </c>
      <c r="W28" t="str">
        <f t="shared" si="11"/>
        <v xml:space="preserve">381.95:2.74 </v>
      </c>
      <c r="AP28" s="16"/>
      <c r="AQ28"/>
      <c r="AR28">
        <v>3</v>
      </c>
      <c r="AS28" t="str">
        <f>IF(AB82="","9999:9999",AB82)</f>
        <v>9999:9999</v>
      </c>
      <c r="BE28" s="62"/>
      <c r="BF28" s="44" t="s">
        <v>21</v>
      </c>
    </row>
    <row r="29" spans="1:62" x14ac:dyDescent="0.2">
      <c r="A29" s="147">
        <v>11</v>
      </c>
      <c r="B29" s="101">
        <v>24</v>
      </c>
      <c r="C29" s="2">
        <f>ROUND('Timing-Actual'!G30,2)</f>
        <v>392.95</v>
      </c>
      <c r="D29" s="2">
        <f>ROUND('Timing-Actual'!F30,2)</f>
        <v>4</v>
      </c>
      <c r="E29" s="2">
        <f>ROUND('Timing-Actual'!M30,2)</f>
        <v>396.95</v>
      </c>
      <c r="F29" s="2">
        <f>ROUND('Timing-Actual'!L30,2)</f>
        <v>1.97</v>
      </c>
      <c r="H29" t="str">
        <f t="shared" si="1"/>
        <v xml:space="preserve">392.95:4 </v>
      </c>
      <c r="I29" t="str">
        <f t="shared" si="2"/>
        <v xml:space="preserve">396.95:1.97 </v>
      </c>
      <c r="K29" t="str">
        <f t="shared" si="3"/>
        <v/>
      </c>
      <c r="L29" t="str">
        <f t="shared" si="4"/>
        <v/>
      </c>
      <c r="M29" t="str">
        <f t="shared" si="5"/>
        <v xml:space="preserve">392.95:4 </v>
      </c>
      <c r="N29" t="str">
        <f t="shared" si="6"/>
        <v xml:space="preserve">396.95:1.97 </v>
      </c>
      <c r="O29" t="str">
        <f t="shared" si="7"/>
        <v/>
      </c>
      <c r="P29" t="str">
        <f t="shared" si="8"/>
        <v/>
      </c>
      <c r="Q29" t="str">
        <f t="shared" si="9"/>
        <v/>
      </c>
      <c r="R29" t="str">
        <f t="shared" si="10"/>
        <v/>
      </c>
      <c r="T29" s="102" t="str">
        <f>ChoiceCoding!AC26</f>
        <v>Ambivalent</v>
      </c>
      <c r="V29" t="str">
        <f t="shared" si="11"/>
        <v xml:space="preserve">392.95:4 </v>
      </c>
      <c r="W29" t="str">
        <f t="shared" si="11"/>
        <v xml:space="preserve">396.95:1.97 </v>
      </c>
      <c r="AP29" s="45" t="s">
        <v>375</v>
      </c>
      <c r="AQ29" s="15" t="s">
        <v>58</v>
      </c>
      <c r="AR29" s="15">
        <v>1</v>
      </c>
      <c r="AS29" s="15" t="str">
        <f>IF(AB14="","9999:9999",AB14)</f>
        <v xml:space="preserve">5.95:4 22.95:4 45.95:4 64.95:4 79.94:4 94.96:4 107.95:4 126.95:4 145.94:4 166.96:3.99 181.95:4 196.95:4 209.96:3.99 232.96:3.99 247.95:4 264.95:4 279.94:4 300.94:4 313.95:4 328.95:4 343.96:3.99 356.95:4 377.95:4 392.95:4 405.96:4 420.95:4 437.95:4 452.96:3.99 475.96:3.99 488.95:4 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233"/>
      <c r="BF29" s="44" t="s">
        <v>21</v>
      </c>
    </row>
    <row r="30" spans="1:62" x14ac:dyDescent="0.2">
      <c r="A30" s="159">
        <v>30</v>
      </c>
      <c r="B30" s="101">
        <v>25</v>
      </c>
      <c r="C30" s="2">
        <f>ROUND('Timing-Actual'!G31,2)</f>
        <v>405.96</v>
      </c>
      <c r="D30" s="2">
        <f>ROUND('Timing-Actual'!F31,2)</f>
        <v>4</v>
      </c>
      <c r="E30" s="2">
        <f>ROUND('Timing-Actual'!M31,2)</f>
        <v>409.96</v>
      </c>
      <c r="F30" s="2">
        <f>ROUND('Timing-Actual'!L31,2)</f>
        <v>2.92</v>
      </c>
      <c r="H30" t="str">
        <f t="shared" si="1"/>
        <v xml:space="preserve">405.96:4 </v>
      </c>
      <c r="I30" t="str">
        <f t="shared" si="2"/>
        <v xml:space="preserve">409.96:2.92 </v>
      </c>
      <c r="K30" t="str">
        <f t="shared" si="3"/>
        <v/>
      </c>
      <c r="L30" t="str">
        <f t="shared" si="4"/>
        <v/>
      </c>
      <c r="M30" t="str">
        <f t="shared" si="5"/>
        <v/>
      </c>
      <c r="N30" t="str">
        <f t="shared" si="6"/>
        <v/>
      </c>
      <c r="O30" t="str">
        <f t="shared" si="7"/>
        <v xml:space="preserve">405.96:4 </v>
      </c>
      <c r="P30" t="str">
        <f t="shared" si="8"/>
        <v xml:space="preserve">409.96:2.92 </v>
      </c>
      <c r="Q30" t="str">
        <f t="shared" si="9"/>
        <v/>
      </c>
      <c r="R30" t="str">
        <f t="shared" si="10"/>
        <v/>
      </c>
      <c r="T30" s="102" t="str">
        <f>ChoiceCoding!AC27</f>
        <v>Avoid</v>
      </c>
      <c r="V30" t="str">
        <f t="shared" si="11"/>
        <v xml:space="preserve">405.96:4 </v>
      </c>
      <c r="W30" t="str">
        <f t="shared" si="11"/>
        <v xml:space="preserve">409.96:2.92 </v>
      </c>
      <c r="AP30" s="16"/>
      <c r="AQ30"/>
      <c r="AR30">
        <v>2</v>
      </c>
      <c r="AS30" t="str">
        <f>IF(AB49="","9999:9999",AB49)</f>
        <v xml:space="preserve">5.97:4 22.97:4 45.97:4 64.97:4 79.96:4 94.97:4 107.97:4 126.96:4 145.96:4 166.96:4 181.97:4 196.97:4 209.98:3.99 232.96:4 247.97:4 264.97:4 279.96:4 300.96:4 313.97:4 328.97:4 343.96:4 356.97:4 377.97:4 392.96:4 405.97:3.99 420.97:4 437.96:4 452.98:3.99 475.96:4 488.97:4 </v>
      </c>
      <c r="BE30" s="62"/>
      <c r="BF30" s="44" t="s">
        <v>21</v>
      </c>
      <c r="BJ30" s="252" t="s">
        <v>120</v>
      </c>
    </row>
    <row r="31" spans="1:62" ht="16" thickBot="1" x14ac:dyDescent="0.25">
      <c r="A31" s="149">
        <v>0.03</v>
      </c>
      <c r="B31" s="101">
        <v>26</v>
      </c>
      <c r="C31" s="2">
        <f>ROUND('Timing-Actual'!G32,2)</f>
        <v>420.95</v>
      </c>
      <c r="D31" s="2">
        <f>ROUND('Timing-Actual'!F32,2)</f>
        <v>4</v>
      </c>
      <c r="E31" s="2">
        <f>ROUND('Timing-Actual'!M32,2)</f>
        <v>424.95</v>
      </c>
      <c r="F31" s="2">
        <f>ROUND('Timing-Actual'!L32,2)</f>
        <v>2.34</v>
      </c>
      <c r="H31" t="str">
        <f t="shared" si="1"/>
        <v xml:space="preserve">420.95:4 </v>
      </c>
      <c r="I31" t="str">
        <f t="shared" si="2"/>
        <v xml:space="preserve">424.95:2.34 </v>
      </c>
      <c r="K31" t="str">
        <f t="shared" si="3"/>
        <v/>
      </c>
      <c r="L31" t="str">
        <f t="shared" si="4"/>
        <v/>
      </c>
      <c r="M31" t="str">
        <f t="shared" si="5"/>
        <v xml:space="preserve">420.95:4 </v>
      </c>
      <c r="N31" t="str">
        <f t="shared" si="6"/>
        <v xml:space="preserve">424.95:2.34 </v>
      </c>
      <c r="O31" t="str">
        <f t="shared" si="7"/>
        <v/>
      </c>
      <c r="P31" t="str">
        <f t="shared" si="8"/>
        <v/>
      </c>
      <c r="Q31" t="str">
        <f t="shared" si="9"/>
        <v/>
      </c>
      <c r="R31" t="str">
        <f t="shared" si="10"/>
        <v/>
      </c>
      <c r="T31" s="102" t="str">
        <f>ChoiceCoding!AC28</f>
        <v>Ambivalent</v>
      </c>
      <c r="V31" t="str">
        <f t="shared" si="11"/>
        <v xml:space="preserve">420.95:4 </v>
      </c>
      <c r="W31" t="str">
        <f t="shared" si="11"/>
        <v xml:space="preserve">424.95:2.34 </v>
      </c>
      <c r="AP31" s="17"/>
      <c r="AQ31" s="94"/>
      <c r="AR31" s="94">
        <v>3</v>
      </c>
      <c r="AS31" s="94" t="str">
        <f>IF(AB84="","9999:9999",AB84)</f>
        <v xml:space="preserve">5.97:4 22.97:4 45.97:4 64.98:3.99 79.98:4 94.97:4 107.98:3.99 126.98:4 145.98:4 166.98:4 181.97:4 196.98:3.99 209.98:4 232.98:4 247.97:4 264.98:3.99 279.98:4 300.98:4 313.97:4 328.98:3.99 343.98:4 356.97:4 377.97:4 392.98:4 405.97:4 420.98:3.99 437.98:4 452.98:4 475.98:4 488.97:4 </v>
      </c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63"/>
      <c r="BF31" s="44" t="s">
        <v>21</v>
      </c>
      <c r="BJ31" s="252" t="s">
        <v>121</v>
      </c>
    </row>
    <row r="32" spans="1:62" x14ac:dyDescent="0.2">
      <c r="A32" s="159">
        <v>60</v>
      </c>
      <c r="B32" s="101">
        <v>27</v>
      </c>
      <c r="C32" s="2">
        <f>ROUND('Timing-Actual'!G33,2)</f>
        <v>437.95</v>
      </c>
      <c r="D32" s="2">
        <f>ROUND('Timing-Actual'!F33,2)</f>
        <v>4</v>
      </c>
      <c r="E32" s="2">
        <f>ROUND('Timing-Actual'!M33,2)</f>
        <v>441.95</v>
      </c>
      <c r="F32" s="2">
        <f>ROUND('Timing-Actual'!L33,2)</f>
        <v>2.72</v>
      </c>
      <c r="H32" t="str">
        <f t="shared" si="1"/>
        <v xml:space="preserve">437.95:4 </v>
      </c>
      <c r="I32" t="str">
        <f t="shared" si="2"/>
        <v xml:space="preserve">441.95:2.72 </v>
      </c>
      <c r="K32" t="str">
        <f t="shared" si="3"/>
        <v/>
      </c>
      <c r="L32" t="str">
        <f t="shared" si="4"/>
        <v/>
      </c>
      <c r="M32" t="str">
        <f t="shared" si="5"/>
        <v/>
      </c>
      <c r="N32" t="str">
        <f t="shared" si="6"/>
        <v/>
      </c>
      <c r="O32" t="str">
        <f t="shared" si="7"/>
        <v xml:space="preserve">437.95:4 </v>
      </c>
      <c r="P32" t="str">
        <f t="shared" si="8"/>
        <v xml:space="preserve">441.95:2.72 </v>
      </c>
      <c r="Q32" t="str">
        <f t="shared" si="9"/>
        <v/>
      </c>
      <c r="R32" t="str">
        <f t="shared" si="10"/>
        <v/>
      </c>
      <c r="T32" s="102" t="str">
        <f>ChoiceCoding!AC29</f>
        <v>Avoid</v>
      </c>
      <c r="V32" t="str">
        <f t="shared" si="11"/>
        <v xml:space="preserve">437.95:4 </v>
      </c>
      <c r="W32" t="str">
        <f t="shared" si="11"/>
        <v xml:space="preserve">441.95:2.72 </v>
      </c>
      <c r="AP32" s="16" t="s">
        <v>375</v>
      </c>
      <c r="AQ32" t="s">
        <v>59</v>
      </c>
      <c r="AR32">
        <v>1</v>
      </c>
      <c r="AS32" t="str">
        <f>IF(AB15="","9999:9999",AB15)</f>
        <v xml:space="preserve">9.96:4.82 26.95:3.74 49.95:3.87 68.95:2.59 83.95:4.92 98.96:3.72 111.95:3.69 130.95:2.99 149.95:3.37 170.95:2.38 185.96:3.54 200.95:2.29 213.94:3.32 236.95:2.39 251.96:3.74 268.95:2.83 283.95:1.8 304.95:2.05 317.96:2.8 332.95:2.52 347.95:2.47 360.96:1.48 381.95:2.74 396.95:1.97 409.96:2.92 424.95:2.34 441.95:2.72 456.94:2.04 479.95:2.62 492.96:4.55 </v>
      </c>
      <c r="BE32" s="62"/>
      <c r="BF32" s="44" t="s">
        <v>21</v>
      </c>
    </row>
    <row r="33" spans="1:98" x14ac:dyDescent="0.2">
      <c r="A33" s="149">
        <v>0.02</v>
      </c>
      <c r="B33" s="101">
        <v>28</v>
      </c>
      <c r="C33" s="2">
        <f>ROUND('Timing-Actual'!G34,2)</f>
        <v>452.96</v>
      </c>
      <c r="D33" s="2">
        <f>ROUND('Timing-Actual'!F34,2)</f>
        <v>3.99</v>
      </c>
      <c r="E33" s="2">
        <f>ROUND('Timing-Actual'!M34,2)</f>
        <v>456.94</v>
      </c>
      <c r="F33" s="2">
        <f>ROUND('Timing-Actual'!L34,2)</f>
        <v>2.04</v>
      </c>
      <c r="H33" t="str">
        <f t="shared" ref="H33:H35" si="12">C33&amp;":"&amp;D33&amp;" "</f>
        <v xml:space="preserve">452.96:3.99 </v>
      </c>
      <c r="I33" t="str">
        <f t="shared" ref="I33:I35" si="13">E33&amp;":"&amp;F33&amp;" "</f>
        <v xml:space="preserve">456.94:2.04 </v>
      </c>
      <c r="K33" t="str">
        <f t="shared" ref="K33:K35" si="14">IF(T33="Approach",H33,"")</f>
        <v/>
      </c>
      <c r="L33" t="str">
        <f t="shared" ref="L33:L35" si="15">IF(T33="Approach",I33,"")</f>
        <v/>
      </c>
      <c r="M33" t="str">
        <f t="shared" ref="M33:M35" si="16">IF(T33="Ambivalent",H33,"")</f>
        <v xml:space="preserve">452.96:3.99 </v>
      </c>
      <c r="N33" t="str">
        <f t="shared" ref="N33:N35" si="17">IF(T33="Ambivalent",I33,"")</f>
        <v xml:space="preserve">456.94:2.04 </v>
      </c>
      <c r="O33" t="str">
        <f t="shared" ref="O33:O35" si="18">IF(T33="Avoid",H33,"")</f>
        <v/>
      </c>
      <c r="P33" t="str">
        <f t="shared" ref="P33:P35" si="19">IF(T33="Avoid",I33,"")</f>
        <v/>
      </c>
      <c r="Q33" t="str">
        <f t="shared" ref="Q33:Q35" si="20">IF(T33="Missing",H33,"")</f>
        <v/>
      </c>
      <c r="R33" t="str">
        <f t="shared" ref="R33:R35" si="21">IF(T33="Missing",I33,"")</f>
        <v/>
      </c>
      <c r="T33" s="102" t="str">
        <f>ChoiceCoding!AC30</f>
        <v>Ambivalent</v>
      </c>
      <c r="V33" t="str">
        <f t="shared" ref="V33:W35" si="22">IF($T33&lt;&gt;"Missing",H33,"")</f>
        <v xml:space="preserve">452.96:3.99 </v>
      </c>
      <c r="W33" t="str">
        <f t="shared" si="22"/>
        <v xml:space="preserve">456.94:2.04 </v>
      </c>
      <c r="AP33" s="16"/>
      <c r="AQ33"/>
      <c r="AR33">
        <v>2</v>
      </c>
      <c r="AS33" t="str">
        <f>IF(AB50="","9999:9999",AB50)</f>
        <v xml:space="preserve">9.98:2.87 26.97:2.35 49.97:2.57 68.97:2.58 83.96:1.67 98.98:1.87 111.97:3.94 130.97:2.09 149.96:2.32 170.96:1.82 185.97:2.29 200.97:1.87 213.96:3.74 236.96:2.3 251.97:2.2 268.97:2.78 283.96:1.74 304.96:3.82 317.97:2.49 332.97:1.18 347.96:2.15 360.97:1.9 381.97:2.04 396.97:1.4 409.96:2.13 424.97:2.02 441.97:2.22 456.96:1.63 479.96:1.97 492.97:2.8 </v>
      </c>
      <c r="BE33" s="62"/>
      <c r="BF33" s="44" t="s">
        <v>21</v>
      </c>
    </row>
    <row r="34" spans="1:98" x14ac:dyDescent="0.2">
      <c r="A34" s="159">
        <v>70</v>
      </c>
      <c r="B34" s="101">
        <v>29</v>
      </c>
      <c r="C34" s="2">
        <f>ROUND('Timing-Actual'!G35,2)</f>
        <v>475.96</v>
      </c>
      <c r="D34" s="2">
        <f>ROUND('Timing-Actual'!F35,2)</f>
        <v>3.99</v>
      </c>
      <c r="E34" s="2">
        <f>ROUND('Timing-Actual'!M35,2)</f>
        <v>479.95</v>
      </c>
      <c r="F34" s="2">
        <f>ROUND('Timing-Actual'!L35,2)</f>
        <v>2.62</v>
      </c>
      <c r="H34" t="str">
        <f t="shared" si="12"/>
        <v xml:space="preserve">475.96:3.99 </v>
      </c>
      <c r="I34" t="str">
        <f t="shared" si="13"/>
        <v xml:space="preserve">479.95:2.62 </v>
      </c>
      <c r="K34" t="str">
        <f t="shared" si="14"/>
        <v/>
      </c>
      <c r="L34" t="str">
        <f t="shared" si="15"/>
        <v/>
      </c>
      <c r="M34" t="str">
        <f t="shared" si="16"/>
        <v/>
      </c>
      <c r="N34" t="str">
        <f t="shared" si="17"/>
        <v/>
      </c>
      <c r="O34" t="str">
        <f t="shared" si="18"/>
        <v xml:space="preserve">475.96:3.99 </v>
      </c>
      <c r="P34" t="str">
        <f t="shared" si="19"/>
        <v xml:space="preserve">479.95:2.62 </v>
      </c>
      <c r="Q34" t="str">
        <f t="shared" si="20"/>
        <v/>
      </c>
      <c r="R34" t="str">
        <f t="shared" si="21"/>
        <v/>
      </c>
      <c r="T34" s="102" t="str">
        <f>ChoiceCoding!AC31</f>
        <v>Avoid</v>
      </c>
      <c r="V34" t="str">
        <f t="shared" si="22"/>
        <v xml:space="preserve">475.96:3.99 </v>
      </c>
      <c r="W34" t="str">
        <f t="shared" si="22"/>
        <v xml:space="preserve">479.95:2.62 </v>
      </c>
      <c r="AP34" s="234"/>
      <c r="AQ34" s="235"/>
      <c r="AR34" s="235">
        <v>3</v>
      </c>
      <c r="AS34" s="235" t="str">
        <f>IF(AB85="","9999:9999",AB85)</f>
        <v xml:space="preserve">9.98:2.72 26.97:1.15 49.97:2.27 68.97:1.97 83.98:2.52 98.98:1.79 111.97:2.84 130.98:2.89 149.98:2.33 170.98:2.6 185.97:2.48 200.97:2.84 213.98:1.75 236.98:2.4 251.97:2.07 268.97:1.48 283.98:2.25 304.98:1.77 317.97:1.85 332.97:2.74 347.98:1.83 360.97:3.54 381.97:1.58 396.98:2.48 409.98:1.77 424.97:1.78 441.98:2.3 456.98:5.34 479.98:2.4 492.97:1.67 </v>
      </c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6"/>
      <c r="BF34" s="44" t="s">
        <v>21</v>
      </c>
    </row>
    <row r="35" spans="1:98" x14ac:dyDescent="0.2">
      <c r="A35" s="147">
        <v>15</v>
      </c>
      <c r="B35" s="101">
        <v>30</v>
      </c>
      <c r="C35" s="2">
        <f>ROUND('Timing-Actual'!G36,2)</f>
        <v>488.95</v>
      </c>
      <c r="D35" s="2">
        <f>ROUND('Timing-Actual'!F36,2)</f>
        <v>4</v>
      </c>
      <c r="E35" s="2">
        <f>ROUND('Timing-Actual'!M36,2)</f>
        <v>492.96</v>
      </c>
      <c r="F35" s="2">
        <f>ROUND('Timing-Actual'!L36,2)</f>
        <v>4.55</v>
      </c>
      <c r="H35" t="str">
        <f t="shared" si="12"/>
        <v xml:space="preserve">488.95:4 </v>
      </c>
      <c r="I35" t="str">
        <f t="shared" si="13"/>
        <v xml:space="preserve">492.96:4.55 </v>
      </c>
      <c r="K35" t="str">
        <f t="shared" si="14"/>
        <v/>
      </c>
      <c r="L35" t="str">
        <f t="shared" si="15"/>
        <v/>
      </c>
      <c r="M35" t="str">
        <f t="shared" si="16"/>
        <v xml:space="preserve">488.95:4 </v>
      </c>
      <c r="N35" t="str">
        <f t="shared" si="17"/>
        <v xml:space="preserve">492.96:4.55 </v>
      </c>
      <c r="O35" t="str">
        <f t="shared" si="18"/>
        <v/>
      </c>
      <c r="P35" t="str">
        <f t="shared" si="19"/>
        <v/>
      </c>
      <c r="Q35" t="str">
        <f t="shared" si="20"/>
        <v/>
      </c>
      <c r="R35" t="str">
        <f t="shared" si="21"/>
        <v/>
      </c>
      <c r="T35" s="102" t="str">
        <f>ChoiceCoding!AC32</f>
        <v>Ambivalent</v>
      </c>
      <c r="V35" t="str">
        <f t="shared" si="22"/>
        <v xml:space="preserve">488.95:4 </v>
      </c>
      <c r="W35" t="str">
        <f t="shared" si="22"/>
        <v xml:space="preserve">492.96:4.55 </v>
      </c>
      <c r="AQ35"/>
      <c r="AR35"/>
      <c r="AS35"/>
      <c r="BF35" s="44" t="s">
        <v>21</v>
      </c>
    </row>
    <row r="36" spans="1:98" s="44" customFormat="1" x14ac:dyDescent="0.2">
      <c r="A36" s="95"/>
      <c r="B36" s="106"/>
      <c r="C36" s="95"/>
      <c r="D36" s="95"/>
      <c r="E36" s="95"/>
      <c r="F36" s="95"/>
      <c r="T36" s="107"/>
      <c r="AP36" s="1"/>
      <c r="AQ36" s="1"/>
      <c r="AR36" s="1"/>
      <c r="AS36" s="1"/>
      <c r="AT36" s="1"/>
      <c r="AU36" s="1"/>
      <c r="AV36"/>
      <c r="AW36"/>
      <c r="AX36"/>
      <c r="AY36"/>
      <c r="AZ36"/>
      <c r="BA36"/>
      <c r="BB36"/>
      <c r="BC36"/>
      <c r="BD36"/>
      <c r="BE36"/>
      <c r="BG36" s="251"/>
      <c r="BH36" s="251"/>
      <c r="BI36" s="251"/>
      <c r="BJ36" s="251"/>
      <c r="BK36" s="251"/>
      <c r="BL36" s="251"/>
      <c r="BM36" s="251"/>
      <c r="BN36" s="251"/>
      <c r="BO36" s="251"/>
      <c r="BP36" s="251"/>
      <c r="BQ36" s="251"/>
      <c r="BR36" s="251"/>
      <c r="BS36" s="251"/>
      <c r="BT36" s="251"/>
      <c r="BU36" s="251"/>
      <c r="BV36" s="251"/>
      <c r="BW36" s="251"/>
      <c r="BX36" s="251"/>
      <c r="BY36" s="251"/>
      <c r="BZ36" s="251"/>
      <c r="CA36" s="251"/>
      <c r="CB36" s="251"/>
      <c r="CC36" s="251"/>
      <c r="CD36" s="251"/>
      <c r="CE36" s="251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</row>
    <row r="37" spans="1:98" x14ac:dyDescent="0.2">
      <c r="A37" s="73" t="s">
        <v>11</v>
      </c>
      <c r="B37" s="73"/>
      <c r="V37" s="224"/>
      <c r="W37" s="224"/>
      <c r="Y37" s="1" t="s">
        <v>98</v>
      </c>
      <c r="AQ37"/>
      <c r="AR37"/>
      <c r="AS37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</row>
    <row r="38" spans="1:98" x14ac:dyDescent="0.2">
      <c r="A38" s="48"/>
      <c r="B38" s="73"/>
      <c r="C38" s="96" t="s">
        <v>99</v>
      </c>
      <c r="F38" s="96"/>
      <c r="K38" s="97"/>
      <c r="L38" s="97"/>
      <c r="M38" s="97" t="s">
        <v>100</v>
      </c>
      <c r="N38" s="97"/>
      <c r="O38" s="97"/>
      <c r="AQ38"/>
      <c r="AR38"/>
      <c r="AS38"/>
    </row>
    <row r="39" spans="1:98" x14ac:dyDescent="0.2">
      <c r="A39" s="48"/>
      <c r="B39" s="73"/>
      <c r="C39" s="98" t="s">
        <v>58</v>
      </c>
      <c r="E39" s="98" t="s">
        <v>59</v>
      </c>
      <c r="H39" s="1" t="s">
        <v>58</v>
      </c>
      <c r="I39" s="1" t="s">
        <v>59</v>
      </c>
      <c r="K39" s="97" t="s">
        <v>90</v>
      </c>
      <c r="L39" s="97"/>
      <c r="M39" s="97" t="s">
        <v>91</v>
      </c>
      <c r="N39" s="97"/>
      <c r="O39" s="97" t="s">
        <v>92</v>
      </c>
      <c r="Q39" s="1" t="s">
        <v>93</v>
      </c>
      <c r="V39" s="225" t="s">
        <v>375</v>
      </c>
      <c r="W39" s="190"/>
      <c r="Y39" s="135"/>
      <c r="Z39" s="135"/>
      <c r="AA39" s="135"/>
      <c r="AB39" s="136" t="s">
        <v>103</v>
      </c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Q39"/>
      <c r="AR39"/>
      <c r="AS39"/>
    </row>
    <row r="40" spans="1:98" ht="16" thickBot="1" x14ac:dyDescent="0.25">
      <c r="A40" s="48"/>
      <c r="B40" s="73"/>
      <c r="C40" s="96" t="s">
        <v>102</v>
      </c>
      <c r="D40" s="96" t="s">
        <v>75</v>
      </c>
      <c r="E40" s="96" t="s">
        <v>102</v>
      </c>
      <c r="F40" s="96" t="s">
        <v>75</v>
      </c>
      <c r="K40" s="99" t="s">
        <v>58</v>
      </c>
      <c r="L40" s="99" t="s">
        <v>59</v>
      </c>
      <c r="M40" s="99" t="s">
        <v>58</v>
      </c>
      <c r="N40" s="99" t="s">
        <v>59</v>
      </c>
      <c r="O40" s="99" t="s">
        <v>58</v>
      </c>
      <c r="P40" s="99" t="s">
        <v>59</v>
      </c>
      <c r="Q40" s="99" t="s">
        <v>58</v>
      </c>
      <c r="R40" s="99" t="s">
        <v>59</v>
      </c>
      <c r="S40" s="100"/>
      <c r="T40" s="1" t="s">
        <v>80</v>
      </c>
      <c r="U40" s="100"/>
      <c r="V40" s="226" t="s">
        <v>58</v>
      </c>
      <c r="W40" s="226" t="s">
        <v>59</v>
      </c>
      <c r="X40" s="100"/>
      <c r="Y40" s="137" t="s">
        <v>90</v>
      </c>
      <c r="Z40" s="138" t="s">
        <v>58</v>
      </c>
      <c r="AA40" s="135">
        <v>1</v>
      </c>
      <c r="AB40" s="135" t="str">
        <f>CONCATENATE(K41,K42,K43,K44,K45,K46,K47,K48,K49,K50,K51,K52,K53,K54,K55,K56,K57,K58,K59,K60,K61,K62,K63,K64,K65,K66,K67,K68,K69,K70)</f>
        <v xml:space="preserve">377.97:4 </v>
      </c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Q40"/>
      <c r="AR40"/>
      <c r="AS40"/>
    </row>
    <row r="41" spans="1:98" x14ac:dyDescent="0.2">
      <c r="A41" s="146">
        <v>0.03</v>
      </c>
      <c r="B41" s="104">
        <v>1</v>
      </c>
      <c r="C41" s="2">
        <f>ROUND('Timing-Actual'!G44,2)</f>
        <v>5.97</v>
      </c>
      <c r="D41" s="2">
        <f>ROUND('Timing-Actual'!F44,2)</f>
        <v>4</v>
      </c>
      <c r="E41" s="2">
        <f>ROUND('Timing-Actual'!M44,2)</f>
        <v>9.98</v>
      </c>
      <c r="F41" s="2">
        <f>ROUND('Timing-Actual'!L44,2)</f>
        <v>2.87</v>
      </c>
      <c r="H41" t="str">
        <f>C41&amp;":"&amp;D41&amp;" "</f>
        <v xml:space="preserve">5.97:4 </v>
      </c>
      <c r="I41" t="str">
        <f t="shared" ref="I41:I67" si="23">E41&amp;":"&amp;F41&amp;" "</f>
        <v xml:space="preserve">9.98:2.87 </v>
      </c>
      <c r="K41" t="str">
        <f>IF(T41="Approach",H41,"")</f>
        <v/>
      </c>
      <c r="L41" t="str">
        <f>IF(T41="Approach",I41,"")</f>
        <v/>
      </c>
      <c r="M41" t="str">
        <f>IF(T41="Ambivalent",H41,"")</f>
        <v xml:space="preserve">5.97:4 </v>
      </c>
      <c r="N41" t="str">
        <f>IF(T41="Ambivalent",I41,"")</f>
        <v xml:space="preserve">9.98:2.87 </v>
      </c>
      <c r="O41" t="str">
        <f>IF(T41="Avoid",H41,"")</f>
        <v/>
      </c>
      <c r="P41" t="str">
        <f>IF(T41="Avoid",I41,"")</f>
        <v/>
      </c>
      <c r="Q41" t="str">
        <f>IF(T41="Missing",H41,"")</f>
        <v/>
      </c>
      <c r="R41" t="str">
        <f>IF(T41="Missing",I41,"")</f>
        <v/>
      </c>
      <c r="T41" s="102" t="str">
        <f>ChoiceCoding!AD3</f>
        <v>Ambivalent</v>
      </c>
      <c r="V41" t="str">
        <f>IF($T41&lt;&gt;"Missing",H41,"")</f>
        <v xml:space="preserve">5.97:4 </v>
      </c>
      <c r="W41" t="str">
        <f>IF($T41&lt;&gt;"Missing",I41,"")</f>
        <v xml:space="preserve">9.98:2.87 </v>
      </c>
      <c r="Y41" s="137"/>
      <c r="Z41" s="138" t="s">
        <v>59</v>
      </c>
      <c r="AA41" s="135">
        <v>2</v>
      </c>
      <c r="AB41" s="135" t="str">
        <f>CONCATENATE(L41,L42,L43,L44,L45,L46,L47,L48,L49,L50,L51,L52,L53,L54,L55,L56,L57,L58,L59,L60,L61,L62,L63,L64,L65,L66,L67,L68,L69,L70)</f>
        <v xml:space="preserve">381.97:2.04 </v>
      </c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Q41"/>
      <c r="AR41"/>
      <c r="AS41"/>
    </row>
    <row r="42" spans="1:98" x14ac:dyDescent="0.2">
      <c r="A42" s="147">
        <v>5</v>
      </c>
      <c r="B42" s="104">
        <v>2</v>
      </c>
      <c r="C42" s="2">
        <f>ROUND('Timing-Actual'!G45,2)</f>
        <v>22.97</v>
      </c>
      <c r="D42" s="2">
        <f>ROUND('Timing-Actual'!F45,2)</f>
        <v>4</v>
      </c>
      <c r="E42" s="2">
        <f>ROUND('Timing-Actual'!M45,2)</f>
        <v>26.97</v>
      </c>
      <c r="F42" s="2">
        <f>ROUND('Timing-Actual'!L45,2)</f>
        <v>2.35</v>
      </c>
      <c r="H42" t="str">
        <f t="shared" ref="H42:H67" si="24">C42&amp;":"&amp;D42&amp;" "</f>
        <v xml:space="preserve">22.97:4 </v>
      </c>
      <c r="I42" t="str">
        <f t="shared" si="23"/>
        <v xml:space="preserve">26.97:2.35 </v>
      </c>
      <c r="K42" t="str">
        <f t="shared" ref="K42:K67" si="25">IF(T42="Approach",H42,"")</f>
        <v/>
      </c>
      <c r="L42" t="str">
        <f t="shared" ref="L42:L67" si="26">IF(T42="Approach",I42,"")</f>
        <v/>
      </c>
      <c r="M42" t="str">
        <f t="shared" ref="M42:M67" si="27">IF(T42="Ambivalent",H42,"")</f>
        <v xml:space="preserve">22.97:4 </v>
      </c>
      <c r="N42" t="str">
        <f t="shared" ref="N42:N67" si="28">IF(T42="Ambivalent",I42,"")</f>
        <v xml:space="preserve">26.97:2.35 </v>
      </c>
      <c r="O42" t="str">
        <f t="shared" ref="O42:O67" si="29">IF(T42="Avoid",H42,"")</f>
        <v/>
      </c>
      <c r="P42" t="str">
        <f t="shared" ref="P42:P67" si="30">IF(T42="Avoid",I42,"")</f>
        <v/>
      </c>
      <c r="Q42" t="str">
        <f t="shared" ref="Q42:Q67" si="31">IF(T42="Missing",H42,"")</f>
        <v/>
      </c>
      <c r="R42" t="str">
        <f t="shared" ref="R42:R67" si="32">IF(T42="Missing",I42,"")</f>
        <v/>
      </c>
      <c r="T42" s="102" t="str">
        <f>ChoiceCoding!AD4</f>
        <v>Ambivalent</v>
      </c>
      <c r="V42" t="str">
        <f t="shared" ref="V42:W70" si="33">IF($T42&lt;&gt;"Missing",H42,"")</f>
        <v xml:space="preserve">22.97:4 </v>
      </c>
      <c r="W42" t="str">
        <f t="shared" si="33"/>
        <v xml:space="preserve">26.97:2.35 </v>
      </c>
      <c r="Y42" s="137" t="s">
        <v>91</v>
      </c>
      <c r="Z42" s="138" t="s">
        <v>58</v>
      </c>
      <c r="AA42" s="135">
        <v>3</v>
      </c>
      <c r="AB42" s="135" t="str">
        <f>CONCATENATE(M41,M42,M43,M44,M45,M46,M47,M48,M49,M50,M51,M52,M53,M54,M55,M56,M57,M58,M59,M60,M61,M62,M63,M64,M65,M66,M67,M68,M69,M70)</f>
        <v xml:space="preserve">5.97:4 22.97:4 64.97:4 79.96:4 94.97:4 126.96:4 166.96:4 196.97:4 209.98:3.99 232.96:4 264.97:4 279.96:4 300.96:4 328.97:4 356.97:4 392.96:4 420.97:4 452.98:3.99 488.97:4 </v>
      </c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Q42"/>
      <c r="AR42"/>
      <c r="AS42"/>
    </row>
    <row r="43" spans="1:98" x14ac:dyDescent="0.2">
      <c r="A43" s="148">
        <v>80</v>
      </c>
      <c r="B43" s="104">
        <v>3</v>
      </c>
      <c r="C43" s="2">
        <f>ROUND('Timing-Actual'!G46,2)</f>
        <v>45.97</v>
      </c>
      <c r="D43" s="2">
        <f>ROUND('Timing-Actual'!F46,2)</f>
        <v>4</v>
      </c>
      <c r="E43" s="2">
        <f>ROUND('Timing-Actual'!M46,2)</f>
        <v>49.97</v>
      </c>
      <c r="F43" s="2">
        <f>ROUND('Timing-Actual'!L46,2)</f>
        <v>2.57</v>
      </c>
      <c r="H43" t="str">
        <f t="shared" si="24"/>
        <v xml:space="preserve">45.97:4 </v>
      </c>
      <c r="I43" t="str">
        <f t="shared" si="23"/>
        <v xml:space="preserve">49.97:2.57 </v>
      </c>
      <c r="K43" t="str">
        <f t="shared" si="25"/>
        <v/>
      </c>
      <c r="L43" t="str">
        <f t="shared" si="26"/>
        <v/>
      </c>
      <c r="M43" t="str">
        <f t="shared" si="27"/>
        <v/>
      </c>
      <c r="N43" t="str">
        <f t="shared" si="28"/>
        <v/>
      </c>
      <c r="O43" t="str">
        <f t="shared" si="29"/>
        <v xml:space="preserve">45.97:4 </v>
      </c>
      <c r="P43" t="str">
        <f t="shared" si="30"/>
        <v xml:space="preserve">49.97:2.57 </v>
      </c>
      <c r="Q43" t="str">
        <f t="shared" si="31"/>
        <v/>
      </c>
      <c r="R43" t="str">
        <f t="shared" si="32"/>
        <v/>
      </c>
      <c r="T43" s="102" t="str">
        <f>ChoiceCoding!AD5</f>
        <v>Avoid</v>
      </c>
      <c r="V43" t="str">
        <f t="shared" si="33"/>
        <v xml:space="preserve">45.97:4 </v>
      </c>
      <c r="W43" t="str">
        <f t="shared" si="33"/>
        <v xml:space="preserve">49.97:2.57 </v>
      </c>
      <c r="Y43" s="137"/>
      <c r="Z43" s="138" t="s">
        <v>59</v>
      </c>
      <c r="AA43" s="135">
        <v>4</v>
      </c>
      <c r="AB43" s="135" t="str">
        <f>CONCATENATE(N41,N42,N43,N44,N45,N46,N47,N48,N49,N50,N51,N52,N53,N54,N55,N56,N57,N58,N59,N60,N61,N62,N63,N64,N65,N66,N67,N68,N69,N70)</f>
        <v xml:space="preserve">9.98:2.87 26.97:2.35 68.97:2.58 83.96:1.67 98.98:1.87 130.97:2.09 170.96:1.82 200.97:1.87 213.96:3.74 236.96:2.3 268.97:2.78 283.96:1.74 304.96:3.82 332.97:1.18 360.97:1.9 396.97:1.4 424.97:2.02 456.96:1.63 492.97:2.8 </v>
      </c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Q43"/>
      <c r="AR43"/>
      <c r="AS43"/>
      <c r="BF43" s="44" t="s">
        <v>21</v>
      </c>
    </row>
    <row r="44" spans="1:98" x14ac:dyDescent="0.2">
      <c r="A44" s="149">
        <v>0.01</v>
      </c>
      <c r="B44" s="104">
        <v>4</v>
      </c>
      <c r="C44" s="2">
        <f>ROUND('Timing-Actual'!G47,2)</f>
        <v>64.97</v>
      </c>
      <c r="D44" s="2">
        <f>ROUND('Timing-Actual'!F47,2)</f>
        <v>4</v>
      </c>
      <c r="E44" s="2">
        <f>ROUND('Timing-Actual'!M47,2)</f>
        <v>68.97</v>
      </c>
      <c r="F44" s="2">
        <f>ROUND('Timing-Actual'!L47,2)</f>
        <v>2.58</v>
      </c>
      <c r="H44" t="str">
        <f t="shared" si="24"/>
        <v xml:space="preserve">64.97:4 </v>
      </c>
      <c r="I44" t="str">
        <f t="shared" si="23"/>
        <v xml:space="preserve">68.97:2.58 </v>
      </c>
      <c r="K44" t="str">
        <f t="shared" si="25"/>
        <v/>
      </c>
      <c r="L44" t="str">
        <f t="shared" si="26"/>
        <v/>
      </c>
      <c r="M44" t="str">
        <f t="shared" si="27"/>
        <v xml:space="preserve">64.97:4 </v>
      </c>
      <c r="N44" t="str">
        <f t="shared" si="28"/>
        <v xml:space="preserve">68.97:2.58 </v>
      </c>
      <c r="O44" t="str">
        <f t="shared" si="29"/>
        <v/>
      </c>
      <c r="P44" t="str">
        <f t="shared" si="30"/>
        <v/>
      </c>
      <c r="Q44" t="str">
        <f t="shared" si="31"/>
        <v/>
      </c>
      <c r="R44" t="str">
        <f t="shared" si="32"/>
        <v/>
      </c>
      <c r="T44" s="102" t="str">
        <f>ChoiceCoding!AD6</f>
        <v>Ambivalent</v>
      </c>
      <c r="V44" t="str">
        <f t="shared" si="33"/>
        <v xml:space="preserve">64.97:4 </v>
      </c>
      <c r="W44" t="str">
        <f t="shared" si="33"/>
        <v xml:space="preserve">68.97:2.58 </v>
      </c>
      <c r="Y44" s="137" t="s">
        <v>92</v>
      </c>
      <c r="Z44" s="138" t="s">
        <v>58</v>
      </c>
      <c r="AA44" s="135">
        <v>5</v>
      </c>
      <c r="AB44" s="135" t="str">
        <f>CONCATENATE(O41,O42,O43,O44,O45,O46,O47,O48,O49,O50,O51,O52,O53,O54,O55,O56,O57,O58,O59,O60,O61,O62,O63,O64,O65,O66,O67,O68,O69,O70)</f>
        <v xml:space="preserve">45.97:4 107.97:4 145.96:4 181.97:4 247.97:4 313.97:4 343.96:4 405.97:3.99 437.96:4 475.96:4 </v>
      </c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Q44"/>
      <c r="AR44"/>
      <c r="AS44"/>
      <c r="BF44" s="44" t="s">
        <v>21</v>
      </c>
    </row>
    <row r="45" spans="1:98" x14ac:dyDescent="0.2">
      <c r="A45" s="147">
        <v>7</v>
      </c>
      <c r="B45" s="104">
        <v>5</v>
      </c>
      <c r="C45" s="2">
        <f>ROUND('Timing-Actual'!G48,2)</f>
        <v>79.959999999999994</v>
      </c>
      <c r="D45" s="2">
        <f>ROUND('Timing-Actual'!F48,2)</f>
        <v>4</v>
      </c>
      <c r="E45" s="2">
        <f>ROUND('Timing-Actual'!M48,2)</f>
        <v>83.96</v>
      </c>
      <c r="F45" s="2">
        <f>ROUND('Timing-Actual'!L48,2)</f>
        <v>1.67</v>
      </c>
      <c r="H45" t="str">
        <f t="shared" si="24"/>
        <v xml:space="preserve">79.96:4 </v>
      </c>
      <c r="I45" t="str">
        <f t="shared" si="23"/>
        <v xml:space="preserve">83.96:1.67 </v>
      </c>
      <c r="K45" t="str">
        <f t="shared" si="25"/>
        <v/>
      </c>
      <c r="L45" t="str">
        <f t="shared" si="26"/>
        <v/>
      </c>
      <c r="M45" t="str">
        <f t="shared" si="27"/>
        <v xml:space="preserve">79.96:4 </v>
      </c>
      <c r="N45" t="str">
        <f t="shared" si="28"/>
        <v xml:space="preserve">83.96:1.67 </v>
      </c>
      <c r="O45" t="str">
        <f t="shared" si="29"/>
        <v/>
      </c>
      <c r="P45" t="str">
        <f t="shared" si="30"/>
        <v/>
      </c>
      <c r="Q45" t="str">
        <f t="shared" si="31"/>
        <v/>
      </c>
      <c r="R45" t="str">
        <f t="shared" si="32"/>
        <v/>
      </c>
      <c r="T45" s="102" t="str">
        <f>ChoiceCoding!AD7</f>
        <v>Ambivalent</v>
      </c>
      <c r="V45" t="str">
        <f t="shared" si="33"/>
        <v xml:space="preserve">79.96:4 </v>
      </c>
      <c r="W45" t="str">
        <f t="shared" si="33"/>
        <v xml:space="preserve">83.96:1.67 </v>
      </c>
      <c r="Y45" s="139"/>
      <c r="Z45" s="138" t="s">
        <v>59</v>
      </c>
      <c r="AA45" s="135">
        <v>6</v>
      </c>
      <c r="AB45" s="135" t="str">
        <f>CONCATENATE(P41,P42,P43,P44,P45,P46,P47,P48,P49,P50,P51,P52,P53,P54,P55,P56,P57,P58,P59,P60,P61,P62,P63,P64,P65,P66,P67,P68,P69,P70)</f>
        <v xml:space="preserve">49.97:2.57 111.97:3.94 149.96:2.32 185.97:2.29 251.97:2.2 317.97:2.49 347.96:2.15 409.96:2.13 441.97:2.22 479.96:1.97 </v>
      </c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Q45"/>
      <c r="AR45"/>
      <c r="AS45"/>
      <c r="BF45" s="44" t="s">
        <v>21</v>
      </c>
    </row>
    <row r="46" spans="1:98" x14ac:dyDescent="0.2">
      <c r="A46" s="149">
        <v>0.04</v>
      </c>
      <c r="B46" s="104">
        <v>6</v>
      </c>
      <c r="C46" s="2">
        <f>ROUND('Timing-Actual'!G49,2)</f>
        <v>94.97</v>
      </c>
      <c r="D46" s="2">
        <f>ROUND('Timing-Actual'!F49,2)</f>
        <v>4</v>
      </c>
      <c r="E46" s="2">
        <f>ROUND('Timing-Actual'!M49,2)</f>
        <v>98.98</v>
      </c>
      <c r="F46" s="2">
        <f>ROUND('Timing-Actual'!L49,2)</f>
        <v>1.87</v>
      </c>
      <c r="H46" t="str">
        <f t="shared" si="24"/>
        <v xml:space="preserve">94.97:4 </v>
      </c>
      <c r="I46" t="str">
        <f t="shared" si="23"/>
        <v xml:space="preserve">98.98:1.87 </v>
      </c>
      <c r="K46" t="str">
        <f t="shared" si="25"/>
        <v/>
      </c>
      <c r="L46" t="str">
        <f t="shared" si="26"/>
        <v/>
      </c>
      <c r="M46" t="str">
        <f t="shared" si="27"/>
        <v xml:space="preserve">94.97:4 </v>
      </c>
      <c r="N46" t="str">
        <f t="shared" si="28"/>
        <v xml:space="preserve">98.98:1.87 </v>
      </c>
      <c r="O46" t="str">
        <f t="shared" si="29"/>
        <v/>
      </c>
      <c r="P46" t="str">
        <f t="shared" si="30"/>
        <v/>
      </c>
      <c r="Q46" t="str">
        <f t="shared" si="31"/>
        <v/>
      </c>
      <c r="R46" t="str">
        <f t="shared" si="32"/>
        <v/>
      </c>
      <c r="T46" s="102" t="str">
        <f>ChoiceCoding!AD8</f>
        <v>Ambivalent</v>
      </c>
      <c r="V46" t="str">
        <f t="shared" si="33"/>
        <v xml:space="preserve">94.97:4 </v>
      </c>
      <c r="W46" t="str">
        <f t="shared" si="33"/>
        <v xml:space="preserve">98.98:1.87 </v>
      </c>
      <c r="Y46" s="137" t="s">
        <v>93</v>
      </c>
      <c r="Z46" s="138" t="s">
        <v>58</v>
      </c>
      <c r="AA46" s="135">
        <v>7</v>
      </c>
      <c r="AB46" s="135" t="str">
        <f>CONCATENATE(Q41,Q42,Q43,Q44,Q45,Q46,Q47,Q48,Q49,Q50,Q51,Q52,Q53,Q54,Q55,Q56,Q57,Q58,Q59,Q60,Q61,Q62,Q63,Q64,Q65,Q66,Q67,Q68,Q69,Q70)</f>
        <v/>
      </c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Q46"/>
      <c r="AR46"/>
      <c r="AS46"/>
      <c r="BF46" s="44" t="s">
        <v>21</v>
      </c>
    </row>
    <row r="47" spans="1:98" x14ac:dyDescent="0.2">
      <c r="A47" s="148">
        <v>50</v>
      </c>
      <c r="B47" s="104">
        <v>7</v>
      </c>
      <c r="C47" s="2">
        <f>ROUND('Timing-Actual'!G50,2)</f>
        <v>107.97</v>
      </c>
      <c r="D47" s="2">
        <f>ROUND('Timing-Actual'!F50,2)</f>
        <v>4</v>
      </c>
      <c r="E47" s="2">
        <f>ROUND('Timing-Actual'!M50,2)</f>
        <v>111.97</v>
      </c>
      <c r="F47" s="2">
        <f>ROUND('Timing-Actual'!L50,2)</f>
        <v>3.94</v>
      </c>
      <c r="H47" t="str">
        <f t="shared" si="24"/>
        <v xml:space="preserve">107.97:4 </v>
      </c>
      <c r="I47" t="str">
        <f t="shared" si="23"/>
        <v xml:space="preserve">111.97:3.94 </v>
      </c>
      <c r="K47" t="str">
        <f t="shared" si="25"/>
        <v/>
      </c>
      <c r="L47" t="str">
        <f t="shared" si="26"/>
        <v/>
      </c>
      <c r="M47" t="str">
        <f t="shared" si="27"/>
        <v/>
      </c>
      <c r="N47" t="str">
        <f t="shared" si="28"/>
        <v/>
      </c>
      <c r="O47" t="str">
        <f t="shared" si="29"/>
        <v xml:space="preserve">107.97:4 </v>
      </c>
      <c r="P47" t="str">
        <f t="shared" si="30"/>
        <v xml:space="preserve">111.97:3.94 </v>
      </c>
      <c r="Q47" t="str">
        <f t="shared" si="31"/>
        <v/>
      </c>
      <c r="R47" t="str">
        <f t="shared" si="32"/>
        <v/>
      </c>
      <c r="T47" s="102" t="str">
        <f>ChoiceCoding!AD9</f>
        <v>Avoid</v>
      </c>
      <c r="V47" t="str">
        <f t="shared" si="33"/>
        <v xml:space="preserve">107.97:4 </v>
      </c>
      <c r="W47" t="str">
        <f t="shared" si="33"/>
        <v xml:space="preserve">111.97:3.94 </v>
      </c>
      <c r="Y47" s="139"/>
      <c r="Z47" s="138" t="s">
        <v>59</v>
      </c>
      <c r="AA47" s="135">
        <v>8</v>
      </c>
      <c r="AB47" s="135" t="str">
        <f>CONCATENATE(R41,R42,R43,R44,R45,R46,R47,R48,R49,R50,R51,R52,R53,R54,R55,R56,R57,R58,R59,R60,R61,R62,R63,R64,R65,R66,R67,R68,R69,R70)</f>
        <v/>
      </c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Q47"/>
      <c r="AR47"/>
      <c r="AS47"/>
    </row>
    <row r="48" spans="1:98" x14ac:dyDescent="0.2">
      <c r="A48" s="147">
        <v>15</v>
      </c>
      <c r="B48" s="104">
        <v>8</v>
      </c>
      <c r="C48" s="2">
        <f>ROUND('Timing-Actual'!G51,2)</f>
        <v>126.96</v>
      </c>
      <c r="D48" s="2">
        <f>ROUND('Timing-Actual'!F51,2)</f>
        <v>4</v>
      </c>
      <c r="E48" s="2">
        <f>ROUND('Timing-Actual'!M51,2)</f>
        <v>130.97</v>
      </c>
      <c r="F48" s="2">
        <f>ROUND('Timing-Actual'!L51,2)</f>
        <v>2.09</v>
      </c>
      <c r="H48" t="str">
        <f t="shared" si="24"/>
        <v xml:space="preserve">126.96:4 </v>
      </c>
      <c r="I48" t="str">
        <f t="shared" si="23"/>
        <v xml:space="preserve">130.97:2.09 </v>
      </c>
      <c r="K48" t="str">
        <f t="shared" si="25"/>
        <v/>
      </c>
      <c r="L48" t="str">
        <f t="shared" si="26"/>
        <v/>
      </c>
      <c r="M48" t="str">
        <f t="shared" si="27"/>
        <v xml:space="preserve">126.96:4 </v>
      </c>
      <c r="N48" t="str">
        <f t="shared" si="28"/>
        <v xml:space="preserve">130.97:2.09 </v>
      </c>
      <c r="O48" t="str">
        <f t="shared" si="29"/>
        <v/>
      </c>
      <c r="P48" t="str">
        <f t="shared" si="30"/>
        <v/>
      </c>
      <c r="Q48" t="str">
        <f t="shared" si="31"/>
        <v/>
      </c>
      <c r="R48" t="str">
        <f t="shared" si="32"/>
        <v/>
      </c>
      <c r="T48" s="102" t="str">
        <f>ChoiceCoding!AD10</f>
        <v>Ambivalent</v>
      </c>
      <c r="V48" t="str">
        <f t="shared" si="33"/>
        <v xml:space="preserve">126.96:4 </v>
      </c>
      <c r="W48" t="str">
        <f t="shared" si="33"/>
        <v xml:space="preserve">130.97:2.09 </v>
      </c>
      <c r="AQ48"/>
      <c r="AR48"/>
      <c r="AS48"/>
    </row>
    <row r="49" spans="1:58" x14ac:dyDescent="0.2">
      <c r="A49" s="148">
        <v>50</v>
      </c>
      <c r="B49" s="104">
        <v>9</v>
      </c>
      <c r="C49" s="2">
        <f>ROUND('Timing-Actual'!G52,2)</f>
        <v>145.96</v>
      </c>
      <c r="D49" s="2">
        <f>ROUND('Timing-Actual'!F52,2)</f>
        <v>4</v>
      </c>
      <c r="E49" s="2">
        <f>ROUND('Timing-Actual'!M52,2)</f>
        <v>149.96</v>
      </c>
      <c r="F49" s="2">
        <f>ROUND('Timing-Actual'!L52,2)</f>
        <v>2.3199999999999998</v>
      </c>
      <c r="H49" t="str">
        <f t="shared" si="24"/>
        <v xml:space="preserve">145.96:4 </v>
      </c>
      <c r="I49" t="str">
        <f t="shared" si="23"/>
        <v xml:space="preserve">149.96:2.32 </v>
      </c>
      <c r="K49" t="str">
        <f t="shared" si="25"/>
        <v/>
      </c>
      <c r="L49" t="str">
        <f t="shared" si="26"/>
        <v/>
      </c>
      <c r="M49" t="str">
        <f t="shared" si="27"/>
        <v/>
      </c>
      <c r="N49" t="str">
        <f t="shared" si="28"/>
        <v/>
      </c>
      <c r="O49" t="str">
        <f t="shared" si="29"/>
        <v xml:space="preserve">145.96:4 </v>
      </c>
      <c r="P49" t="str">
        <f t="shared" si="30"/>
        <v xml:space="preserve">149.96:2.32 </v>
      </c>
      <c r="Q49" t="str">
        <f t="shared" si="31"/>
        <v/>
      </c>
      <c r="R49" t="str">
        <f t="shared" si="32"/>
        <v/>
      </c>
      <c r="T49" s="102" t="str">
        <f>ChoiceCoding!AD11</f>
        <v>Avoid</v>
      </c>
      <c r="V49" t="str">
        <f t="shared" si="33"/>
        <v xml:space="preserve">145.96:4 </v>
      </c>
      <c r="W49" t="str">
        <f t="shared" si="33"/>
        <v xml:space="preserve">149.96:2.32 </v>
      </c>
      <c r="Y49" s="256" t="s">
        <v>395</v>
      </c>
      <c r="Z49" s="257" t="s">
        <v>58</v>
      </c>
      <c r="AA49" s="52"/>
      <c r="AB49" s="52" t="str">
        <f>_xlfn.CONCAT(V41,V42,V43,V44,V45,V46,V47,V48,V49,V50,V51,V52,V53,V54,V55,V56,V57,V58,V59,V60,V61,V62,V63,V64,V65,V66,V67,V68,V69,V70)</f>
        <v xml:space="preserve">5.97:4 22.97:4 45.97:4 64.97:4 79.96:4 94.97:4 107.97:4 126.96:4 145.96:4 166.96:4 181.97:4 196.97:4 209.98:3.99 232.96:4 247.97:4 264.97:4 279.96:4 300.96:4 313.97:4 328.97:4 343.96:4 356.97:4 377.97:4 392.96:4 405.97:3.99 420.97:4 437.96:4 452.98:3.99 475.96:4 488.97:4 </v>
      </c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Q49"/>
      <c r="AR49"/>
      <c r="AS49"/>
    </row>
    <row r="50" spans="1:58" x14ac:dyDescent="0.2">
      <c r="A50" s="149">
        <v>0.04</v>
      </c>
      <c r="B50" s="104">
        <v>10</v>
      </c>
      <c r="C50" s="2">
        <f>ROUND('Timing-Actual'!G53,2)</f>
        <v>166.96</v>
      </c>
      <c r="D50" s="2">
        <f>ROUND('Timing-Actual'!F53,2)</f>
        <v>4</v>
      </c>
      <c r="E50" s="2">
        <f>ROUND('Timing-Actual'!M53,2)</f>
        <v>170.96</v>
      </c>
      <c r="F50" s="2">
        <f>ROUND('Timing-Actual'!L53,2)</f>
        <v>1.82</v>
      </c>
      <c r="H50" t="str">
        <f t="shared" si="24"/>
        <v xml:space="preserve">166.96:4 </v>
      </c>
      <c r="I50" t="str">
        <f t="shared" si="23"/>
        <v xml:space="preserve">170.96:1.82 </v>
      </c>
      <c r="K50" t="str">
        <f t="shared" si="25"/>
        <v/>
      </c>
      <c r="L50" t="str">
        <f t="shared" si="26"/>
        <v/>
      </c>
      <c r="M50" t="str">
        <f t="shared" si="27"/>
        <v xml:space="preserve">166.96:4 </v>
      </c>
      <c r="N50" t="str">
        <f t="shared" si="28"/>
        <v xml:space="preserve">170.96:1.82 </v>
      </c>
      <c r="O50" t="str">
        <f t="shared" si="29"/>
        <v/>
      </c>
      <c r="P50" t="str">
        <f t="shared" si="30"/>
        <v/>
      </c>
      <c r="Q50" t="str">
        <f t="shared" si="31"/>
        <v/>
      </c>
      <c r="R50" t="str">
        <f t="shared" si="32"/>
        <v/>
      </c>
      <c r="T50" s="102" t="str">
        <f>ChoiceCoding!AD12</f>
        <v>Ambivalent</v>
      </c>
      <c r="V50" t="str">
        <f t="shared" si="33"/>
        <v xml:space="preserve">166.96:4 </v>
      </c>
      <c r="W50" t="str">
        <f t="shared" si="33"/>
        <v xml:space="preserve">170.96:1.82 </v>
      </c>
      <c r="Y50" s="52"/>
      <c r="Z50" s="257" t="s">
        <v>59</v>
      </c>
      <c r="AA50" s="52"/>
      <c r="AB50" s="52" t="str">
        <f>_xlfn.CONCAT(W41,W42,W43,W44,W45,W46,W47,W48,W49,W50,W51,W52,W53,W54,W55,W56,W57,W58,W59,W60,W61,W62,W63,W64,W65,W66,W67,W68,W69,W70)</f>
        <v xml:space="preserve">9.98:2.87 26.97:2.35 49.97:2.57 68.97:2.58 83.96:1.67 98.98:1.87 111.97:3.94 130.97:2.09 149.96:2.32 170.96:1.82 185.97:2.29 200.97:1.87 213.96:3.74 236.96:2.3 251.97:2.2 268.97:2.78 283.96:1.74 304.96:3.82 317.97:2.49 332.97:1.18 347.96:2.15 360.97:1.9 381.97:2.04 396.97:1.4 409.96:2.13 424.97:2.02 441.97:2.22 456.96:1.63 479.96:1.97 492.97:2.8 </v>
      </c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Q50"/>
      <c r="AR50"/>
      <c r="AS50"/>
    </row>
    <row r="51" spans="1:58" x14ac:dyDescent="0.2">
      <c r="A51" s="148">
        <v>30</v>
      </c>
      <c r="B51" s="104">
        <v>11</v>
      </c>
      <c r="C51" s="2">
        <f>ROUND('Timing-Actual'!G54,2)</f>
        <v>181.97</v>
      </c>
      <c r="D51" s="2">
        <f>ROUND('Timing-Actual'!F54,2)</f>
        <v>4</v>
      </c>
      <c r="E51" s="2">
        <f>ROUND('Timing-Actual'!M54,2)</f>
        <v>185.97</v>
      </c>
      <c r="F51" s="2">
        <f>ROUND('Timing-Actual'!L54,2)</f>
        <v>2.29</v>
      </c>
      <c r="H51" t="str">
        <f t="shared" si="24"/>
        <v xml:space="preserve">181.97:4 </v>
      </c>
      <c r="I51" t="str">
        <f t="shared" si="23"/>
        <v xml:space="preserve">185.97:2.29 </v>
      </c>
      <c r="K51" t="str">
        <f t="shared" si="25"/>
        <v/>
      </c>
      <c r="L51" t="str">
        <f t="shared" si="26"/>
        <v/>
      </c>
      <c r="M51" t="str">
        <f t="shared" si="27"/>
        <v/>
      </c>
      <c r="N51" t="str">
        <f t="shared" si="28"/>
        <v/>
      </c>
      <c r="O51" t="str">
        <f t="shared" si="29"/>
        <v xml:space="preserve">181.97:4 </v>
      </c>
      <c r="P51" t="str">
        <f t="shared" si="30"/>
        <v xml:space="preserve">185.97:2.29 </v>
      </c>
      <c r="Q51" t="str">
        <f t="shared" si="31"/>
        <v/>
      </c>
      <c r="R51" t="str">
        <f t="shared" si="32"/>
        <v/>
      </c>
      <c r="T51" s="102" t="str">
        <f>ChoiceCoding!AD13</f>
        <v>Avoid</v>
      </c>
      <c r="V51" t="str">
        <f t="shared" si="33"/>
        <v xml:space="preserve">181.97:4 </v>
      </c>
      <c r="W51" t="str">
        <f t="shared" si="33"/>
        <v xml:space="preserve">185.97:2.29 </v>
      </c>
      <c r="AQ51"/>
      <c r="AR51"/>
      <c r="AS51"/>
    </row>
    <row r="52" spans="1:58" x14ac:dyDescent="0.2">
      <c r="A52" s="149">
        <v>0.01</v>
      </c>
      <c r="B52" s="104">
        <v>12</v>
      </c>
      <c r="C52" s="2">
        <f>ROUND('Timing-Actual'!G55,2)</f>
        <v>196.97</v>
      </c>
      <c r="D52" s="2">
        <f>ROUND('Timing-Actual'!F55,2)</f>
        <v>4</v>
      </c>
      <c r="E52" s="2">
        <f>ROUND('Timing-Actual'!M55,2)</f>
        <v>200.97</v>
      </c>
      <c r="F52" s="2">
        <f>ROUND('Timing-Actual'!L55,2)</f>
        <v>1.87</v>
      </c>
      <c r="H52" t="str">
        <f t="shared" si="24"/>
        <v xml:space="preserve">196.97:4 </v>
      </c>
      <c r="I52" t="str">
        <f t="shared" si="23"/>
        <v xml:space="preserve">200.97:1.87 </v>
      </c>
      <c r="K52" t="str">
        <f t="shared" si="25"/>
        <v/>
      </c>
      <c r="L52" t="str">
        <f t="shared" si="26"/>
        <v/>
      </c>
      <c r="M52" t="str">
        <f t="shared" si="27"/>
        <v xml:space="preserve">196.97:4 </v>
      </c>
      <c r="N52" t="str">
        <f t="shared" si="28"/>
        <v xml:space="preserve">200.97:1.87 </v>
      </c>
      <c r="O52" t="str">
        <f t="shared" si="29"/>
        <v/>
      </c>
      <c r="P52" t="str">
        <f t="shared" si="30"/>
        <v/>
      </c>
      <c r="Q52" t="str">
        <f t="shared" si="31"/>
        <v/>
      </c>
      <c r="R52" t="str">
        <f t="shared" si="32"/>
        <v/>
      </c>
      <c r="T52" s="102" t="str">
        <f>ChoiceCoding!AD14</f>
        <v>Ambivalent</v>
      </c>
      <c r="V52" t="str">
        <f t="shared" si="33"/>
        <v xml:space="preserve">196.97:4 </v>
      </c>
      <c r="W52" t="str">
        <f t="shared" si="33"/>
        <v xml:space="preserve">200.97:1.87 </v>
      </c>
      <c r="AQ52"/>
      <c r="AR52"/>
      <c r="AS52"/>
    </row>
    <row r="53" spans="1:58" x14ac:dyDescent="0.2">
      <c r="A53" s="147">
        <v>13</v>
      </c>
      <c r="B53" s="104">
        <v>13</v>
      </c>
      <c r="C53" s="2">
        <f>ROUND('Timing-Actual'!G56,2)</f>
        <v>209.98</v>
      </c>
      <c r="D53" s="2">
        <f>ROUND('Timing-Actual'!F56,2)</f>
        <v>3.99</v>
      </c>
      <c r="E53" s="2">
        <f>ROUND('Timing-Actual'!M56,2)</f>
        <v>213.96</v>
      </c>
      <c r="F53" s="2">
        <f>ROUND('Timing-Actual'!L56,2)</f>
        <v>3.74</v>
      </c>
      <c r="H53" t="str">
        <f t="shared" si="24"/>
        <v xml:space="preserve">209.98:3.99 </v>
      </c>
      <c r="I53" t="str">
        <f t="shared" si="23"/>
        <v xml:space="preserve">213.96:3.74 </v>
      </c>
      <c r="K53" t="str">
        <f t="shared" si="25"/>
        <v/>
      </c>
      <c r="L53" t="str">
        <f t="shared" si="26"/>
        <v/>
      </c>
      <c r="M53" t="str">
        <f t="shared" si="27"/>
        <v xml:space="preserve">209.98:3.99 </v>
      </c>
      <c r="N53" t="str">
        <f t="shared" si="28"/>
        <v xml:space="preserve">213.96:3.74 </v>
      </c>
      <c r="O53" t="str">
        <f t="shared" si="29"/>
        <v/>
      </c>
      <c r="P53" t="str">
        <f t="shared" si="30"/>
        <v/>
      </c>
      <c r="Q53" t="str">
        <f t="shared" si="31"/>
        <v/>
      </c>
      <c r="R53" t="str">
        <f t="shared" si="32"/>
        <v/>
      </c>
      <c r="T53" s="102" t="str">
        <f>ChoiceCoding!AD15</f>
        <v>Ambivalent</v>
      </c>
      <c r="V53" t="str">
        <f t="shared" si="33"/>
        <v xml:space="preserve">209.98:3.99 </v>
      </c>
      <c r="W53" t="str">
        <f t="shared" si="33"/>
        <v xml:space="preserve">213.96:3.74 </v>
      </c>
      <c r="AQ53"/>
      <c r="AR53"/>
      <c r="AS53"/>
    </row>
    <row r="54" spans="1:58" x14ac:dyDescent="0.2">
      <c r="A54" s="149">
        <v>0.02</v>
      </c>
      <c r="B54" s="104">
        <v>14</v>
      </c>
      <c r="C54" s="2">
        <f>ROUND('Timing-Actual'!G57,2)</f>
        <v>232.96</v>
      </c>
      <c r="D54" s="2">
        <f>ROUND('Timing-Actual'!F57,2)</f>
        <v>4</v>
      </c>
      <c r="E54" s="2">
        <f>ROUND('Timing-Actual'!M57,2)</f>
        <v>236.96</v>
      </c>
      <c r="F54" s="2">
        <f>ROUND('Timing-Actual'!L57,2)</f>
        <v>2.2999999999999998</v>
      </c>
      <c r="H54" t="str">
        <f t="shared" si="24"/>
        <v xml:space="preserve">232.96:4 </v>
      </c>
      <c r="I54" t="str">
        <f t="shared" si="23"/>
        <v xml:space="preserve">236.96:2.3 </v>
      </c>
      <c r="K54" t="str">
        <f t="shared" si="25"/>
        <v/>
      </c>
      <c r="L54" t="str">
        <f t="shared" si="26"/>
        <v/>
      </c>
      <c r="M54" t="str">
        <f t="shared" si="27"/>
        <v xml:space="preserve">232.96:4 </v>
      </c>
      <c r="N54" t="str">
        <f t="shared" si="28"/>
        <v xml:space="preserve">236.96:2.3 </v>
      </c>
      <c r="O54" t="str">
        <f t="shared" si="29"/>
        <v/>
      </c>
      <c r="P54" t="str">
        <f t="shared" si="30"/>
        <v/>
      </c>
      <c r="Q54" t="str">
        <f t="shared" si="31"/>
        <v/>
      </c>
      <c r="R54" t="str">
        <f t="shared" si="32"/>
        <v/>
      </c>
      <c r="T54" s="102" t="str">
        <f>ChoiceCoding!AD16</f>
        <v>Ambivalent</v>
      </c>
      <c r="V54" t="str">
        <f t="shared" si="33"/>
        <v xml:space="preserve">232.96:4 </v>
      </c>
      <c r="W54" t="str">
        <f t="shared" si="33"/>
        <v xml:space="preserve">236.96:2.3 </v>
      </c>
      <c r="AQ54"/>
      <c r="AR54"/>
      <c r="AS54"/>
    </row>
    <row r="55" spans="1:58" x14ac:dyDescent="0.2">
      <c r="A55" s="148">
        <v>80</v>
      </c>
      <c r="B55" s="104">
        <v>15</v>
      </c>
      <c r="C55" s="2">
        <f>ROUND('Timing-Actual'!G58,2)</f>
        <v>247.97</v>
      </c>
      <c r="D55" s="2">
        <f>ROUND('Timing-Actual'!F58,2)</f>
        <v>4</v>
      </c>
      <c r="E55" s="2">
        <f>ROUND('Timing-Actual'!M58,2)</f>
        <v>251.97</v>
      </c>
      <c r="F55" s="2">
        <f>ROUND('Timing-Actual'!L58,2)</f>
        <v>2.2000000000000002</v>
      </c>
      <c r="H55" t="str">
        <f t="shared" si="24"/>
        <v xml:space="preserve">247.97:4 </v>
      </c>
      <c r="I55" t="str">
        <f t="shared" si="23"/>
        <v xml:space="preserve">251.97:2.2 </v>
      </c>
      <c r="K55" t="str">
        <f t="shared" si="25"/>
        <v/>
      </c>
      <c r="L55" t="str">
        <f t="shared" si="26"/>
        <v/>
      </c>
      <c r="M55" t="str">
        <f t="shared" si="27"/>
        <v/>
      </c>
      <c r="N55" t="str">
        <f t="shared" si="28"/>
        <v/>
      </c>
      <c r="O55" t="str">
        <f t="shared" si="29"/>
        <v xml:space="preserve">247.97:4 </v>
      </c>
      <c r="P55" t="str">
        <f t="shared" si="30"/>
        <v xml:space="preserve">251.97:2.2 </v>
      </c>
      <c r="Q55" t="str">
        <f t="shared" si="31"/>
        <v/>
      </c>
      <c r="R55" t="str">
        <f t="shared" si="32"/>
        <v/>
      </c>
      <c r="T55" s="102" t="str">
        <f>ChoiceCoding!AD17</f>
        <v>Avoid</v>
      </c>
      <c r="V55" t="str">
        <f t="shared" si="33"/>
        <v xml:space="preserve">247.97:4 </v>
      </c>
      <c r="W55" t="str">
        <f t="shared" si="33"/>
        <v xml:space="preserve">251.97:2.2 </v>
      </c>
      <c r="AQ55"/>
      <c r="AR55"/>
      <c r="AS55"/>
    </row>
    <row r="56" spans="1:58" x14ac:dyDescent="0.2">
      <c r="A56" s="147">
        <v>9</v>
      </c>
      <c r="B56" s="104">
        <v>16</v>
      </c>
      <c r="C56" s="2">
        <f>ROUND('Timing-Actual'!G59,2)</f>
        <v>264.97000000000003</v>
      </c>
      <c r="D56" s="2">
        <f>ROUND('Timing-Actual'!F59,2)</f>
        <v>4</v>
      </c>
      <c r="E56" s="2">
        <f>ROUND('Timing-Actual'!M59,2)</f>
        <v>268.97000000000003</v>
      </c>
      <c r="F56" s="2">
        <f>ROUND('Timing-Actual'!L59,2)</f>
        <v>2.78</v>
      </c>
      <c r="H56" t="str">
        <f t="shared" si="24"/>
        <v xml:space="preserve">264.97:4 </v>
      </c>
      <c r="I56" t="str">
        <f t="shared" si="23"/>
        <v xml:space="preserve">268.97:2.78 </v>
      </c>
      <c r="K56" t="str">
        <f t="shared" si="25"/>
        <v/>
      </c>
      <c r="L56" t="str">
        <f t="shared" si="26"/>
        <v/>
      </c>
      <c r="M56" t="str">
        <f t="shared" si="27"/>
        <v xml:space="preserve">264.97:4 </v>
      </c>
      <c r="N56" t="str">
        <f t="shared" si="28"/>
        <v xml:space="preserve">268.97:2.78 </v>
      </c>
      <c r="O56" t="str">
        <f t="shared" si="29"/>
        <v/>
      </c>
      <c r="P56" t="str">
        <f t="shared" si="30"/>
        <v/>
      </c>
      <c r="Q56" t="str">
        <f t="shared" si="31"/>
        <v/>
      </c>
      <c r="R56" t="str">
        <f t="shared" si="32"/>
        <v/>
      </c>
      <c r="T56" s="102" t="str">
        <f>ChoiceCoding!AD18</f>
        <v>Ambivalent</v>
      </c>
      <c r="V56" t="str">
        <f t="shared" si="33"/>
        <v xml:space="preserve">264.97:4 </v>
      </c>
      <c r="W56" t="str">
        <f t="shared" si="33"/>
        <v xml:space="preserve">268.97:2.78 </v>
      </c>
      <c r="AQ56"/>
      <c r="AR56"/>
      <c r="AS56"/>
    </row>
    <row r="57" spans="1:58" x14ac:dyDescent="0.2">
      <c r="A57" s="149">
        <v>0.05</v>
      </c>
      <c r="B57" s="104">
        <v>17</v>
      </c>
      <c r="C57" s="2">
        <f>ROUND('Timing-Actual'!G60,2)</f>
        <v>279.95999999999998</v>
      </c>
      <c r="D57" s="2">
        <f>ROUND('Timing-Actual'!F60,2)</f>
        <v>4</v>
      </c>
      <c r="E57" s="2">
        <f>ROUND('Timing-Actual'!M60,2)</f>
        <v>283.95999999999998</v>
      </c>
      <c r="F57" s="2">
        <f>ROUND('Timing-Actual'!L60,2)</f>
        <v>1.74</v>
      </c>
      <c r="H57" t="str">
        <f t="shared" si="24"/>
        <v xml:space="preserve">279.96:4 </v>
      </c>
      <c r="I57" t="str">
        <f t="shared" si="23"/>
        <v xml:space="preserve">283.96:1.74 </v>
      </c>
      <c r="K57" t="str">
        <f t="shared" si="25"/>
        <v/>
      </c>
      <c r="L57" t="str">
        <f t="shared" si="26"/>
        <v/>
      </c>
      <c r="M57" t="str">
        <f t="shared" si="27"/>
        <v xml:space="preserve">279.96:4 </v>
      </c>
      <c r="N57" t="str">
        <f t="shared" si="28"/>
        <v xml:space="preserve">283.96:1.74 </v>
      </c>
      <c r="O57" t="str">
        <f t="shared" si="29"/>
        <v/>
      </c>
      <c r="P57" t="str">
        <f t="shared" si="30"/>
        <v/>
      </c>
      <c r="Q57" t="str">
        <f t="shared" si="31"/>
        <v/>
      </c>
      <c r="R57" t="str">
        <f t="shared" si="32"/>
        <v/>
      </c>
      <c r="T57" s="102" t="str">
        <f>ChoiceCoding!AD19</f>
        <v>Ambivalent</v>
      </c>
      <c r="V57" t="str">
        <f t="shared" si="33"/>
        <v xml:space="preserve">279.96:4 </v>
      </c>
      <c r="W57" t="str">
        <f t="shared" si="33"/>
        <v xml:space="preserve">283.96:1.74 </v>
      </c>
      <c r="AQ57"/>
      <c r="AR57"/>
      <c r="AS57"/>
    </row>
    <row r="58" spans="1:58" x14ac:dyDescent="0.2">
      <c r="A58" s="147">
        <v>13</v>
      </c>
      <c r="B58" s="104">
        <v>18</v>
      </c>
      <c r="C58" s="2">
        <f>ROUND('Timing-Actual'!G61,2)</f>
        <v>300.95999999999998</v>
      </c>
      <c r="D58" s="2">
        <f>ROUND('Timing-Actual'!F61,2)</f>
        <v>4</v>
      </c>
      <c r="E58" s="2">
        <f>ROUND('Timing-Actual'!M61,2)</f>
        <v>304.95999999999998</v>
      </c>
      <c r="F58" s="2">
        <f>ROUND('Timing-Actual'!L61,2)</f>
        <v>3.82</v>
      </c>
      <c r="H58" t="str">
        <f t="shared" si="24"/>
        <v xml:space="preserve">300.96:4 </v>
      </c>
      <c r="I58" t="str">
        <f t="shared" si="23"/>
        <v xml:space="preserve">304.96:3.82 </v>
      </c>
      <c r="K58" t="str">
        <f t="shared" si="25"/>
        <v/>
      </c>
      <c r="L58" t="str">
        <f t="shared" si="26"/>
        <v/>
      </c>
      <c r="M58" t="str">
        <f t="shared" si="27"/>
        <v xml:space="preserve">300.96:4 </v>
      </c>
      <c r="N58" t="str">
        <f t="shared" si="28"/>
        <v xml:space="preserve">304.96:3.82 </v>
      </c>
      <c r="O58" t="str">
        <f t="shared" si="29"/>
        <v/>
      </c>
      <c r="P58" t="str">
        <f t="shared" si="30"/>
        <v/>
      </c>
      <c r="Q58" t="str">
        <f t="shared" si="31"/>
        <v/>
      </c>
      <c r="R58" t="str">
        <f t="shared" si="32"/>
        <v/>
      </c>
      <c r="T58" s="102" t="str">
        <f>ChoiceCoding!AD20</f>
        <v>Ambivalent</v>
      </c>
      <c r="V58" t="str">
        <f t="shared" si="33"/>
        <v xml:space="preserve">300.96:4 </v>
      </c>
      <c r="W58" t="str">
        <f t="shared" si="33"/>
        <v xml:space="preserve">304.96:3.82 </v>
      </c>
      <c r="AQ58"/>
      <c r="AR58"/>
      <c r="AS58"/>
    </row>
    <row r="59" spans="1:58" x14ac:dyDescent="0.2">
      <c r="A59" s="148">
        <v>70</v>
      </c>
      <c r="B59" s="104">
        <v>19</v>
      </c>
      <c r="C59" s="2">
        <f>ROUND('Timing-Actual'!G62,2)</f>
        <v>313.97000000000003</v>
      </c>
      <c r="D59" s="2">
        <f>ROUND('Timing-Actual'!F62,2)</f>
        <v>4</v>
      </c>
      <c r="E59" s="2">
        <f>ROUND('Timing-Actual'!M62,2)</f>
        <v>317.97000000000003</v>
      </c>
      <c r="F59" s="2">
        <f>ROUND('Timing-Actual'!L62,2)</f>
        <v>2.4900000000000002</v>
      </c>
      <c r="H59" t="str">
        <f t="shared" si="24"/>
        <v xml:space="preserve">313.97:4 </v>
      </c>
      <c r="I59" t="str">
        <f t="shared" si="23"/>
        <v xml:space="preserve">317.97:2.49 </v>
      </c>
      <c r="K59" t="str">
        <f t="shared" si="25"/>
        <v/>
      </c>
      <c r="L59" t="str">
        <f t="shared" si="26"/>
        <v/>
      </c>
      <c r="M59" t="str">
        <f t="shared" si="27"/>
        <v/>
      </c>
      <c r="N59" t="str">
        <f t="shared" si="28"/>
        <v/>
      </c>
      <c r="O59" t="str">
        <f t="shared" si="29"/>
        <v xml:space="preserve">313.97:4 </v>
      </c>
      <c r="P59" t="str">
        <f t="shared" si="30"/>
        <v xml:space="preserve">317.97:2.49 </v>
      </c>
      <c r="Q59" t="str">
        <f t="shared" si="31"/>
        <v/>
      </c>
      <c r="R59" t="str">
        <f t="shared" si="32"/>
        <v/>
      </c>
      <c r="T59" s="102" t="str">
        <f>ChoiceCoding!AD21</f>
        <v>Avoid</v>
      </c>
      <c r="V59" t="str">
        <f t="shared" si="33"/>
        <v xml:space="preserve">313.97:4 </v>
      </c>
      <c r="W59" t="str">
        <f t="shared" si="33"/>
        <v xml:space="preserve">317.97:2.49 </v>
      </c>
      <c r="AQ59"/>
      <c r="AR59"/>
      <c r="AS59"/>
      <c r="BF59" s="44" t="s">
        <v>21</v>
      </c>
    </row>
    <row r="60" spans="1:58" x14ac:dyDescent="0.2">
      <c r="A60" s="147">
        <v>11</v>
      </c>
      <c r="B60" s="104">
        <v>20</v>
      </c>
      <c r="C60" s="2">
        <f>ROUND('Timing-Actual'!G63,2)</f>
        <v>328.97</v>
      </c>
      <c r="D60" s="2">
        <f>ROUND('Timing-Actual'!F63,2)</f>
        <v>4</v>
      </c>
      <c r="E60" s="2">
        <f>ROUND('Timing-Actual'!M63,2)</f>
        <v>332.97</v>
      </c>
      <c r="F60" s="2">
        <f>ROUND('Timing-Actual'!L63,2)</f>
        <v>1.18</v>
      </c>
      <c r="H60" t="str">
        <f t="shared" si="24"/>
        <v xml:space="preserve">328.97:4 </v>
      </c>
      <c r="I60" t="str">
        <f t="shared" si="23"/>
        <v xml:space="preserve">332.97:1.18 </v>
      </c>
      <c r="K60" t="str">
        <f t="shared" si="25"/>
        <v/>
      </c>
      <c r="L60" t="str">
        <f t="shared" si="26"/>
        <v/>
      </c>
      <c r="M60" t="str">
        <f t="shared" si="27"/>
        <v xml:space="preserve">328.97:4 </v>
      </c>
      <c r="N60" t="str">
        <f t="shared" si="28"/>
        <v xml:space="preserve">332.97:1.18 </v>
      </c>
      <c r="O60" t="str">
        <f t="shared" si="29"/>
        <v/>
      </c>
      <c r="P60" t="str">
        <f t="shared" si="30"/>
        <v/>
      </c>
      <c r="Q60" t="str">
        <f t="shared" si="31"/>
        <v/>
      </c>
      <c r="R60" t="str">
        <f t="shared" si="32"/>
        <v/>
      </c>
      <c r="T60" s="102" t="str">
        <f>ChoiceCoding!AD22</f>
        <v>Ambivalent</v>
      </c>
      <c r="V60" t="str">
        <f t="shared" si="33"/>
        <v xml:space="preserve">328.97:4 </v>
      </c>
      <c r="W60" t="str">
        <f t="shared" si="33"/>
        <v xml:space="preserve">332.97:1.18 </v>
      </c>
      <c r="AP60" s="235"/>
      <c r="AQ60" s="235"/>
      <c r="AR60" s="235"/>
      <c r="AS60" s="235"/>
      <c r="AT60" s="235"/>
      <c r="AU60" s="235"/>
      <c r="AV60" s="235"/>
      <c r="AW60" s="235"/>
      <c r="AX60" s="235"/>
      <c r="AY60" s="235"/>
      <c r="AZ60" s="235"/>
      <c r="BA60" s="235"/>
      <c r="BB60" s="235"/>
      <c r="BC60" s="235"/>
      <c r="BD60" s="235"/>
      <c r="BE60" s="235"/>
      <c r="BF60" s="44" t="s">
        <v>21</v>
      </c>
    </row>
    <row r="61" spans="1:58" x14ac:dyDescent="0.2">
      <c r="A61" s="148">
        <v>30</v>
      </c>
      <c r="B61" s="104">
        <v>21</v>
      </c>
      <c r="C61" s="2">
        <f>ROUND('Timing-Actual'!G64,2)</f>
        <v>343.96</v>
      </c>
      <c r="D61" s="2">
        <f>ROUND('Timing-Actual'!F64,2)</f>
        <v>4</v>
      </c>
      <c r="E61" s="2">
        <f>ROUND('Timing-Actual'!M64,2)</f>
        <v>347.96</v>
      </c>
      <c r="F61" s="2">
        <f>ROUND('Timing-Actual'!L64,2)</f>
        <v>2.15</v>
      </c>
      <c r="H61" t="str">
        <f t="shared" si="24"/>
        <v xml:space="preserve">343.96:4 </v>
      </c>
      <c r="I61" t="str">
        <f t="shared" si="23"/>
        <v xml:space="preserve">347.96:2.15 </v>
      </c>
      <c r="K61" t="str">
        <f t="shared" si="25"/>
        <v/>
      </c>
      <c r="L61" t="str">
        <f t="shared" si="26"/>
        <v/>
      </c>
      <c r="M61" t="str">
        <f t="shared" si="27"/>
        <v/>
      </c>
      <c r="N61" t="str">
        <f t="shared" si="28"/>
        <v/>
      </c>
      <c r="O61" t="str">
        <f t="shared" si="29"/>
        <v xml:space="preserve">343.96:4 </v>
      </c>
      <c r="P61" t="str">
        <f t="shared" si="30"/>
        <v xml:space="preserve">347.96:2.15 </v>
      </c>
      <c r="Q61" t="str">
        <f t="shared" si="31"/>
        <v/>
      </c>
      <c r="R61" t="str">
        <f t="shared" si="32"/>
        <v/>
      </c>
      <c r="T61" s="102" t="str">
        <f>ChoiceCoding!AD23</f>
        <v>Avoid</v>
      </c>
      <c r="V61" t="str">
        <f t="shared" si="33"/>
        <v xml:space="preserve">343.96:4 </v>
      </c>
      <c r="W61" t="str">
        <f t="shared" si="33"/>
        <v xml:space="preserve">347.96:2.15 </v>
      </c>
      <c r="AQ61"/>
      <c r="AR61"/>
      <c r="AS61"/>
      <c r="BF61" s="44" t="s">
        <v>21</v>
      </c>
    </row>
    <row r="62" spans="1:58" ht="21" x14ac:dyDescent="0.25">
      <c r="A62" s="147">
        <v>9</v>
      </c>
      <c r="B62" s="104">
        <v>22</v>
      </c>
      <c r="C62" s="2">
        <f>ROUND('Timing-Actual'!G65,2)</f>
        <v>356.97</v>
      </c>
      <c r="D62" s="2">
        <f>ROUND('Timing-Actual'!F65,2)</f>
        <v>4</v>
      </c>
      <c r="E62" s="2">
        <f>ROUND('Timing-Actual'!M65,2)</f>
        <v>360.97</v>
      </c>
      <c r="F62" s="2">
        <f>ROUND('Timing-Actual'!L65,2)</f>
        <v>1.9</v>
      </c>
      <c r="H62" t="str">
        <f t="shared" si="24"/>
        <v xml:space="preserve">356.97:4 </v>
      </c>
      <c r="I62" t="str">
        <f t="shared" si="23"/>
        <v xml:space="preserve">360.97:1.9 </v>
      </c>
      <c r="K62" t="str">
        <f t="shared" si="25"/>
        <v/>
      </c>
      <c r="L62" t="str">
        <f t="shared" si="26"/>
        <v/>
      </c>
      <c r="M62" t="str">
        <f t="shared" si="27"/>
        <v xml:space="preserve">356.97:4 </v>
      </c>
      <c r="N62" t="str">
        <f t="shared" si="28"/>
        <v xml:space="preserve">360.97:1.9 </v>
      </c>
      <c r="O62" t="str">
        <f t="shared" si="29"/>
        <v/>
      </c>
      <c r="P62" t="str">
        <f t="shared" si="30"/>
        <v/>
      </c>
      <c r="Q62" t="str">
        <f t="shared" si="31"/>
        <v/>
      </c>
      <c r="R62" t="str">
        <f t="shared" si="32"/>
        <v/>
      </c>
      <c r="T62" s="102" t="str">
        <f>ChoiceCoding!AD24</f>
        <v>Ambivalent</v>
      </c>
      <c r="V62" t="str">
        <f t="shared" si="33"/>
        <v xml:space="preserve">356.97:4 </v>
      </c>
      <c r="W62" t="str">
        <f t="shared" si="33"/>
        <v xml:space="preserve">360.97:1.9 </v>
      </c>
      <c r="AP62" s="237" t="s">
        <v>378</v>
      </c>
      <c r="AQ62" s="237"/>
      <c r="AR62" s="237"/>
      <c r="AS62" s="237"/>
      <c r="AT62" s="237"/>
      <c r="AU62" s="237"/>
      <c r="AV62" s="237"/>
      <c r="AW62" s="237"/>
      <c r="AX62" s="40"/>
      <c r="AY62" s="40"/>
      <c r="AZ62" s="40"/>
      <c r="BA62" s="40"/>
      <c r="BF62" s="44" t="s">
        <v>21</v>
      </c>
    </row>
    <row r="63" spans="1:58" ht="21" x14ac:dyDescent="0.25">
      <c r="A63" s="149">
        <v>0</v>
      </c>
      <c r="B63" s="104">
        <v>23</v>
      </c>
      <c r="C63" s="2">
        <f>ROUND('Timing-Actual'!G66,2)</f>
        <v>377.97</v>
      </c>
      <c r="D63" s="2">
        <f>ROUND('Timing-Actual'!F66,2)</f>
        <v>4</v>
      </c>
      <c r="E63" s="2">
        <f>ROUND('Timing-Actual'!M66,2)</f>
        <v>381.97</v>
      </c>
      <c r="F63" s="2">
        <f>ROUND('Timing-Actual'!L66,2)</f>
        <v>2.04</v>
      </c>
      <c r="H63" t="str">
        <f t="shared" si="24"/>
        <v xml:space="preserve">377.97:4 </v>
      </c>
      <c r="I63" t="str">
        <f t="shared" si="23"/>
        <v xml:space="preserve">381.97:2.04 </v>
      </c>
      <c r="K63" t="str">
        <f t="shared" si="25"/>
        <v xml:space="preserve">377.97:4 </v>
      </c>
      <c r="L63" t="str">
        <f t="shared" si="26"/>
        <v xml:space="preserve">381.97:2.04 </v>
      </c>
      <c r="M63" t="str">
        <f t="shared" si="27"/>
        <v/>
      </c>
      <c r="N63" t="str">
        <f t="shared" si="28"/>
        <v/>
      </c>
      <c r="O63" t="str">
        <f t="shared" si="29"/>
        <v/>
      </c>
      <c r="P63" t="str">
        <f t="shared" si="30"/>
        <v/>
      </c>
      <c r="Q63" t="str">
        <f t="shared" si="31"/>
        <v/>
      </c>
      <c r="R63" t="str">
        <f t="shared" si="32"/>
        <v/>
      </c>
      <c r="T63" s="102" t="str">
        <f>ChoiceCoding!AD25</f>
        <v>Approach</v>
      </c>
      <c r="V63" t="str">
        <f t="shared" si="33"/>
        <v xml:space="preserve">377.97:4 </v>
      </c>
      <c r="W63" t="str">
        <f t="shared" si="33"/>
        <v xml:space="preserve">381.97:2.04 </v>
      </c>
      <c r="AP63" s="237" t="s">
        <v>379</v>
      </c>
      <c r="AQ63" s="237"/>
      <c r="AR63" s="237"/>
      <c r="AS63" s="237"/>
      <c r="AT63" s="237"/>
      <c r="AU63" s="237"/>
      <c r="AV63" s="237"/>
      <c r="AW63" s="237"/>
      <c r="AX63" s="40"/>
      <c r="AY63" s="40"/>
      <c r="AZ63" s="40"/>
      <c r="BA63" s="40"/>
      <c r="BF63" s="44" t="s">
        <v>21</v>
      </c>
    </row>
    <row r="64" spans="1:58" ht="16" thickBot="1" x14ac:dyDescent="0.25">
      <c r="A64" s="147">
        <v>11</v>
      </c>
      <c r="B64" s="104">
        <v>24</v>
      </c>
      <c r="C64" s="2">
        <f>ROUND('Timing-Actual'!G67,2)</f>
        <v>392.96</v>
      </c>
      <c r="D64" s="2">
        <f>ROUND('Timing-Actual'!F67,2)</f>
        <v>4</v>
      </c>
      <c r="E64" s="2">
        <f>ROUND('Timing-Actual'!M67,2)</f>
        <v>396.97</v>
      </c>
      <c r="F64" s="2">
        <f>ROUND('Timing-Actual'!L67,2)</f>
        <v>1.4</v>
      </c>
      <c r="H64" t="str">
        <f t="shared" si="24"/>
        <v xml:space="preserve">392.96:4 </v>
      </c>
      <c r="I64" t="str">
        <f t="shared" si="23"/>
        <v xml:space="preserve">396.97:1.4 </v>
      </c>
      <c r="K64" t="str">
        <f t="shared" si="25"/>
        <v/>
      </c>
      <c r="L64" t="str">
        <f t="shared" si="26"/>
        <v/>
      </c>
      <c r="M64" t="str">
        <f t="shared" si="27"/>
        <v xml:space="preserve">392.96:4 </v>
      </c>
      <c r="N64" t="str">
        <f t="shared" si="28"/>
        <v xml:space="preserve">396.97:1.4 </v>
      </c>
      <c r="O64" t="str">
        <f t="shared" si="29"/>
        <v/>
      </c>
      <c r="P64" t="str">
        <f t="shared" si="30"/>
        <v/>
      </c>
      <c r="Q64" t="str">
        <f t="shared" si="31"/>
        <v/>
      </c>
      <c r="R64" t="str">
        <f t="shared" si="32"/>
        <v/>
      </c>
      <c r="T64" s="102" t="str">
        <f>ChoiceCoding!AD26</f>
        <v>Ambivalent</v>
      </c>
      <c r="V64" t="str">
        <f t="shared" si="33"/>
        <v xml:space="preserve">392.96:4 </v>
      </c>
      <c r="W64" t="str">
        <f t="shared" si="33"/>
        <v xml:space="preserve">396.97:1.4 </v>
      </c>
      <c r="AP64" t="str">
        <f>'Paste Run 2'!B2</f>
        <v>XXXX</v>
      </c>
      <c r="AQ64"/>
      <c r="AR64"/>
      <c r="AS64"/>
      <c r="BF64" s="44" t="s">
        <v>21</v>
      </c>
    </row>
    <row r="65" spans="1:98" x14ac:dyDescent="0.2">
      <c r="A65" s="148">
        <v>80</v>
      </c>
      <c r="B65" s="104">
        <v>25</v>
      </c>
      <c r="C65" s="2">
        <f>ROUND('Timing-Actual'!G68,2)</f>
        <v>405.97</v>
      </c>
      <c r="D65" s="2">
        <f>ROUND('Timing-Actual'!F68,2)</f>
        <v>3.99</v>
      </c>
      <c r="E65" s="2">
        <f>ROUND('Timing-Actual'!M68,2)</f>
        <v>409.96</v>
      </c>
      <c r="F65" s="2">
        <f>ROUND('Timing-Actual'!L68,2)</f>
        <v>2.13</v>
      </c>
      <c r="H65" t="str">
        <f t="shared" si="24"/>
        <v xml:space="preserve">405.97:3.99 </v>
      </c>
      <c r="I65" t="str">
        <f t="shared" si="23"/>
        <v xml:space="preserve">409.96:2.13 </v>
      </c>
      <c r="K65" t="str">
        <f t="shared" si="25"/>
        <v/>
      </c>
      <c r="L65" t="str">
        <f t="shared" si="26"/>
        <v/>
      </c>
      <c r="M65" t="str">
        <f t="shared" si="27"/>
        <v/>
      </c>
      <c r="N65" t="str">
        <f t="shared" si="28"/>
        <v/>
      </c>
      <c r="O65" t="str">
        <f t="shared" si="29"/>
        <v xml:space="preserve">405.97:3.99 </v>
      </c>
      <c r="P65" t="str">
        <f t="shared" si="30"/>
        <v xml:space="preserve">409.96:2.13 </v>
      </c>
      <c r="Q65" t="str">
        <f t="shared" si="31"/>
        <v/>
      </c>
      <c r="R65" t="str">
        <f t="shared" si="32"/>
        <v/>
      </c>
      <c r="T65" s="102" t="str">
        <f>ChoiceCoding!AD27</f>
        <v>Avoid</v>
      </c>
      <c r="V65" t="str">
        <f t="shared" si="33"/>
        <v xml:space="preserve">405.97:3.99 </v>
      </c>
      <c r="W65" t="str">
        <f t="shared" si="33"/>
        <v xml:space="preserve">409.96:2.13 </v>
      </c>
      <c r="AP65" s="238" t="s">
        <v>90</v>
      </c>
      <c r="AQ65" s="239" t="s">
        <v>58</v>
      </c>
      <c r="AR65" s="240">
        <v>1</v>
      </c>
      <c r="AS65" s="240" t="s">
        <v>380</v>
      </c>
      <c r="AT65" s="241" t="str">
        <f t="shared" ref="AT65:AT94" si="34">_xlfn.CONCAT("echo ",AS5," &gt;&gt; ",AP$64,".",AS65)</f>
        <v>echo 377.95:4  &gt;&gt; XXXX.AppDec_local.txt</v>
      </c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233"/>
      <c r="BF65" s="44" t="s">
        <v>21</v>
      </c>
    </row>
    <row r="66" spans="1:98" x14ac:dyDescent="0.2">
      <c r="A66" s="149">
        <v>0.03</v>
      </c>
      <c r="B66" s="104">
        <v>26</v>
      </c>
      <c r="C66" s="2">
        <f>ROUND('Timing-Actual'!G69,2)</f>
        <v>420.97</v>
      </c>
      <c r="D66" s="2">
        <f>ROUND('Timing-Actual'!F69,2)</f>
        <v>4</v>
      </c>
      <c r="E66" s="2">
        <f>ROUND('Timing-Actual'!M69,2)</f>
        <v>424.97</v>
      </c>
      <c r="F66" s="2">
        <f>ROUND('Timing-Actual'!L69,2)</f>
        <v>2.02</v>
      </c>
      <c r="H66" t="str">
        <f t="shared" si="24"/>
        <v xml:space="preserve">420.97:4 </v>
      </c>
      <c r="I66" t="str">
        <f t="shared" si="23"/>
        <v xml:space="preserve">424.97:2.02 </v>
      </c>
      <c r="K66" t="str">
        <f t="shared" si="25"/>
        <v/>
      </c>
      <c r="L66" t="str">
        <f t="shared" si="26"/>
        <v/>
      </c>
      <c r="M66" t="str">
        <f t="shared" si="27"/>
        <v xml:space="preserve">420.97:4 </v>
      </c>
      <c r="N66" t="str">
        <f t="shared" si="28"/>
        <v xml:space="preserve">424.97:2.02 </v>
      </c>
      <c r="O66" t="str">
        <f t="shared" si="29"/>
        <v/>
      </c>
      <c r="P66" t="str">
        <f t="shared" si="30"/>
        <v/>
      </c>
      <c r="Q66" t="str">
        <f t="shared" si="31"/>
        <v/>
      </c>
      <c r="R66" t="str">
        <f t="shared" si="32"/>
        <v/>
      </c>
      <c r="T66" s="102" t="str">
        <f>ChoiceCoding!AD28</f>
        <v>Ambivalent</v>
      </c>
      <c r="V66" t="str">
        <f t="shared" si="33"/>
        <v xml:space="preserve">420.97:4 </v>
      </c>
      <c r="W66" t="str">
        <f t="shared" si="33"/>
        <v xml:space="preserve">424.97:2.02 </v>
      </c>
      <c r="AP66" s="242"/>
      <c r="AQ66" s="243"/>
      <c r="AR66" s="244">
        <v>2</v>
      </c>
      <c r="AS66" s="244" t="s">
        <v>380</v>
      </c>
      <c r="AT66" s="245" t="str">
        <f t="shared" si="34"/>
        <v>echo 377.97:4  &gt;&gt; XXXX.AppDec_local.txt</v>
      </c>
      <c r="BE66" s="62"/>
      <c r="BF66" s="44" t="s">
        <v>21</v>
      </c>
    </row>
    <row r="67" spans="1:98" ht="16" thickBot="1" x14ac:dyDescent="0.25">
      <c r="A67" s="148">
        <v>40</v>
      </c>
      <c r="B67" s="104">
        <v>27</v>
      </c>
      <c r="C67" s="2">
        <f>ROUND('Timing-Actual'!G70,2)</f>
        <v>437.96</v>
      </c>
      <c r="D67" s="2">
        <f>ROUND('Timing-Actual'!F70,2)</f>
        <v>4</v>
      </c>
      <c r="E67" s="2">
        <f>ROUND('Timing-Actual'!M70,2)</f>
        <v>441.97</v>
      </c>
      <c r="F67" s="2">
        <f>ROUND('Timing-Actual'!L70,2)</f>
        <v>2.2200000000000002</v>
      </c>
      <c r="H67" t="str">
        <f t="shared" si="24"/>
        <v xml:space="preserve">437.96:4 </v>
      </c>
      <c r="I67" t="str">
        <f t="shared" si="23"/>
        <v xml:space="preserve">441.97:2.22 </v>
      </c>
      <c r="K67" t="str">
        <f t="shared" si="25"/>
        <v/>
      </c>
      <c r="L67" t="str">
        <f t="shared" si="26"/>
        <v/>
      </c>
      <c r="M67" t="str">
        <f t="shared" si="27"/>
        <v/>
      </c>
      <c r="N67" t="str">
        <f t="shared" si="28"/>
        <v/>
      </c>
      <c r="O67" t="str">
        <f t="shared" si="29"/>
        <v xml:space="preserve">437.96:4 </v>
      </c>
      <c r="P67" t="str">
        <f t="shared" si="30"/>
        <v xml:space="preserve">441.97:2.22 </v>
      </c>
      <c r="Q67" t="str">
        <f t="shared" si="31"/>
        <v/>
      </c>
      <c r="R67" t="str">
        <f t="shared" si="32"/>
        <v/>
      </c>
      <c r="T67" s="102" t="str">
        <f>ChoiceCoding!AD29</f>
        <v>Avoid</v>
      </c>
      <c r="V67" t="str">
        <f t="shared" si="33"/>
        <v xml:space="preserve">437.96:4 </v>
      </c>
      <c r="W67" t="str">
        <f t="shared" si="33"/>
        <v xml:space="preserve">441.97:2.22 </v>
      </c>
      <c r="AP67" s="242"/>
      <c r="AQ67" s="243"/>
      <c r="AR67" s="244">
        <v>3</v>
      </c>
      <c r="AS67" s="244" t="s">
        <v>380</v>
      </c>
      <c r="AT67" s="245" t="str">
        <f t="shared" si="34"/>
        <v>echo 5.97:4 107.98:3.99 196.98:3.99  &gt;&gt; XXXX.AppDec_local.txt</v>
      </c>
      <c r="BE67" s="62"/>
      <c r="BF67" s="44" t="s">
        <v>21</v>
      </c>
    </row>
    <row r="68" spans="1:98" x14ac:dyDescent="0.2">
      <c r="A68" s="149">
        <v>0.05</v>
      </c>
      <c r="B68" s="104">
        <v>28</v>
      </c>
      <c r="C68" s="2">
        <f>ROUND('Timing-Actual'!G71,2)</f>
        <v>452.98</v>
      </c>
      <c r="D68" s="2">
        <f>ROUND('Timing-Actual'!F71,2)</f>
        <v>3.99</v>
      </c>
      <c r="E68" s="2">
        <f>ROUND('Timing-Actual'!M71,2)</f>
        <v>456.96</v>
      </c>
      <c r="F68" s="2">
        <f>ROUND('Timing-Actual'!L71,2)</f>
        <v>1.63</v>
      </c>
      <c r="H68" t="str">
        <f t="shared" ref="H68:H70" si="35">C68&amp;":"&amp;D68&amp;" "</f>
        <v xml:space="preserve">452.98:3.99 </v>
      </c>
      <c r="I68" t="str">
        <f t="shared" ref="I68:I70" si="36">E68&amp;":"&amp;F68&amp;" "</f>
        <v xml:space="preserve">456.96:1.63 </v>
      </c>
      <c r="K68" t="str">
        <f t="shared" ref="K68:K70" si="37">IF(T68="Approach",H68,"")</f>
        <v/>
      </c>
      <c r="L68" t="str">
        <f t="shared" ref="L68:L70" si="38">IF(T68="Approach",I68,"")</f>
        <v/>
      </c>
      <c r="M68" t="str">
        <f t="shared" ref="M68:M70" si="39">IF(T68="Ambivalent",H68,"")</f>
        <v xml:space="preserve">452.98:3.99 </v>
      </c>
      <c r="N68" t="str">
        <f t="shared" ref="N68:N70" si="40">IF(T68="Ambivalent",I68,"")</f>
        <v xml:space="preserve">456.96:1.63 </v>
      </c>
      <c r="O68" t="str">
        <f t="shared" ref="O68:O70" si="41">IF(T68="Avoid",H68,"")</f>
        <v/>
      </c>
      <c r="P68" t="str">
        <f t="shared" ref="P68:P70" si="42">IF(T68="Avoid",I68,"")</f>
        <v/>
      </c>
      <c r="Q68" t="str">
        <f t="shared" ref="Q68:Q70" si="43">IF(T68="Missing",H68,"")</f>
        <v/>
      </c>
      <c r="R68" t="str">
        <f t="shared" ref="R68:R70" si="44">IF(T68="Missing",I68,"")</f>
        <v/>
      </c>
      <c r="T68" s="102" t="str">
        <f>ChoiceCoding!AD30</f>
        <v>Ambivalent</v>
      </c>
      <c r="V68" t="str">
        <f t="shared" si="33"/>
        <v xml:space="preserve">452.98:3.99 </v>
      </c>
      <c r="W68" t="str">
        <f t="shared" si="33"/>
        <v xml:space="preserve">456.96:1.63 </v>
      </c>
      <c r="AP68" s="238" t="s">
        <v>90</v>
      </c>
      <c r="AQ68" s="239" t="s">
        <v>59</v>
      </c>
      <c r="AR68" s="240">
        <v>1</v>
      </c>
      <c r="AS68" s="240" t="s">
        <v>381</v>
      </c>
      <c r="AT68" s="241" t="str">
        <f t="shared" si="34"/>
        <v>echo 381.95:2.74  &gt;&gt; XXXX.AppInp_local.txt</v>
      </c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233"/>
      <c r="BF68" s="44" t="s">
        <v>21</v>
      </c>
    </row>
    <row r="69" spans="1:98" x14ac:dyDescent="0.2">
      <c r="A69" s="148">
        <v>60</v>
      </c>
      <c r="B69" s="104">
        <v>29</v>
      </c>
      <c r="C69" s="2">
        <f>ROUND('Timing-Actual'!G72,2)</f>
        <v>475.96</v>
      </c>
      <c r="D69" s="2">
        <f>ROUND('Timing-Actual'!F72,2)</f>
        <v>4</v>
      </c>
      <c r="E69" s="2">
        <f>ROUND('Timing-Actual'!M72,2)</f>
        <v>479.96</v>
      </c>
      <c r="F69" s="2">
        <f>ROUND('Timing-Actual'!L72,2)</f>
        <v>1.97</v>
      </c>
      <c r="H69" t="str">
        <f t="shared" si="35"/>
        <v xml:space="preserve">475.96:4 </v>
      </c>
      <c r="I69" t="str">
        <f t="shared" si="36"/>
        <v xml:space="preserve">479.96:1.97 </v>
      </c>
      <c r="K69" t="str">
        <f t="shared" si="37"/>
        <v/>
      </c>
      <c r="L69" t="str">
        <f t="shared" si="38"/>
        <v/>
      </c>
      <c r="M69" t="str">
        <f t="shared" si="39"/>
        <v/>
      </c>
      <c r="N69" t="str">
        <f t="shared" si="40"/>
        <v/>
      </c>
      <c r="O69" t="str">
        <f t="shared" si="41"/>
        <v xml:space="preserve">475.96:4 </v>
      </c>
      <c r="P69" t="str">
        <f t="shared" si="42"/>
        <v xml:space="preserve">479.96:1.97 </v>
      </c>
      <c r="Q69" t="str">
        <f t="shared" si="43"/>
        <v/>
      </c>
      <c r="R69" t="str">
        <f t="shared" si="44"/>
        <v/>
      </c>
      <c r="T69" s="102" t="str">
        <f>ChoiceCoding!AD31</f>
        <v>Avoid</v>
      </c>
      <c r="V69" t="str">
        <f t="shared" si="33"/>
        <v xml:space="preserve">475.96:4 </v>
      </c>
      <c r="W69" t="str">
        <f t="shared" si="33"/>
        <v xml:space="preserve">479.96:1.97 </v>
      </c>
      <c r="AP69" s="242"/>
      <c r="AQ69" s="243"/>
      <c r="AR69" s="244">
        <v>2</v>
      </c>
      <c r="AS69" s="244" t="s">
        <v>381</v>
      </c>
      <c r="AT69" s="245" t="str">
        <f t="shared" si="34"/>
        <v>echo 381.97:2.04  &gt;&gt; XXXX.AppInp_local.txt</v>
      </c>
      <c r="BE69" s="62"/>
      <c r="BF69" s="44" t="s">
        <v>21</v>
      </c>
    </row>
    <row r="70" spans="1:98" ht="16" thickBot="1" x14ac:dyDescent="0.25">
      <c r="A70" s="150">
        <v>5</v>
      </c>
      <c r="B70" s="104">
        <v>30</v>
      </c>
      <c r="C70" s="2">
        <f>ROUND('Timing-Actual'!G73,2)</f>
        <v>488.97</v>
      </c>
      <c r="D70" s="2">
        <f>ROUND('Timing-Actual'!F73,2)</f>
        <v>4</v>
      </c>
      <c r="E70" s="2">
        <f>ROUND('Timing-Actual'!M73,2)</f>
        <v>492.97</v>
      </c>
      <c r="F70" s="2">
        <f>ROUND('Timing-Actual'!L73,2)</f>
        <v>2.8</v>
      </c>
      <c r="H70" t="str">
        <f t="shared" si="35"/>
        <v xml:space="preserve">488.97:4 </v>
      </c>
      <c r="I70" t="str">
        <f t="shared" si="36"/>
        <v xml:space="preserve">492.97:2.8 </v>
      </c>
      <c r="K70" t="str">
        <f t="shared" si="37"/>
        <v/>
      </c>
      <c r="L70" t="str">
        <f t="shared" si="38"/>
        <v/>
      </c>
      <c r="M70" t="str">
        <f t="shared" si="39"/>
        <v xml:space="preserve">488.97:4 </v>
      </c>
      <c r="N70" t="str">
        <f t="shared" si="40"/>
        <v xml:space="preserve">492.97:2.8 </v>
      </c>
      <c r="O70" t="str">
        <f t="shared" si="41"/>
        <v/>
      </c>
      <c r="P70" t="str">
        <f t="shared" si="42"/>
        <v/>
      </c>
      <c r="Q70" t="str">
        <f t="shared" si="43"/>
        <v/>
      </c>
      <c r="R70" t="str">
        <f t="shared" si="44"/>
        <v/>
      </c>
      <c r="T70" s="102" t="str">
        <f>ChoiceCoding!AD32</f>
        <v>Ambivalent</v>
      </c>
      <c r="V70" t="str">
        <f>IF($T70&lt;&gt;"Missing",H70,"")</f>
        <v xml:space="preserve">488.97:4 </v>
      </c>
      <c r="W70" t="str">
        <f t="shared" si="33"/>
        <v xml:space="preserve">492.97:2.8 </v>
      </c>
      <c r="AP70" s="246"/>
      <c r="AQ70" s="247"/>
      <c r="AR70" s="248">
        <v>3</v>
      </c>
      <c r="AS70" s="248" t="s">
        <v>381</v>
      </c>
      <c r="AT70" s="249" t="str">
        <f t="shared" si="34"/>
        <v>echo 9.98:2.72 111.97:2.84 200.97:2.84  &gt;&gt; XXXX.AppInp_local.txt</v>
      </c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63"/>
      <c r="BF70" s="44" t="s">
        <v>21</v>
      </c>
    </row>
    <row r="71" spans="1:98" s="44" customFormat="1" x14ac:dyDescent="0.2">
      <c r="C71" s="95"/>
      <c r="D71" s="95"/>
      <c r="E71" s="95"/>
      <c r="F71" s="95"/>
      <c r="AP71" s="242" t="s">
        <v>91</v>
      </c>
      <c r="AQ71" s="243" t="s">
        <v>58</v>
      </c>
      <c r="AR71" s="244">
        <v>1</v>
      </c>
      <c r="AS71" s="244" t="s">
        <v>382</v>
      </c>
      <c r="AT71" s="245" t="str">
        <f t="shared" si="34"/>
        <v>echo 5.95:4 22.95:4 64.95:4 79.94:4 94.96:4 126.95:4 166.96:3.99 196.95:4 209.96:3.99 232.96:3.99 264.95:4 279.94:4 300.94:4 328.95:4 356.95:4 392.95:4 420.95:4 452.96:3.99 488.95:4  &gt;&gt; XXXX.AmbDec_local.txt</v>
      </c>
      <c r="AU71"/>
      <c r="AV71"/>
      <c r="AW71"/>
      <c r="AX71"/>
      <c r="AY71"/>
      <c r="AZ71"/>
      <c r="BA71"/>
      <c r="BB71"/>
      <c r="BC71"/>
      <c r="BD71"/>
      <c r="BE71" s="62"/>
      <c r="BF71" s="44" t="s">
        <v>21</v>
      </c>
      <c r="BG71" s="251"/>
      <c r="BH71" s="251"/>
      <c r="BI71" s="251"/>
      <c r="BJ71" s="251"/>
      <c r="BK71" s="251"/>
      <c r="BL71" s="251"/>
      <c r="BM71" s="251"/>
      <c r="BN71" s="251"/>
      <c r="BO71" s="251"/>
      <c r="BP71" s="251"/>
      <c r="BQ71" s="251"/>
      <c r="BR71" s="251"/>
      <c r="BS71" s="251"/>
      <c r="BT71" s="251"/>
      <c r="BU71" s="251"/>
      <c r="BV71" s="251"/>
      <c r="BW71" s="251"/>
      <c r="BX71" s="251"/>
      <c r="BY71" s="251"/>
      <c r="BZ71" s="251"/>
      <c r="CA71" s="251"/>
      <c r="CB71" s="251"/>
      <c r="CC71" s="251"/>
      <c r="CD71" s="251"/>
      <c r="CE71" s="25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</row>
    <row r="72" spans="1:98" x14ac:dyDescent="0.2">
      <c r="A72" s="74" t="s">
        <v>12</v>
      </c>
      <c r="B72" s="74"/>
      <c r="V72" s="224"/>
      <c r="W72" s="224"/>
      <c r="Y72" s="1" t="s">
        <v>98</v>
      </c>
      <c r="AP72" s="242"/>
      <c r="AQ72" s="243"/>
      <c r="AR72" s="244">
        <v>2</v>
      </c>
      <c r="AS72" s="244" t="s">
        <v>382</v>
      </c>
      <c r="AT72" s="245" t="str">
        <f t="shared" si="34"/>
        <v>echo 5.97:4 22.97:4 64.97:4 79.96:4 94.97:4 126.96:4 166.96:4 196.97:4 209.98:3.99 232.96:4 264.97:4 279.96:4 300.96:4 328.97:4 356.97:4 392.96:4 420.97:4 452.98:3.99 488.97:4  &gt;&gt; XXXX.AmbDec_local.txt</v>
      </c>
      <c r="BE72" s="62"/>
      <c r="BF72" s="44" t="s">
        <v>21</v>
      </c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</row>
    <row r="73" spans="1:98" ht="16" thickBot="1" x14ac:dyDescent="0.25">
      <c r="A73" s="42"/>
      <c r="B73" s="74"/>
      <c r="C73" s="96" t="s">
        <v>99</v>
      </c>
      <c r="F73" s="96"/>
      <c r="K73" s="97"/>
      <c r="L73" s="97"/>
      <c r="M73" s="97" t="s">
        <v>100</v>
      </c>
      <c r="N73" s="97"/>
      <c r="O73" s="97"/>
      <c r="AP73" s="242"/>
      <c r="AQ73" s="243"/>
      <c r="AR73" s="244">
        <v>3</v>
      </c>
      <c r="AS73" s="244" t="s">
        <v>382</v>
      </c>
      <c r="AT73" s="245" t="str">
        <f t="shared" si="34"/>
        <v>echo 22.97:4 64.98:3.99 79.98:4 94.97:4 126.98:4 166.98:4 209.98:4 232.98:4 264.98:3.99 279.98:4 300.98:4 313.97:4 328.98:3.99 343.98:4 356.97:4 377.97:4 392.98:4 405.97:4 420.98:3.99 452.98:4 488.97:4  &gt;&gt; XXXX.AmbDec_local.txt</v>
      </c>
      <c r="BE73" s="62"/>
      <c r="BF73" s="44" t="s">
        <v>21</v>
      </c>
    </row>
    <row r="74" spans="1:98" x14ac:dyDescent="0.2">
      <c r="A74" s="42"/>
      <c r="B74" s="74"/>
      <c r="C74" s="98" t="s">
        <v>58</v>
      </c>
      <c r="E74" s="98" t="s">
        <v>59</v>
      </c>
      <c r="H74" s="1" t="s">
        <v>58</v>
      </c>
      <c r="I74" s="1" t="s">
        <v>59</v>
      </c>
      <c r="K74" s="97" t="s">
        <v>90</v>
      </c>
      <c r="L74" s="97"/>
      <c r="M74" s="97" t="s">
        <v>91</v>
      </c>
      <c r="N74" s="97"/>
      <c r="O74" s="97" t="s">
        <v>92</v>
      </c>
      <c r="Q74" s="1" t="s">
        <v>93</v>
      </c>
      <c r="V74" s="225" t="s">
        <v>375</v>
      </c>
      <c r="W74" s="190"/>
      <c r="Y74" s="135"/>
      <c r="Z74" s="135"/>
      <c r="AA74" s="135"/>
      <c r="AB74" s="136" t="s">
        <v>12</v>
      </c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P74" s="238" t="s">
        <v>91</v>
      </c>
      <c r="AQ74" s="239" t="s">
        <v>59</v>
      </c>
      <c r="AR74" s="240">
        <v>1</v>
      </c>
      <c r="AS74" s="240" t="s">
        <v>383</v>
      </c>
      <c r="AT74" s="241" t="str">
        <f t="shared" si="34"/>
        <v>echo 9.96:4.82 26.95:3.74 68.95:2.59 83.95:4.92 98.96:3.72 130.95:2.99 170.95:2.38 200.95:2.29 213.94:3.32 236.95:2.39 268.95:2.83 283.95:1.8 304.95:2.05 332.95:2.52 360.96:1.48 396.95:1.97 424.95:2.34 456.94:2.04 492.96:4.55  &gt;&gt; XXXX.AmbInp_local.txt</v>
      </c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233"/>
      <c r="BF74" s="44" t="s">
        <v>21</v>
      </c>
    </row>
    <row r="75" spans="1:98" ht="16" thickBot="1" x14ac:dyDescent="0.25">
      <c r="A75" s="42"/>
      <c r="B75" s="74"/>
      <c r="C75" s="96" t="s">
        <v>102</v>
      </c>
      <c r="D75" s="96" t="s">
        <v>75</v>
      </c>
      <c r="E75" s="96" t="s">
        <v>102</v>
      </c>
      <c r="F75" s="96" t="s">
        <v>75</v>
      </c>
      <c r="K75" s="99" t="s">
        <v>58</v>
      </c>
      <c r="L75" s="99" t="s">
        <v>59</v>
      </c>
      <c r="M75" s="99" t="s">
        <v>58</v>
      </c>
      <c r="N75" s="99" t="s">
        <v>59</v>
      </c>
      <c r="O75" s="99" t="s">
        <v>58</v>
      </c>
      <c r="P75" s="99" t="s">
        <v>59</v>
      </c>
      <c r="Q75" s="99" t="s">
        <v>58</v>
      </c>
      <c r="R75" s="99" t="s">
        <v>59</v>
      </c>
      <c r="S75" s="100"/>
      <c r="T75" s="1" t="s">
        <v>80</v>
      </c>
      <c r="U75" s="100"/>
      <c r="V75" s="226" t="s">
        <v>58</v>
      </c>
      <c r="W75" s="226" t="s">
        <v>59</v>
      </c>
      <c r="X75" s="100"/>
      <c r="Y75" s="137" t="s">
        <v>90</v>
      </c>
      <c r="Z75" s="138" t="s">
        <v>58</v>
      </c>
      <c r="AA75" s="135">
        <v>1</v>
      </c>
      <c r="AB75" s="135" t="str">
        <f>CONCATENATE(K76,K77,K78,K79,K80,K81,K82,K83,K84,K85,K86,K87,K88,K89,K90,K91,K92,K93,K94,K95,K96,K97,K98,K99,K100,K101,K102,K103,K104,K105)</f>
        <v xml:space="preserve">5.97:4 107.98:3.99 196.98:3.99 </v>
      </c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P75" s="242"/>
      <c r="AQ75" s="243"/>
      <c r="AR75" s="244">
        <v>2</v>
      </c>
      <c r="AS75" s="244" t="s">
        <v>383</v>
      </c>
      <c r="AT75" s="245" t="str">
        <f t="shared" si="34"/>
        <v>echo 9.98:2.87 26.97:2.35 68.97:2.58 83.96:1.67 98.98:1.87 130.97:2.09 170.96:1.82 200.97:1.87 213.96:3.74 236.96:2.3 268.97:2.78 283.96:1.74 304.96:3.82 332.97:1.18 360.97:1.9 396.97:1.4 424.97:2.02 456.96:1.63 492.97:2.8  &gt;&gt; XXXX.AmbInp_local.txt</v>
      </c>
      <c r="BE75" s="62"/>
      <c r="BF75" s="44" t="s">
        <v>21</v>
      </c>
    </row>
    <row r="76" spans="1:98" ht="16" thickBot="1" x14ac:dyDescent="0.25">
      <c r="A76" s="151">
        <v>0</v>
      </c>
      <c r="B76" s="105">
        <v>1</v>
      </c>
      <c r="C76" s="2">
        <f>ROUND('Timing-Actual'!G80,2)</f>
        <v>5.97</v>
      </c>
      <c r="D76" s="2">
        <f>ROUND('Timing-Actual'!F80,2)</f>
        <v>4</v>
      </c>
      <c r="E76" s="2">
        <f>ROUND('Timing-Actual'!M80,2)</f>
        <v>9.98</v>
      </c>
      <c r="F76" s="2">
        <f>ROUND('Timing-Actual'!L80,2)</f>
        <v>2.72</v>
      </c>
      <c r="H76" t="str">
        <f>C76&amp;":"&amp;D76&amp;" "</f>
        <v xml:space="preserve">5.97:4 </v>
      </c>
      <c r="I76" t="str">
        <f t="shared" ref="I76:I102" si="45">E76&amp;":"&amp;F76&amp;" "</f>
        <v xml:space="preserve">9.98:2.72 </v>
      </c>
      <c r="K76" t="str">
        <f>IF(T76="Approach",H76,"")</f>
        <v xml:space="preserve">5.97:4 </v>
      </c>
      <c r="L76" t="str">
        <f>IF(T76="Approach",I76,"")</f>
        <v xml:space="preserve">9.98:2.72 </v>
      </c>
      <c r="M76" t="str">
        <f>IF(T76="Ambivalent",H76,"")</f>
        <v/>
      </c>
      <c r="N76" t="str">
        <f>IF(T76="Ambivalent",I76,"")</f>
        <v/>
      </c>
      <c r="O76" t="str">
        <f>IF(T76="Avoid",H76,"")</f>
        <v/>
      </c>
      <c r="P76" t="str">
        <f>IF(T76="Avoid",I76,"")</f>
        <v/>
      </c>
      <c r="Q76" t="str">
        <f>IF(T76="Missing",H76,"")</f>
        <v/>
      </c>
      <c r="R76" t="str">
        <f>IF(T76="Missing",I76,"")</f>
        <v/>
      </c>
      <c r="T76" s="102" t="str">
        <f>ChoiceCoding!AE3</f>
        <v>Approach</v>
      </c>
      <c r="V76" t="str">
        <f>IF($T76&lt;&gt;"Missing",H76,"")</f>
        <v xml:space="preserve">5.97:4 </v>
      </c>
      <c r="W76" t="str">
        <f>IF($T76&lt;&gt;"Missing",I76,"")</f>
        <v xml:space="preserve">9.98:2.72 </v>
      </c>
      <c r="Y76" s="137"/>
      <c r="Z76" s="138" t="s">
        <v>59</v>
      </c>
      <c r="AA76" s="135">
        <v>2</v>
      </c>
      <c r="AB76" s="135" t="str">
        <f>CONCATENATE(L76,L77,L78,L79,L80,L81,L82,L83,L84,L85,L86,L87,L88,L89,L90,L91,L92,L93,L94,L95,L96,L97,L98,L99,L100,L101,L102,L103,L104,L105)</f>
        <v xml:space="preserve">9.98:2.72 111.97:2.84 200.97:2.84 </v>
      </c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P76" s="242"/>
      <c r="AQ76" s="243"/>
      <c r="AR76" s="244">
        <v>3</v>
      </c>
      <c r="AS76" s="244" t="s">
        <v>383</v>
      </c>
      <c r="AT76" s="245" t="str">
        <f t="shared" si="34"/>
        <v>echo 26.97:1.15 68.97:1.97 83.98:2.52 98.98:1.79 130.98:2.89 170.98:2.6 213.98:1.75 236.98:2.4 268.97:1.48 283.98:2.25 304.98:1.77 317.97:1.85 332.97:2.74 347.98:1.83 360.97:3.54 381.97:1.58 396.98:2.48 409.98:1.77 424.97:1.78 456.98:5.34 492.97:1.67  &gt;&gt; XXXX.AmbInp_local.txt</v>
      </c>
      <c r="BE76" s="62"/>
      <c r="BF76" s="44" t="s">
        <v>21</v>
      </c>
    </row>
    <row r="77" spans="1:98" x14ac:dyDescent="0.2">
      <c r="A77" s="152">
        <v>7</v>
      </c>
      <c r="B77" s="105">
        <v>2</v>
      </c>
      <c r="C77" s="2">
        <f>ROUND('Timing-Actual'!G81,2)</f>
        <v>22.97</v>
      </c>
      <c r="D77" s="2">
        <f>ROUND('Timing-Actual'!F81,2)</f>
        <v>4</v>
      </c>
      <c r="E77" s="2">
        <f>ROUND('Timing-Actual'!M81,2)</f>
        <v>26.97</v>
      </c>
      <c r="F77" s="2">
        <f>ROUND('Timing-Actual'!L81,2)</f>
        <v>1.1499999999999999</v>
      </c>
      <c r="H77" t="str">
        <f t="shared" ref="H77:H102" si="46">C77&amp;":"&amp;D77&amp;" "</f>
        <v xml:space="preserve">22.97:4 </v>
      </c>
      <c r="I77" t="str">
        <f t="shared" si="45"/>
        <v xml:space="preserve">26.97:1.15 </v>
      </c>
      <c r="K77" t="str">
        <f t="shared" ref="K77:K105" si="47">IF(T77="Approach",H77,"")</f>
        <v/>
      </c>
      <c r="L77" t="str">
        <f t="shared" ref="L77:L105" si="48">IF(T77="Approach",I77,"")</f>
        <v/>
      </c>
      <c r="M77" t="str">
        <f t="shared" ref="M77:M105" si="49">IF(T77="Ambivalent",H77,"")</f>
        <v xml:space="preserve">22.97:4 </v>
      </c>
      <c r="N77" t="str">
        <f t="shared" ref="N77:N105" si="50">IF(T77="Ambivalent",I77,"")</f>
        <v xml:space="preserve">26.97:1.15 </v>
      </c>
      <c r="O77" t="str">
        <f t="shared" ref="O77:O105" si="51">IF(T77="Avoid",H77,"")</f>
        <v/>
      </c>
      <c r="P77" t="str">
        <f t="shared" ref="P77:P105" si="52">IF(T77="Avoid",I77,"")</f>
        <v/>
      </c>
      <c r="Q77" t="str">
        <f t="shared" ref="Q77:Q102" si="53">IF(T77="Missing",H77,"")</f>
        <v/>
      </c>
      <c r="R77" t="str">
        <f t="shared" ref="R77:R102" si="54">IF(T77="Missing",I77,"")</f>
        <v/>
      </c>
      <c r="T77" s="102" t="str">
        <f>ChoiceCoding!AE4</f>
        <v>Ambivalent</v>
      </c>
      <c r="V77" t="str">
        <f t="shared" ref="V77:W105" si="55">IF($T77&lt;&gt;"Missing",H77,"")</f>
        <v xml:space="preserve">22.97:4 </v>
      </c>
      <c r="W77" t="str">
        <f t="shared" si="55"/>
        <v xml:space="preserve">26.97:1.15 </v>
      </c>
      <c r="Y77" s="137" t="s">
        <v>91</v>
      </c>
      <c r="Z77" s="138" t="s">
        <v>58</v>
      </c>
      <c r="AA77" s="135">
        <v>3</v>
      </c>
      <c r="AB77" s="135" t="str">
        <f>CONCATENATE(M76,M77,M78,M79,M80,M81,M82,M83,M84,M85,M86,M87,M88,M89,M90,M91,M92,M93,M94,M95,M96,M97,M98,M99,M100,M101,M102,M103,M104,M105)</f>
        <v xml:space="preserve">22.97:4 64.98:3.99 79.98:4 94.97:4 126.98:4 166.98:4 209.98:4 232.98:4 264.98:3.99 279.98:4 300.98:4 313.97:4 328.98:3.99 343.98:4 356.97:4 377.97:4 392.98:4 405.97:4 420.98:3.99 452.98:4 488.97:4 </v>
      </c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P77" s="238" t="s">
        <v>92</v>
      </c>
      <c r="AQ77" s="239" t="s">
        <v>58</v>
      </c>
      <c r="AR77" s="240">
        <v>1</v>
      </c>
      <c r="AS77" s="240" t="s">
        <v>384</v>
      </c>
      <c r="AT77" s="241" t="str">
        <f t="shared" si="34"/>
        <v>echo 45.95:4 107.95:4 145.94:4 181.95:4 247.95:4 313.95:4 343.96:3.99 405.96:4 437.95:4 475.96:3.99  &gt;&gt; XXXX.AvoDec_local.txt</v>
      </c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233"/>
      <c r="BF77" s="44" t="s">
        <v>21</v>
      </c>
    </row>
    <row r="78" spans="1:98" x14ac:dyDescent="0.2">
      <c r="A78" s="153">
        <v>60</v>
      </c>
      <c r="B78" s="105">
        <v>3</v>
      </c>
      <c r="C78" s="2">
        <f>ROUND('Timing-Actual'!G82,2)</f>
        <v>45.97</v>
      </c>
      <c r="D78" s="2">
        <f>ROUND('Timing-Actual'!F82,2)</f>
        <v>4</v>
      </c>
      <c r="E78" s="2">
        <f>ROUND('Timing-Actual'!M82,2)</f>
        <v>49.97</v>
      </c>
      <c r="F78" s="2">
        <f>ROUND('Timing-Actual'!L82,2)</f>
        <v>2.27</v>
      </c>
      <c r="H78" t="str">
        <f t="shared" si="46"/>
        <v xml:space="preserve">45.97:4 </v>
      </c>
      <c r="I78" t="str">
        <f t="shared" si="45"/>
        <v xml:space="preserve">49.97:2.27 </v>
      </c>
      <c r="K78" t="str">
        <f t="shared" si="47"/>
        <v/>
      </c>
      <c r="L78" t="str">
        <f t="shared" si="48"/>
        <v/>
      </c>
      <c r="M78" t="str">
        <f t="shared" si="49"/>
        <v/>
      </c>
      <c r="N78" t="str">
        <f t="shared" si="50"/>
        <v/>
      </c>
      <c r="O78" t="str">
        <f t="shared" si="51"/>
        <v xml:space="preserve">45.97:4 </v>
      </c>
      <c r="P78" t="str">
        <f t="shared" si="52"/>
        <v xml:space="preserve">49.97:2.27 </v>
      </c>
      <c r="Q78" t="str">
        <f t="shared" si="53"/>
        <v/>
      </c>
      <c r="R78" t="str">
        <f t="shared" si="54"/>
        <v/>
      </c>
      <c r="T78" s="102" t="str">
        <f>ChoiceCoding!AE5</f>
        <v>Avoid</v>
      </c>
      <c r="V78" t="str">
        <f t="shared" si="55"/>
        <v xml:space="preserve">45.97:4 </v>
      </c>
      <c r="W78" t="str">
        <f t="shared" si="55"/>
        <v xml:space="preserve">49.97:2.27 </v>
      </c>
      <c r="Y78" s="137"/>
      <c r="Z78" s="138" t="s">
        <v>59</v>
      </c>
      <c r="AA78" s="135">
        <v>4</v>
      </c>
      <c r="AB78" s="135" t="str">
        <f>CONCATENATE(N76,N77,N78,N79,N80,N81,N82,N83,N84,N85,N86,N87,N88,N89,N90,N91,N92,N93,N94,N95,N96,N97,N98,N99,N100,N101,N102,N103,N104,N105)</f>
        <v xml:space="preserve">26.97:1.15 68.97:1.97 83.98:2.52 98.98:1.79 130.98:2.89 170.98:2.6 213.98:1.75 236.98:2.4 268.97:1.48 283.98:2.25 304.98:1.77 317.97:1.85 332.97:2.74 347.98:1.83 360.97:3.54 381.97:1.58 396.98:2.48 409.98:1.77 424.97:1.78 456.98:5.34 492.97:1.67 </v>
      </c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P78" s="242"/>
      <c r="AQ78" s="243"/>
      <c r="AR78" s="244">
        <v>2</v>
      </c>
      <c r="AS78" s="244" t="s">
        <v>384</v>
      </c>
      <c r="AT78" s="245" t="str">
        <f t="shared" si="34"/>
        <v>echo 45.97:4 107.97:4 145.96:4 181.97:4 247.97:4 313.97:4 343.96:4 405.97:3.99 437.96:4 475.96:4  &gt;&gt; XXXX.AvoDec_local.txt</v>
      </c>
      <c r="BE78" s="62"/>
      <c r="BF78" s="44" t="s">
        <v>21</v>
      </c>
    </row>
    <row r="79" spans="1:98" ht="16" thickBot="1" x14ac:dyDescent="0.25">
      <c r="A79" s="154">
        <v>0.02</v>
      </c>
      <c r="B79" s="105">
        <v>4</v>
      </c>
      <c r="C79" s="2">
        <f>ROUND('Timing-Actual'!G83,2)</f>
        <v>64.98</v>
      </c>
      <c r="D79" s="2">
        <f>ROUND('Timing-Actual'!F83,2)</f>
        <v>3.99</v>
      </c>
      <c r="E79" s="2">
        <f>ROUND('Timing-Actual'!M83,2)</f>
        <v>68.97</v>
      </c>
      <c r="F79" s="2">
        <f>ROUND('Timing-Actual'!L83,2)</f>
        <v>1.97</v>
      </c>
      <c r="H79" t="str">
        <f t="shared" si="46"/>
        <v xml:space="preserve">64.98:3.99 </v>
      </c>
      <c r="I79" t="str">
        <f t="shared" si="45"/>
        <v xml:space="preserve">68.97:1.97 </v>
      </c>
      <c r="K79" t="str">
        <f t="shared" si="47"/>
        <v/>
      </c>
      <c r="L79" t="str">
        <f t="shared" si="48"/>
        <v/>
      </c>
      <c r="M79" t="str">
        <f t="shared" si="49"/>
        <v xml:space="preserve">64.98:3.99 </v>
      </c>
      <c r="N79" t="str">
        <f t="shared" si="50"/>
        <v xml:space="preserve">68.97:1.97 </v>
      </c>
      <c r="O79" t="str">
        <f t="shared" si="51"/>
        <v/>
      </c>
      <c r="P79" t="str">
        <f t="shared" si="52"/>
        <v/>
      </c>
      <c r="Q79" t="str">
        <f t="shared" si="53"/>
        <v/>
      </c>
      <c r="R79" t="str">
        <f t="shared" si="54"/>
        <v/>
      </c>
      <c r="T79" s="102" t="str">
        <f>ChoiceCoding!AE6</f>
        <v>Ambivalent</v>
      </c>
      <c r="V79" t="str">
        <f t="shared" si="55"/>
        <v xml:space="preserve">64.98:3.99 </v>
      </c>
      <c r="W79" t="str">
        <f t="shared" si="55"/>
        <v xml:space="preserve">68.97:1.97 </v>
      </c>
      <c r="Y79" s="137" t="s">
        <v>92</v>
      </c>
      <c r="Z79" s="138" t="s">
        <v>58</v>
      </c>
      <c r="AA79" s="135">
        <v>5</v>
      </c>
      <c r="AB79" s="135" t="str">
        <f>CONCATENATE(O76,O77,O78,O79,O80,O81,O82,O83,O84,O85,O86,O87,O88,O89,O90,O91,O92,O93,O94,O95,O96,O97,O98,O99,O100,O101,O102,O103,O104,O105)</f>
        <v xml:space="preserve">45.97:4 145.98:4 181.97:4 247.97:4 437.98:4 475.98:4 </v>
      </c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P79" s="242"/>
      <c r="AQ79" s="243"/>
      <c r="AR79" s="244">
        <v>3</v>
      </c>
      <c r="AS79" s="244" t="s">
        <v>384</v>
      </c>
      <c r="AT79" s="245" t="str">
        <f t="shared" si="34"/>
        <v>echo 45.97:4 145.98:4 181.97:4 247.97:4 437.98:4 475.98:4  &gt;&gt; XXXX.AvoDec_local.txt</v>
      </c>
      <c r="BE79" s="62"/>
      <c r="BF79" s="44" t="s">
        <v>21</v>
      </c>
    </row>
    <row r="80" spans="1:98" x14ac:dyDescent="0.2">
      <c r="A80" s="152">
        <v>15</v>
      </c>
      <c r="B80" s="105">
        <v>5</v>
      </c>
      <c r="C80" s="2">
        <f>ROUND('Timing-Actual'!G84,2)</f>
        <v>79.98</v>
      </c>
      <c r="D80" s="2">
        <f>ROUND('Timing-Actual'!F84,2)</f>
        <v>4</v>
      </c>
      <c r="E80" s="2">
        <f>ROUND('Timing-Actual'!M84,2)</f>
        <v>83.98</v>
      </c>
      <c r="F80" s="2">
        <f>ROUND('Timing-Actual'!L84,2)</f>
        <v>2.52</v>
      </c>
      <c r="H80" t="str">
        <f t="shared" si="46"/>
        <v xml:space="preserve">79.98:4 </v>
      </c>
      <c r="I80" t="str">
        <f t="shared" si="45"/>
        <v xml:space="preserve">83.98:2.52 </v>
      </c>
      <c r="K80" t="str">
        <f t="shared" si="47"/>
        <v/>
      </c>
      <c r="L80" t="str">
        <f t="shared" si="48"/>
        <v/>
      </c>
      <c r="M80" t="str">
        <f t="shared" si="49"/>
        <v xml:space="preserve">79.98:4 </v>
      </c>
      <c r="N80" t="str">
        <f t="shared" si="50"/>
        <v xml:space="preserve">83.98:2.52 </v>
      </c>
      <c r="O80" t="str">
        <f t="shared" si="51"/>
        <v/>
      </c>
      <c r="P80" t="str">
        <f t="shared" si="52"/>
        <v/>
      </c>
      <c r="Q80" t="str">
        <f t="shared" si="53"/>
        <v/>
      </c>
      <c r="R80" t="str">
        <f t="shared" si="54"/>
        <v/>
      </c>
      <c r="T80" s="102" t="str">
        <f>ChoiceCoding!AE7</f>
        <v>Ambivalent</v>
      </c>
      <c r="V80" t="str">
        <f t="shared" si="55"/>
        <v xml:space="preserve">79.98:4 </v>
      </c>
      <c r="W80" t="str">
        <f t="shared" si="55"/>
        <v xml:space="preserve">83.98:2.52 </v>
      </c>
      <c r="Y80" s="139"/>
      <c r="Z80" s="138" t="s">
        <v>59</v>
      </c>
      <c r="AA80" s="135">
        <v>6</v>
      </c>
      <c r="AB80" s="135" t="str">
        <f>CONCATENATE(P76,P77,P78,P79,P80,P81,P82,P83,P84,P85,P86,P87,P88,P89,P90,P91,P92,P93,P94,P95,P96,P97,P98,P99,P100,P101,P102,P103,P104,P105)</f>
        <v xml:space="preserve">49.97:2.27 149.98:2.33 185.97:2.48 251.97:2.07 441.98:2.3 479.98:2.4 </v>
      </c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P80" s="238" t="s">
        <v>92</v>
      </c>
      <c r="AQ80" s="239" t="s">
        <v>59</v>
      </c>
      <c r="AR80" s="240">
        <v>1</v>
      </c>
      <c r="AS80" s="240" t="s">
        <v>385</v>
      </c>
      <c r="AT80" s="241" t="str">
        <f t="shared" si="34"/>
        <v>echo 49.95:3.87 111.95:3.69 149.95:3.37 185.96:3.54 251.96:3.74 317.96:2.8 347.95:2.47 409.96:2.92 441.95:2.72 479.95:2.62  &gt;&gt; XXXX.AvoInp_local.txt</v>
      </c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233"/>
      <c r="BF80" s="44" t="s">
        <v>21</v>
      </c>
    </row>
    <row r="81" spans="1:58" x14ac:dyDescent="0.2">
      <c r="A81" s="154">
        <v>0.03</v>
      </c>
      <c r="B81" s="105">
        <v>6</v>
      </c>
      <c r="C81" s="2">
        <f>ROUND('Timing-Actual'!G85,2)</f>
        <v>94.97</v>
      </c>
      <c r="D81" s="2">
        <f>ROUND('Timing-Actual'!F85,2)</f>
        <v>4</v>
      </c>
      <c r="E81" s="2">
        <f>ROUND('Timing-Actual'!M85,2)</f>
        <v>98.98</v>
      </c>
      <c r="F81" s="2">
        <f>ROUND('Timing-Actual'!L85,2)</f>
        <v>1.79</v>
      </c>
      <c r="H81" t="str">
        <f t="shared" si="46"/>
        <v xml:space="preserve">94.97:4 </v>
      </c>
      <c r="I81" t="str">
        <f t="shared" si="45"/>
        <v xml:space="preserve">98.98:1.79 </v>
      </c>
      <c r="K81" t="str">
        <f t="shared" si="47"/>
        <v/>
      </c>
      <c r="L81" t="str">
        <f t="shared" si="48"/>
        <v/>
      </c>
      <c r="M81" t="str">
        <f t="shared" si="49"/>
        <v xml:space="preserve">94.97:4 </v>
      </c>
      <c r="N81" t="str">
        <f t="shared" si="50"/>
        <v xml:space="preserve">98.98:1.79 </v>
      </c>
      <c r="O81" t="str">
        <f t="shared" si="51"/>
        <v/>
      </c>
      <c r="P81" t="str">
        <f t="shared" si="52"/>
        <v/>
      </c>
      <c r="Q81" t="str">
        <f t="shared" si="53"/>
        <v/>
      </c>
      <c r="R81" t="str">
        <f t="shared" si="54"/>
        <v/>
      </c>
      <c r="T81" s="102" t="str">
        <f>ChoiceCoding!AE8</f>
        <v>Ambivalent</v>
      </c>
      <c r="V81" t="str">
        <f t="shared" si="55"/>
        <v xml:space="preserve">94.97:4 </v>
      </c>
      <c r="W81" t="str">
        <f t="shared" si="55"/>
        <v xml:space="preserve">98.98:1.79 </v>
      </c>
      <c r="Y81" s="137" t="s">
        <v>93</v>
      </c>
      <c r="Z81" s="138" t="s">
        <v>58</v>
      </c>
      <c r="AA81" s="135">
        <v>7</v>
      </c>
      <c r="AB81" s="135" t="str">
        <f>CONCATENATE(Q76,Q77,Q78,Q79,Q80,Q81,Q82,Q83,Q84,Q85,Q86,Q87,Q88,Q89,Q90,Q91,Q92,Q93,Q94,Q95,Q96,Q97,Q98,Q99,Q100,Q101,Q102,Q103,Q104,Q105)</f>
        <v/>
      </c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P81" s="242"/>
      <c r="AQ81" s="243"/>
      <c r="AR81" s="244">
        <v>2</v>
      </c>
      <c r="AS81" s="244" t="s">
        <v>385</v>
      </c>
      <c r="AT81" s="245" t="str">
        <f t="shared" si="34"/>
        <v>echo 49.97:2.57 111.97:3.94 149.96:2.32 185.97:2.29 251.97:2.2 317.97:2.49 347.96:2.15 409.96:2.13 441.97:2.22 479.96:1.97  &gt;&gt; XXXX.AvoInp_local.txt</v>
      </c>
      <c r="BE81" s="62"/>
      <c r="BF81" s="44" t="s">
        <v>21</v>
      </c>
    </row>
    <row r="82" spans="1:58" ht="16" thickBot="1" x14ac:dyDescent="0.25">
      <c r="A82" s="154">
        <v>0</v>
      </c>
      <c r="B82" s="105">
        <v>7</v>
      </c>
      <c r="C82" s="2">
        <f>ROUND('Timing-Actual'!G86,2)</f>
        <v>107.98</v>
      </c>
      <c r="D82" s="2">
        <f>ROUND('Timing-Actual'!F86,2)</f>
        <v>3.99</v>
      </c>
      <c r="E82" s="2">
        <f>ROUND('Timing-Actual'!M86,2)</f>
        <v>111.97</v>
      </c>
      <c r="F82" s="2">
        <f>ROUND('Timing-Actual'!L86,2)</f>
        <v>2.84</v>
      </c>
      <c r="H82" t="str">
        <f t="shared" si="46"/>
        <v xml:space="preserve">107.98:3.99 </v>
      </c>
      <c r="I82" t="str">
        <f t="shared" si="45"/>
        <v xml:space="preserve">111.97:2.84 </v>
      </c>
      <c r="K82" t="str">
        <f t="shared" si="47"/>
        <v xml:space="preserve">107.98:3.99 </v>
      </c>
      <c r="L82" t="str">
        <f t="shared" si="48"/>
        <v xml:space="preserve">111.97:2.84 </v>
      </c>
      <c r="M82" t="str">
        <f t="shared" si="49"/>
        <v/>
      </c>
      <c r="N82" t="str">
        <f t="shared" si="50"/>
        <v/>
      </c>
      <c r="O82" t="str">
        <f t="shared" si="51"/>
        <v/>
      </c>
      <c r="P82" t="str">
        <f t="shared" si="52"/>
        <v/>
      </c>
      <c r="Q82" t="str">
        <f t="shared" si="53"/>
        <v/>
      </c>
      <c r="R82" t="str">
        <f t="shared" si="54"/>
        <v/>
      </c>
      <c r="T82" s="102" t="str">
        <f>ChoiceCoding!AE9</f>
        <v>Approach</v>
      </c>
      <c r="V82" t="str">
        <f t="shared" si="55"/>
        <v xml:space="preserve">107.98:3.99 </v>
      </c>
      <c r="W82" t="str">
        <f t="shared" si="55"/>
        <v xml:space="preserve">111.97:2.84 </v>
      </c>
      <c r="Y82" s="139"/>
      <c r="Z82" s="138" t="s">
        <v>59</v>
      </c>
      <c r="AA82" s="135">
        <v>8</v>
      </c>
      <c r="AB82" s="135" t="str">
        <f>CONCATENATE(R76,R77,R78,R79,R80,R81,R82,R83,R84,R85,R86,R87,R88,R89,R90,R91,R92,R93,R94,R95,R96,R97,R98,R99,R100,R101,R102,R103,R104,R105)</f>
        <v/>
      </c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P82" s="242"/>
      <c r="AQ82" s="243"/>
      <c r="AR82" s="244">
        <v>3</v>
      </c>
      <c r="AS82" s="244" t="s">
        <v>385</v>
      </c>
      <c r="AT82" s="245" t="str">
        <f t="shared" si="34"/>
        <v>echo 49.97:2.27 149.98:2.33 185.97:2.48 251.97:2.07 441.98:2.3 479.98:2.4  &gt;&gt; XXXX.AvoInp_local.txt</v>
      </c>
      <c r="BE82" s="62"/>
      <c r="BF82" s="44" t="s">
        <v>21</v>
      </c>
    </row>
    <row r="83" spans="1:58" x14ac:dyDescent="0.2">
      <c r="A83" s="152">
        <v>11</v>
      </c>
      <c r="B83" s="105">
        <v>8</v>
      </c>
      <c r="C83" s="2">
        <f>ROUND('Timing-Actual'!G87,2)</f>
        <v>126.98</v>
      </c>
      <c r="D83" s="2">
        <f>ROUND('Timing-Actual'!F87,2)</f>
        <v>4</v>
      </c>
      <c r="E83" s="2">
        <f>ROUND('Timing-Actual'!M87,2)</f>
        <v>130.97999999999999</v>
      </c>
      <c r="F83" s="2">
        <f>ROUND('Timing-Actual'!L87,2)</f>
        <v>2.89</v>
      </c>
      <c r="H83" t="str">
        <f t="shared" si="46"/>
        <v xml:space="preserve">126.98:4 </v>
      </c>
      <c r="I83" t="str">
        <f t="shared" si="45"/>
        <v xml:space="preserve">130.98:2.89 </v>
      </c>
      <c r="K83" t="str">
        <f t="shared" si="47"/>
        <v/>
      </c>
      <c r="L83" t="str">
        <f t="shared" si="48"/>
        <v/>
      </c>
      <c r="M83" t="str">
        <f t="shared" si="49"/>
        <v xml:space="preserve">126.98:4 </v>
      </c>
      <c r="N83" t="str">
        <f t="shared" si="50"/>
        <v xml:space="preserve">130.98:2.89 </v>
      </c>
      <c r="O83" t="str">
        <f t="shared" si="51"/>
        <v/>
      </c>
      <c r="P83" t="str">
        <f t="shared" si="52"/>
        <v/>
      </c>
      <c r="Q83" t="str">
        <f t="shared" si="53"/>
        <v/>
      </c>
      <c r="R83" t="str">
        <f t="shared" si="54"/>
        <v/>
      </c>
      <c r="T83" s="102" t="str">
        <f>ChoiceCoding!AE10</f>
        <v>Ambivalent</v>
      </c>
      <c r="V83" t="str">
        <f t="shared" si="55"/>
        <v xml:space="preserve">126.98:4 </v>
      </c>
      <c r="W83" t="str">
        <f t="shared" si="55"/>
        <v xml:space="preserve">130.98:2.89 </v>
      </c>
      <c r="AP83" s="238" t="s">
        <v>93</v>
      </c>
      <c r="AQ83" s="239" t="s">
        <v>58</v>
      </c>
      <c r="AR83" s="240">
        <v>1</v>
      </c>
      <c r="AS83" s="240" t="s">
        <v>386</v>
      </c>
      <c r="AT83" s="241" t="str">
        <f t="shared" si="34"/>
        <v>echo 9999:9999 &gt;&gt; XXXX.MisDec_local.txt</v>
      </c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233"/>
      <c r="BF83" s="44" t="s">
        <v>21</v>
      </c>
    </row>
    <row r="84" spans="1:58" x14ac:dyDescent="0.2">
      <c r="A84" s="153">
        <v>70</v>
      </c>
      <c r="B84" s="105">
        <v>9</v>
      </c>
      <c r="C84" s="2">
        <f>ROUND('Timing-Actual'!G88,2)</f>
        <v>145.97999999999999</v>
      </c>
      <c r="D84" s="2">
        <f>ROUND('Timing-Actual'!F88,2)</f>
        <v>4</v>
      </c>
      <c r="E84" s="2">
        <f>ROUND('Timing-Actual'!M88,2)</f>
        <v>149.97999999999999</v>
      </c>
      <c r="F84" s="2">
        <f>ROUND('Timing-Actual'!L88,2)</f>
        <v>2.33</v>
      </c>
      <c r="H84" t="str">
        <f t="shared" si="46"/>
        <v xml:space="preserve">145.98:4 </v>
      </c>
      <c r="I84" t="str">
        <f t="shared" si="45"/>
        <v xml:space="preserve">149.98:2.33 </v>
      </c>
      <c r="K84" t="str">
        <f t="shared" si="47"/>
        <v/>
      </c>
      <c r="L84" t="str">
        <f t="shared" si="48"/>
        <v/>
      </c>
      <c r="M84" t="str">
        <f t="shared" si="49"/>
        <v/>
      </c>
      <c r="N84" t="str">
        <f t="shared" si="50"/>
        <v/>
      </c>
      <c r="O84" t="str">
        <f t="shared" si="51"/>
        <v xml:space="preserve">145.98:4 </v>
      </c>
      <c r="P84" t="str">
        <f t="shared" si="52"/>
        <v xml:space="preserve">149.98:2.33 </v>
      </c>
      <c r="Q84" t="str">
        <f t="shared" si="53"/>
        <v/>
      </c>
      <c r="R84" t="str">
        <f t="shared" si="54"/>
        <v/>
      </c>
      <c r="T84" s="102" t="str">
        <f>ChoiceCoding!AE11</f>
        <v>Avoid</v>
      </c>
      <c r="V84" t="str">
        <f t="shared" si="55"/>
        <v xml:space="preserve">145.98:4 </v>
      </c>
      <c r="W84" t="str">
        <f t="shared" si="55"/>
        <v xml:space="preserve">149.98:2.33 </v>
      </c>
      <c r="Y84" s="256" t="s">
        <v>395</v>
      </c>
      <c r="Z84" s="257" t="s">
        <v>58</v>
      </c>
      <c r="AA84" s="52"/>
      <c r="AB84" s="52" t="str">
        <f>_xlfn.CONCAT(V76,V77,V78,V79,V80,V81,V82,V83,V84,V85,V86,V87,V88,V89,V90,V91,V92,V93,V94,V95,V96,V97,V98,V99,V100,V101,V102,V103,V104,V105)</f>
        <v xml:space="preserve">5.97:4 22.97:4 45.97:4 64.98:3.99 79.98:4 94.97:4 107.98:3.99 126.98:4 145.98:4 166.98:4 181.97:4 196.98:3.99 209.98:4 232.98:4 247.97:4 264.98:3.99 279.98:4 300.98:4 313.97:4 328.98:3.99 343.98:4 356.97:4 377.97:4 392.98:4 405.97:4 420.98:3.99 437.98:4 452.98:4 475.98:4 488.97:4 </v>
      </c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P84" s="242"/>
      <c r="AQ84" s="243"/>
      <c r="AR84" s="244">
        <v>2</v>
      </c>
      <c r="AS84" s="244" t="s">
        <v>386</v>
      </c>
      <c r="AT84" s="245" t="str">
        <f t="shared" si="34"/>
        <v>echo 9999:9999 &gt;&gt; XXXX.MisDec_local.txt</v>
      </c>
      <c r="BE84" s="62"/>
      <c r="BF84" s="44" t="s">
        <v>21</v>
      </c>
    </row>
    <row r="85" spans="1:58" ht="16" thickBot="1" x14ac:dyDescent="0.25">
      <c r="A85" s="154">
        <v>0.04</v>
      </c>
      <c r="B85" s="105">
        <v>10</v>
      </c>
      <c r="C85" s="2">
        <f>ROUND('Timing-Actual'!G89,2)</f>
        <v>166.98</v>
      </c>
      <c r="D85" s="2">
        <f>ROUND('Timing-Actual'!F89,2)</f>
        <v>4</v>
      </c>
      <c r="E85" s="2">
        <f>ROUND('Timing-Actual'!M89,2)</f>
        <v>170.98</v>
      </c>
      <c r="F85" s="2">
        <f>ROUND('Timing-Actual'!L89,2)</f>
        <v>2.6</v>
      </c>
      <c r="H85" t="str">
        <f t="shared" si="46"/>
        <v xml:space="preserve">166.98:4 </v>
      </c>
      <c r="I85" t="str">
        <f t="shared" si="45"/>
        <v xml:space="preserve">170.98:2.6 </v>
      </c>
      <c r="K85" t="str">
        <f t="shared" si="47"/>
        <v/>
      </c>
      <c r="L85" t="str">
        <f t="shared" si="48"/>
        <v/>
      </c>
      <c r="M85" t="str">
        <f t="shared" si="49"/>
        <v xml:space="preserve">166.98:4 </v>
      </c>
      <c r="N85" t="str">
        <f t="shared" si="50"/>
        <v xml:space="preserve">170.98:2.6 </v>
      </c>
      <c r="O85" t="str">
        <f t="shared" si="51"/>
        <v/>
      </c>
      <c r="P85" t="str">
        <f t="shared" si="52"/>
        <v/>
      </c>
      <c r="Q85" t="str">
        <f t="shared" si="53"/>
        <v/>
      </c>
      <c r="R85" t="str">
        <f t="shared" si="54"/>
        <v/>
      </c>
      <c r="T85" s="102" t="str">
        <f>ChoiceCoding!AE12</f>
        <v>Ambivalent</v>
      </c>
      <c r="V85" t="str">
        <f t="shared" si="55"/>
        <v xml:space="preserve">166.98:4 </v>
      </c>
      <c r="W85" t="str">
        <f t="shared" si="55"/>
        <v xml:space="preserve">170.98:2.6 </v>
      </c>
      <c r="Y85" s="52"/>
      <c r="Z85" s="257" t="s">
        <v>59</v>
      </c>
      <c r="AA85" s="52"/>
      <c r="AB85" s="52" t="str">
        <f>_xlfn.CONCAT(W76,W77,W78,W79,W80,W81,W82,W83,W84,W85,W86,W87,W88,W89,W90,W91,W92,W93,W94,W95,W96,W97,W98,W99,W100,W101,W102,W103,W104,W105)</f>
        <v xml:space="preserve">9.98:2.72 26.97:1.15 49.97:2.27 68.97:1.97 83.98:2.52 98.98:1.79 111.97:2.84 130.98:2.89 149.98:2.33 170.98:2.6 185.97:2.48 200.97:2.84 213.98:1.75 236.98:2.4 251.97:2.07 268.97:1.48 283.98:2.25 304.98:1.77 317.97:1.85 332.97:2.74 347.98:1.83 360.97:3.54 381.97:1.58 396.98:2.48 409.98:1.77 424.97:1.78 441.98:2.3 456.98:5.34 479.98:2.4 492.97:1.67 </v>
      </c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P85" s="242"/>
      <c r="AQ85" s="243"/>
      <c r="AR85" s="244">
        <v>3</v>
      </c>
      <c r="AS85" s="244" t="s">
        <v>386</v>
      </c>
      <c r="AT85" s="245" t="str">
        <f t="shared" si="34"/>
        <v>echo 9999:9999 &gt;&gt; XXXX.MisDec_local.txt</v>
      </c>
      <c r="BE85" s="62"/>
      <c r="BF85" s="44" t="s">
        <v>21</v>
      </c>
    </row>
    <row r="86" spans="1:58" x14ac:dyDescent="0.2">
      <c r="A86" s="153">
        <v>60</v>
      </c>
      <c r="B86" s="105">
        <v>11</v>
      </c>
      <c r="C86" s="2">
        <f>ROUND('Timing-Actual'!G90,2)</f>
        <v>181.97</v>
      </c>
      <c r="D86" s="2">
        <f>ROUND('Timing-Actual'!F90,2)</f>
        <v>4</v>
      </c>
      <c r="E86" s="2">
        <f>ROUND('Timing-Actual'!M90,2)</f>
        <v>185.97</v>
      </c>
      <c r="F86" s="2">
        <f>ROUND('Timing-Actual'!L90,2)</f>
        <v>2.48</v>
      </c>
      <c r="H86" t="str">
        <f t="shared" si="46"/>
        <v xml:space="preserve">181.97:4 </v>
      </c>
      <c r="I86" t="str">
        <f t="shared" si="45"/>
        <v xml:space="preserve">185.97:2.48 </v>
      </c>
      <c r="K86" t="str">
        <f t="shared" si="47"/>
        <v/>
      </c>
      <c r="L86" t="str">
        <f t="shared" si="48"/>
        <v/>
      </c>
      <c r="M86" t="str">
        <f t="shared" si="49"/>
        <v/>
      </c>
      <c r="N86" t="str">
        <f t="shared" si="50"/>
        <v/>
      </c>
      <c r="O86" t="str">
        <f t="shared" si="51"/>
        <v xml:space="preserve">181.97:4 </v>
      </c>
      <c r="P86" t="str">
        <f t="shared" si="52"/>
        <v xml:space="preserve">185.97:2.48 </v>
      </c>
      <c r="Q86" t="str">
        <f t="shared" si="53"/>
        <v/>
      </c>
      <c r="R86" t="str">
        <f t="shared" si="54"/>
        <v/>
      </c>
      <c r="T86" s="102" t="str">
        <f>ChoiceCoding!AE13</f>
        <v>Avoid</v>
      </c>
      <c r="V86" t="str">
        <f t="shared" si="55"/>
        <v xml:space="preserve">181.97:4 </v>
      </c>
      <c r="W86" t="str">
        <f t="shared" si="55"/>
        <v xml:space="preserve">185.97:2.48 </v>
      </c>
      <c r="AP86" s="238" t="s">
        <v>93</v>
      </c>
      <c r="AQ86" s="239" t="s">
        <v>59</v>
      </c>
      <c r="AR86" s="240">
        <v>1</v>
      </c>
      <c r="AS86" s="240" t="s">
        <v>387</v>
      </c>
      <c r="AT86" s="241" t="str">
        <f t="shared" si="34"/>
        <v>echo 9999:9999 &gt;&gt; XXXX.MisInp_local.txt</v>
      </c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233"/>
      <c r="BF86" s="44" t="s">
        <v>21</v>
      </c>
    </row>
    <row r="87" spans="1:58" x14ac:dyDescent="0.2">
      <c r="A87" s="154">
        <v>0</v>
      </c>
      <c r="B87" s="105">
        <v>12</v>
      </c>
      <c r="C87" s="2">
        <f>ROUND('Timing-Actual'!G91,2)</f>
        <v>196.98</v>
      </c>
      <c r="D87" s="2">
        <f>ROUND('Timing-Actual'!F91,2)</f>
        <v>3.99</v>
      </c>
      <c r="E87" s="2">
        <f>ROUND('Timing-Actual'!M91,2)</f>
        <v>200.97</v>
      </c>
      <c r="F87" s="2">
        <f>ROUND('Timing-Actual'!L91,2)</f>
        <v>2.84</v>
      </c>
      <c r="H87" t="str">
        <f t="shared" si="46"/>
        <v xml:space="preserve">196.98:3.99 </v>
      </c>
      <c r="I87" t="str">
        <f t="shared" si="45"/>
        <v xml:space="preserve">200.97:2.84 </v>
      </c>
      <c r="K87" t="str">
        <f t="shared" si="47"/>
        <v xml:space="preserve">196.98:3.99 </v>
      </c>
      <c r="L87" t="str">
        <f t="shared" si="48"/>
        <v xml:space="preserve">200.97:2.84 </v>
      </c>
      <c r="M87" t="str">
        <f t="shared" si="49"/>
        <v/>
      </c>
      <c r="N87" t="str">
        <f t="shared" si="50"/>
        <v/>
      </c>
      <c r="O87" t="str">
        <f t="shared" si="51"/>
        <v/>
      </c>
      <c r="P87" t="str">
        <f t="shared" si="52"/>
        <v/>
      </c>
      <c r="Q87" t="str">
        <f t="shared" si="53"/>
        <v/>
      </c>
      <c r="R87" t="str">
        <f t="shared" si="54"/>
        <v/>
      </c>
      <c r="T87" s="102" t="str">
        <f>ChoiceCoding!AE14</f>
        <v>Approach</v>
      </c>
      <c r="V87" t="str">
        <f t="shared" si="55"/>
        <v xml:space="preserve">196.98:3.99 </v>
      </c>
      <c r="W87" t="str">
        <f t="shared" si="55"/>
        <v xml:space="preserve">200.97:2.84 </v>
      </c>
      <c r="AP87" s="242"/>
      <c r="AQ87" s="243"/>
      <c r="AR87" s="244">
        <v>2</v>
      </c>
      <c r="AS87" s="244" t="s">
        <v>387</v>
      </c>
      <c r="AT87" s="245" t="str">
        <f t="shared" si="34"/>
        <v>echo 9999:9999 &gt;&gt; XXXX.MisInp_local.txt</v>
      </c>
      <c r="BE87" s="62"/>
      <c r="BF87" s="44" t="s">
        <v>21</v>
      </c>
    </row>
    <row r="88" spans="1:58" ht="16" thickBot="1" x14ac:dyDescent="0.25">
      <c r="A88" s="152">
        <v>5</v>
      </c>
      <c r="B88" s="105">
        <v>13</v>
      </c>
      <c r="C88" s="2">
        <f>ROUND('Timing-Actual'!G92,2)</f>
        <v>209.98</v>
      </c>
      <c r="D88" s="2">
        <f>ROUND('Timing-Actual'!F92,2)</f>
        <v>4</v>
      </c>
      <c r="E88" s="2">
        <f>ROUND('Timing-Actual'!M92,2)</f>
        <v>213.98</v>
      </c>
      <c r="F88" s="2">
        <f>ROUND('Timing-Actual'!L92,2)</f>
        <v>1.75</v>
      </c>
      <c r="H88" t="str">
        <f t="shared" si="46"/>
        <v xml:space="preserve">209.98:4 </v>
      </c>
      <c r="I88" t="str">
        <f t="shared" si="45"/>
        <v xml:space="preserve">213.98:1.75 </v>
      </c>
      <c r="K88" t="str">
        <f t="shared" si="47"/>
        <v/>
      </c>
      <c r="L88" t="str">
        <f t="shared" si="48"/>
        <v/>
      </c>
      <c r="M88" t="str">
        <f t="shared" si="49"/>
        <v xml:space="preserve">209.98:4 </v>
      </c>
      <c r="N88" t="str">
        <f t="shared" si="50"/>
        <v xml:space="preserve">213.98:1.75 </v>
      </c>
      <c r="O88" t="str">
        <f t="shared" si="51"/>
        <v/>
      </c>
      <c r="P88" t="str">
        <f t="shared" si="52"/>
        <v/>
      </c>
      <c r="Q88" t="str">
        <f t="shared" si="53"/>
        <v/>
      </c>
      <c r="R88" t="str">
        <f t="shared" si="54"/>
        <v/>
      </c>
      <c r="T88" s="102" t="str">
        <f>ChoiceCoding!AE15</f>
        <v>Ambivalent</v>
      </c>
      <c r="V88" t="str">
        <f t="shared" si="55"/>
        <v xml:space="preserve">209.98:4 </v>
      </c>
      <c r="W88" t="str">
        <f t="shared" si="55"/>
        <v xml:space="preserve">213.98:1.75 </v>
      </c>
      <c r="AP88" s="242"/>
      <c r="AQ88" s="243"/>
      <c r="AR88" s="244">
        <v>3</v>
      </c>
      <c r="AS88" s="244" t="s">
        <v>387</v>
      </c>
      <c r="AT88" s="245" t="str">
        <f t="shared" si="34"/>
        <v>echo 9999:9999 &gt;&gt; XXXX.MisInp_local.txt</v>
      </c>
      <c r="BE88" s="62"/>
      <c r="BF88" s="44" t="s">
        <v>21</v>
      </c>
    </row>
    <row r="89" spans="1:58" x14ac:dyDescent="0.2">
      <c r="A89" s="154">
        <v>0.05</v>
      </c>
      <c r="B89" s="105">
        <v>14</v>
      </c>
      <c r="C89" s="2">
        <f>ROUND('Timing-Actual'!G93,2)</f>
        <v>232.98</v>
      </c>
      <c r="D89" s="2">
        <f>ROUND('Timing-Actual'!F93,2)</f>
        <v>4</v>
      </c>
      <c r="E89" s="2">
        <f>ROUND('Timing-Actual'!M93,2)</f>
        <v>236.98</v>
      </c>
      <c r="F89" s="2">
        <f>ROUND('Timing-Actual'!L93,2)</f>
        <v>2.4</v>
      </c>
      <c r="H89" t="str">
        <f t="shared" si="46"/>
        <v xml:space="preserve">232.98:4 </v>
      </c>
      <c r="I89" t="str">
        <f t="shared" si="45"/>
        <v xml:space="preserve">236.98:2.4 </v>
      </c>
      <c r="K89" t="str">
        <f t="shared" si="47"/>
        <v/>
      </c>
      <c r="L89" t="str">
        <f t="shared" si="48"/>
        <v/>
      </c>
      <c r="M89" t="str">
        <f t="shared" si="49"/>
        <v xml:space="preserve">232.98:4 </v>
      </c>
      <c r="N89" t="str">
        <f t="shared" si="50"/>
        <v xml:space="preserve">236.98:2.4 </v>
      </c>
      <c r="O89" t="str">
        <f t="shared" si="51"/>
        <v/>
      </c>
      <c r="P89" t="str">
        <f t="shared" si="52"/>
        <v/>
      </c>
      <c r="Q89" t="str">
        <f t="shared" si="53"/>
        <v/>
      </c>
      <c r="R89" t="str">
        <f t="shared" si="54"/>
        <v/>
      </c>
      <c r="T89" s="102" t="str">
        <f>ChoiceCoding!AE16</f>
        <v>Ambivalent</v>
      </c>
      <c r="V89" t="str">
        <f t="shared" si="55"/>
        <v xml:space="preserve">232.98:4 </v>
      </c>
      <c r="W89" t="str">
        <f t="shared" si="55"/>
        <v xml:space="preserve">236.98:2.4 </v>
      </c>
      <c r="AP89" s="238" t="s">
        <v>375</v>
      </c>
      <c r="AQ89" s="239" t="s">
        <v>58</v>
      </c>
      <c r="AR89" s="240">
        <v>1</v>
      </c>
      <c r="AS89" s="240" t="s">
        <v>388</v>
      </c>
      <c r="AT89" s="241" t="str">
        <f t="shared" si="34"/>
        <v>echo 5.95:4 22.95:4 45.95:4 64.95:4 79.94:4 94.96:4 107.95:4 126.95:4 145.94:4 166.96:3.99 181.95:4 196.95:4 209.96:3.99 232.96:3.99 247.95:4 264.95:4 279.94:4 300.94:4 313.95:4 328.95:4 343.96:3.99 356.95:4 377.95:4 392.95:4 405.96:4 420.95:4 437.95:4 452.96:3.99 475.96:3.99 488.95:4  &gt;&gt; XXXX.AllChoiceDec_local.txt</v>
      </c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233"/>
      <c r="BF89" s="44" t="s">
        <v>21</v>
      </c>
    </row>
    <row r="90" spans="1:58" x14ac:dyDescent="0.2">
      <c r="A90" s="153">
        <v>50</v>
      </c>
      <c r="B90" s="105">
        <v>15</v>
      </c>
      <c r="C90" s="2">
        <f>ROUND('Timing-Actual'!G94,2)</f>
        <v>247.97</v>
      </c>
      <c r="D90" s="2">
        <f>ROUND('Timing-Actual'!F94,2)</f>
        <v>4</v>
      </c>
      <c r="E90" s="2">
        <f>ROUND('Timing-Actual'!M94,2)</f>
        <v>251.97</v>
      </c>
      <c r="F90" s="2">
        <f>ROUND('Timing-Actual'!L94,2)</f>
        <v>2.0699999999999998</v>
      </c>
      <c r="H90" t="str">
        <f t="shared" si="46"/>
        <v xml:space="preserve">247.97:4 </v>
      </c>
      <c r="I90" t="str">
        <f t="shared" si="45"/>
        <v xml:space="preserve">251.97:2.07 </v>
      </c>
      <c r="K90" t="str">
        <f t="shared" si="47"/>
        <v/>
      </c>
      <c r="L90" t="str">
        <f t="shared" si="48"/>
        <v/>
      </c>
      <c r="M90" t="str">
        <f t="shared" si="49"/>
        <v/>
      </c>
      <c r="N90" t="str">
        <f t="shared" si="50"/>
        <v/>
      </c>
      <c r="O90" t="str">
        <f t="shared" si="51"/>
        <v xml:space="preserve">247.97:4 </v>
      </c>
      <c r="P90" t="str">
        <f t="shared" si="52"/>
        <v xml:space="preserve">251.97:2.07 </v>
      </c>
      <c r="Q90" t="str">
        <f t="shared" si="53"/>
        <v/>
      </c>
      <c r="R90" t="str">
        <f t="shared" si="54"/>
        <v/>
      </c>
      <c r="T90" s="102" t="str">
        <f>ChoiceCoding!AE17</f>
        <v>Avoid</v>
      </c>
      <c r="V90" t="str">
        <f t="shared" si="55"/>
        <v xml:space="preserve">247.97:4 </v>
      </c>
      <c r="W90" t="str">
        <f t="shared" si="55"/>
        <v xml:space="preserve">251.97:2.07 </v>
      </c>
      <c r="AP90" s="242"/>
      <c r="AQ90" s="243"/>
      <c r="AR90" s="244">
        <v>2</v>
      </c>
      <c r="AS90" s="244" t="s">
        <v>388</v>
      </c>
      <c r="AT90" s="245" t="str">
        <f t="shared" si="34"/>
        <v>echo 5.97:4 22.97:4 45.97:4 64.97:4 79.96:4 94.97:4 107.97:4 126.96:4 145.96:4 166.96:4 181.97:4 196.97:4 209.98:3.99 232.96:4 247.97:4 264.97:4 279.96:4 300.96:4 313.97:4 328.97:4 343.96:4 356.97:4 377.97:4 392.96:4 405.97:3.99 420.97:4 437.96:4 452.98:3.99 475.96:4 488.97:4  &gt;&gt; XXXX.AllChoiceDec_local.txt</v>
      </c>
      <c r="BE90" s="62"/>
      <c r="BF90" s="44" t="s">
        <v>21</v>
      </c>
    </row>
    <row r="91" spans="1:58" ht="16" thickBot="1" x14ac:dyDescent="0.25">
      <c r="A91" s="152">
        <v>11</v>
      </c>
      <c r="B91" s="105">
        <v>16</v>
      </c>
      <c r="C91" s="2">
        <f>ROUND('Timing-Actual'!G95,2)</f>
        <v>264.98</v>
      </c>
      <c r="D91" s="2">
        <f>ROUND('Timing-Actual'!F95,2)</f>
        <v>3.99</v>
      </c>
      <c r="E91" s="2">
        <f>ROUND('Timing-Actual'!M95,2)</f>
        <v>268.97000000000003</v>
      </c>
      <c r="F91" s="2">
        <f>ROUND('Timing-Actual'!L95,2)</f>
        <v>1.48</v>
      </c>
      <c r="H91" t="str">
        <f t="shared" si="46"/>
        <v xml:space="preserve">264.98:3.99 </v>
      </c>
      <c r="I91" t="str">
        <f t="shared" si="45"/>
        <v xml:space="preserve">268.97:1.48 </v>
      </c>
      <c r="K91" t="str">
        <f t="shared" si="47"/>
        <v/>
      </c>
      <c r="L91" t="str">
        <f t="shared" si="48"/>
        <v/>
      </c>
      <c r="M91" t="str">
        <f t="shared" si="49"/>
        <v xml:space="preserve">264.98:3.99 </v>
      </c>
      <c r="N91" t="str">
        <f t="shared" si="50"/>
        <v xml:space="preserve">268.97:1.48 </v>
      </c>
      <c r="O91" t="str">
        <f t="shared" si="51"/>
        <v/>
      </c>
      <c r="P91" t="str">
        <f t="shared" si="52"/>
        <v/>
      </c>
      <c r="Q91" t="str">
        <f t="shared" si="53"/>
        <v/>
      </c>
      <c r="R91" t="str">
        <f t="shared" si="54"/>
        <v/>
      </c>
      <c r="T91" s="102" t="str">
        <f>ChoiceCoding!AE18</f>
        <v>Ambivalent</v>
      </c>
      <c r="V91" t="str">
        <f t="shared" si="55"/>
        <v xml:space="preserve">264.98:3.99 </v>
      </c>
      <c r="W91" t="str">
        <f t="shared" si="55"/>
        <v xml:space="preserve">268.97:1.48 </v>
      </c>
      <c r="AP91" s="242"/>
      <c r="AQ91" s="243"/>
      <c r="AR91" s="244">
        <v>3</v>
      </c>
      <c r="AS91" s="244" t="s">
        <v>388</v>
      </c>
      <c r="AT91" s="245" t="str">
        <f t="shared" si="34"/>
        <v>echo 5.97:4 22.97:4 45.97:4 64.98:3.99 79.98:4 94.97:4 107.98:3.99 126.98:4 145.98:4 166.98:4 181.97:4 196.98:3.99 209.98:4 232.98:4 247.97:4 264.98:3.99 279.98:4 300.98:4 313.97:4 328.98:3.99 343.98:4 356.97:4 377.97:4 392.98:4 405.97:4 420.98:3.99 437.98:4 452.98:4 475.98:4 488.97:4  &gt;&gt; XXXX.AllChoiceDec_local.txt</v>
      </c>
      <c r="BE91" s="62"/>
      <c r="BF91" s="44" t="s">
        <v>21</v>
      </c>
    </row>
    <row r="92" spans="1:58" x14ac:dyDescent="0.2">
      <c r="A92" s="154">
        <v>0.03</v>
      </c>
      <c r="B92" s="105">
        <v>17</v>
      </c>
      <c r="C92" s="2">
        <f>ROUND('Timing-Actual'!G96,2)</f>
        <v>279.98</v>
      </c>
      <c r="D92" s="2">
        <f>ROUND('Timing-Actual'!F96,2)</f>
        <v>4</v>
      </c>
      <c r="E92" s="2">
        <f>ROUND('Timing-Actual'!M96,2)</f>
        <v>283.98</v>
      </c>
      <c r="F92" s="2">
        <f>ROUND('Timing-Actual'!L96,2)</f>
        <v>2.25</v>
      </c>
      <c r="H92" t="str">
        <f t="shared" si="46"/>
        <v xml:space="preserve">279.98:4 </v>
      </c>
      <c r="I92" t="str">
        <f t="shared" si="45"/>
        <v xml:space="preserve">283.98:2.25 </v>
      </c>
      <c r="K92" t="str">
        <f t="shared" si="47"/>
        <v/>
      </c>
      <c r="L92" t="str">
        <f t="shared" si="48"/>
        <v/>
      </c>
      <c r="M92" t="str">
        <f t="shared" si="49"/>
        <v xml:space="preserve">279.98:4 </v>
      </c>
      <c r="N92" t="str">
        <f t="shared" si="50"/>
        <v xml:space="preserve">283.98:2.25 </v>
      </c>
      <c r="O92" t="str">
        <f t="shared" si="51"/>
        <v/>
      </c>
      <c r="P92" t="str">
        <f t="shared" si="52"/>
        <v/>
      </c>
      <c r="Q92" t="str">
        <f t="shared" si="53"/>
        <v/>
      </c>
      <c r="R92" t="str">
        <f t="shared" si="54"/>
        <v/>
      </c>
      <c r="T92" s="102" t="str">
        <f>ChoiceCoding!AE19</f>
        <v>Ambivalent</v>
      </c>
      <c r="V92" t="str">
        <f t="shared" si="55"/>
        <v xml:space="preserve">279.98:4 </v>
      </c>
      <c r="W92" t="str">
        <f t="shared" si="55"/>
        <v xml:space="preserve">283.98:2.25 </v>
      </c>
      <c r="AP92" s="238" t="s">
        <v>375</v>
      </c>
      <c r="AQ92" s="239" t="s">
        <v>59</v>
      </c>
      <c r="AR92" s="240">
        <v>1</v>
      </c>
      <c r="AS92" s="240" t="s">
        <v>389</v>
      </c>
      <c r="AT92" s="241" t="str">
        <f t="shared" si="34"/>
        <v>echo 9.96:4.82 26.95:3.74 49.95:3.87 68.95:2.59 83.95:4.92 98.96:3.72 111.95:3.69 130.95:2.99 149.95:3.37 170.95:2.38 185.96:3.54 200.95:2.29 213.94:3.32 236.95:2.39 251.96:3.74 268.95:2.83 283.95:1.8 304.95:2.05 317.96:2.8 332.95:2.52 347.95:2.47 360.96:1.48 381.95:2.74 396.95:1.97 409.96:2.92 424.95:2.34 441.95:2.72 456.94:2.04 479.95:2.62 492.96:4.55  &gt;&gt; XXXX.AllChoiceInp_local.txt</v>
      </c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233"/>
      <c r="BF92" s="44" t="s">
        <v>21</v>
      </c>
    </row>
    <row r="93" spans="1:58" x14ac:dyDescent="0.2">
      <c r="A93" s="154">
        <v>0.01</v>
      </c>
      <c r="B93" s="105">
        <v>18</v>
      </c>
      <c r="C93" s="2">
        <f>ROUND('Timing-Actual'!G97,2)</f>
        <v>300.98</v>
      </c>
      <c r="D93" s="2">
        <f>ROUND('Timing-Actual'!F97,2)</f>
        <v>4</v>
      </c>
      <c r="E93" s="2">
        <f>ROUND('Timing-Actual'!M97,2)</f>
        <v>304.98</v>
      </c>
      <c r="F93" s="2">
        <f>ROUND('Timing-Actual'!L97,2)</f>
        <v>1.77</v>
      </c>
      <c r="H93" t="str">
        <f t="shared" si="46"/>
        <v xml:space="preserve">300.98:4 </v>
      </c>
      <c r="I93" t="str">
        <f t="shared" si="45"/>
        <v xml:space="preserve">304.98:1.77 </v>
      </c>
      <c r="K93" t="str">
        <f t="shared" si="47"/>
        <v/>
      </c>
      <c r="L93" t="str">
        <f t="shared" si="48"/>
        <v/>
      </c>
      <c r="M93" t="str">
        <f t="shared" si="49"/>
        <v xml:space="preserve">300.98:4 </v>
      </c>
      <c r="N93" t="str">
        <f t="shared" si="50"/>
        <v xml:space="preserve">304.98:1.77 </v>
      </c>
      <c r="O93" t="str">
        <f t="shared" si="51"/>
        <v/>
      </c>
      <c r="P93" t="str">
        <f t="shared" si="52"/>
        <v/>
      </c>
      <c r="Q93" t="str">
        <f t="shared" si="53"/>
        <v/>
      </c>
      <c r="R93" t="str">
        <f t="shared" si="54"/>
        <v/>
      </c>
      <c r="T93" s="102" t="str">
        <f>ChoiceCoding!AE20</f>
        <v>Ambivalent</v>
      </c>
      <c r="V93" t="str">
        <f t="shared" si="55"/>
        <v xml:space="preserve">300.98:4 </v>
      </c>
      <c r="W93" t="str">
        <f t="shared" si="55"/>
        <v xml:space="preserve">304.98:1.77 </v>
      </c>
      <c r="AP93" s="242"/>
      <c r="AQ93" s="243"/>
      <c r="AR93" s="244">
        <v>2</v>
      </c>
      <c r="AS93" s="244" t="s">
        <v>389</v>
      </c>
      <c r="AT93" s="245" t="str">
        <f t="shared" si="34"/>
        <v>echo 9.98:2.87 26.97:2.35 49.97:2.57 68.97:2.58 83.96:1.67 98.98:1.87 111.97:3.94 130.97:2.09 149.96:2.32 170.96:1.82 185.97:2.29 200.97:1.87 213.96:3.74 236.96:2.3 251.97:2.2 268.97:2.78 283.96:1.74 304.96:3.82 317.97:2.49 332.97:1.18 347.96:2.15 360.97:1.9 381.97:2.04 396.97:1.4 409.96:2.13 424.97:2.02 441.97:2.22 456.96:1.63 479.96:1.97 492.97:2.8  &gt;&gt; XXXX.AllChoiceInp_local.txt</v>
      </c>
      <c r="BE93" s="62"/>
      <c r="BF93" s="44" t="s">
        <v>21</v>
      </c>
    </row>
    <row r="94" spans="1:58" x14ac:dyDescent="0.2">
      <c r="A94" s="154">
        <v>0.02</v>
      </c>
      <c r="B94" s="105">
        <v>19</v>
      </c>
      <c r="C94" s="2">
        <f>ROUND('Timing-Actual'!G98,2)</f>
        <v>313.97000000000003</v>
      </c>
      <c r="D94" s="2">
        <f>ROUND('Timing-Actual'!F98,2)</f>
        <v>4</v>
      </c>
      <c r="E94" s="2">
        <f>ROUND('Timing-Actual'!M98,2)</f>
        <v>317.97000000000003</v>
      </c>
      <c r="F94" s="2">
        <f>ROUND('Timing-Actual'!L98,2)</f>
        <v>1.85</v>
      </c>
      <c r="H94" t="str">
        <f t="shared" si="46"/>
        <v xml:space="preserve">313.97:4 </v>
      </c>
      <c r="I94" t="str">
        <f t="shared" si="45"/>
        <v xml:space="preserve">317.97:1.85 </v>
      </c>
      <c r="K94" t="str">
        <f t="shared" si="47"/>
        <v/>
      </c>
      <c r="L94" t="str">
        <f t="shared" si="48"/>
        <v/>
      </c>
      <c r="M94" t="str">
        <f t="shared" si="49"/>
        <v xml:space="preserve">313.97:4 </v>
      </c>
      <c r="N94" t="str">
        <f t="shared" si="50"/>
        <v xml:space="preserve">317.97:1.85 </v>
      </c>
      <c r="O94" t="str">
        <f t="shared" si="51"/>
        <v/>
      </c>
      <c r="P94" t="str">
        <f t="shared" si="52"/>
        <v/>
      </c>
      <c r="Q94" t="str">
        <f t="shared" si="53"/>
        <v/>
      </c>
      <c r="R94" t="str">
        <f t="shared" si="54"/>
        <v/>
      </c>
      <c r="T94" s="102" t="str">
        <f>ChoiceCoding!AE21</f>
        <v>Ambivalent</v>
      </c>
      <c r="V94" t="str">
        <f t="shared" si="55"/>
        <v xml:space="preserve">313.97:4 </v>
      </c>
      <c r="W94" t="str">
        <f t="shared" si="55"/>
        <v xml:space="preserve">317.97:1.85 </v>
      </c>
      <c r="AP94" s="242"/>
      <c r="AQ94" s="243"/>
      <c r="AR94" s="244">
        <v>3</v>
      </c>
      <c r="AS94" s="244" t="s">
        <v>389</v>
      </c>
      <c r="AT94" s="245" t="str">
        <f t="shared" si="34"/>
        <v>echo 9.98:2.72 26.97:1.15 49.97:2.27 68.97:1.97 83.98:2.52 98.98:1.79 111.97:2.84 130.98:2.89 149.98:2.33 170.98:2.6 185.97:2.48 200.97:2.84 213.98:1.75 236.98:2.4 251.97:2.07 268.97:1.48 283.98:2.25 304.98:1.77 317.97:1.85 332.97:2.74 347.98:1.83 360.97:3.54 381.97:1.58 396.98:2.48 409.98:1.77 424.97:1.78 441.98:2.3 456.98:5.34 479.98:2.4 492.97:1.67  &gt;&gt; XXXX.AllChoiceInp_local.txt</v>
      </c>
      <c r="BE94" s="62"/>
      <c r="BF94" s="44" t="s">
        <v>390</v>
      </c>
    </row>
    <row r="95" spans="1:58" x14ac:dyDescent="0.2">
      <c r="A95" s="152">
        <v>15</v>
      </c>
      <c r="B95" s="105">
        <v>20</v>
      </c>
      <c r="C95" s="2">
        <f>ROUND('Timing-Actual'!G99,2)</f>
        <v>328.98</v>
      </c>
      <c r="D95" s="2">
        <f>ROUND('Timing-Actual'!F99,2)</f>
        <v>3.99</v>
      </c>
      <c r="E95" s="2">
        <f>ROUND('Timing-Actual'!M99,2)</f>
        <v>332.97</v>
      </c>
      <c r="F95" s="2">
        <f>ROUND('Timing-Actual'!L99,2)</f>
        <v>2.74</v>
      </c>
      <c r="H95" t="str">
        <f t="shared" si="46"/>
        <v xml:space="preserve">328.98:3.99 </v>
      </c>
      <c r="I95" t="str">
        <f t="shared" si="45"/>
        <v xml:space="preserve">332.97:2.74 </v>
      </c>
      <c r="K95" t="str">
        <f t="shared" si="47"/>
        <v/>
      </c>
      <c r="L95" t="str">
        <f t="shared" si="48"/>
        <v/>
      </c>
      <c r="M95" t="str">
        <f t="shared" si="49"/>
        <v xml:space="preserve">328.98:3.99 </v>
      </c>
      <c r="N95" t="str">
        <f t="shared" si="50"/>
        <v xml:space="preserve">332.97:2.74 </v>
      </c>
      <c r="O95" t="str">
        <f t="shared" si="51"/>
        <v/>
      </c>
      <c r="P95" t="str">
        <f t="shared" si="52"/>
        <v/>
      </c>
      <c r="Q95" t="str">
        <f t="shared" si="53"/>
        <v/>
      </c>
      <c r="R95" t="str">
        <f t="shared" si="54"/>
        <v/>
      </c>
      <c r="T95" s="102" t="str">
        <f>ChoiceCoding!AE22</f>
        <v>Ambivalent</v>
      </c>
      <c r="V95" t="str">
        <f t="shared" si="55"/>
        <v xml:space="preserve">328.98:3.99 </v>
      </c>
      <c r="W95" t="str">
        <f t="shared" si="55"/>
        <v xml:space="preserve">332.97:2.74 </v>
      </c>
      <c r="AP95" s="16"/>
      <c r="AQ95"/>
      <c r="AR95" s="82"/>
      <c r="AS95" s="82"/>
      <c r="AT95" s="41" t="s">
        <v>128</v>
      </c>
      <c r="BE95" s="62"/>
    </row>
    <row r="96" spans="1:58" x14ac:dyDescent="0.2">
      <c r="A96" s="154">
        <v>0.03</v>
      </c>
      <c r="B96" s="105">
        <v>21</v>
      </c>
      <c r="C96" s="2">
        <f>ROUND('Timing-Actual'!G100,2)</f>
        <v>343.98</v>
      </c>
      <c r="D96" s="2">
        <f>ROUND('Timing-Actual'!F100,2)</f>
        <v>4</v>
      </c>
      <c r="E96" s="2">
        <f>ROUND('Timing-Actual'!M100,2)</f>
        <v>347.98</v>
      </c>
      <c r="F96" s="2">
        <f>ROUND('Timing-Actual'!L100,2)</f>
        <v>1.83</v>
      </c>
      <c r="H96" t="str">
        <f t="shared" si="46"/>
        <v xml:space="preserve">343.98:4 </v>
      </c>
      <c r="I96" t="str">
        <f t="shared" si="45"/>
        <v xml:space="preserve">347.98:1.83 </v>
      </c>
      <c r="K96" t="str">
        <f t="shared" si="47"/>
        <v/>
      </c>
      <c r="L96" t="str">
        <f t="shared" si="48"/>
        <v/>
      </c>
      <c r="M96" t="str">
        <f t="shared" si="49"/>
        <v xml:space="preserve">343.98:4 </v>
      </c>
      <c r="N96" t="str">
        <f t="shared" si="50"/>
        <v xml:space="preserve">347.98:1.83 </v>
      </c>
      <c r="O96" t="str">
        <f t="shared" si="51"/>
        <v/>
      </c>
      <c r="P96" t="str">
        <f t="shared" si="52"/>
        <v/>
      </c>
      <c r="Q96" t="str">
        <f t="shared" si="53"/>
        <v/>
      </c>
      <c r="R96" t="str">
        <f t="shared" si="54"/>
        <v/>
      </c>
      <c r="T96" s="102" t="str">
        <f>ChoiceCoding!AE23</f>
        <v>Ambivalent</v>
      </c>
      <c r="V96" t="str">
        <f t="shared" si="55"/>
        <v xml:space="preserve">343.98:4 </v>
      </c>
      <c r="W96" t="str">
        <f t="shared" si="55"/>
        <v xml:space="preserve">347.98:1.83 </v>
      </c>
      <c r="AQ96"/>
      <c r="AR96" s="82"/>
      <c r="AS96" s="82"/>
      <c r="AT96" s="41" t="s">
        <v>391</v>
      </c>
    </row>
    <row r="97" spans="1:83" x14ac:dyDescent="0.2">
      <c r="A97" s="152">
        <v>9</v>
      </c>
      <c r="B97" s="105">
        <v>22</v>
      </c>
      <c r="C97" s="2">
        <f>ROUND('Timing-Actual'!G101,2)</f>
        <v>356.97</v>
      </c>
      <c r="D97" s="2">
        <f>ROUND('Timing-Actual'!F101,2)</f>
        <v>4</v>
      </c>
      <c r="E97" s="2">
        <f>ROUND('Timing-Actual'!M101,2)</f>
        <v>360.97</v>
      </c>
      <c r="F97" s="2">
        <f>ROUND('Timing-Actual'!L101,2)</f>
        <v>3.54</v>
      </c>
      <c r="H97" t="str">
        <f t="shared" si="46"/>
        <v xml:space="preserve">356.97:4 </v>
      </c>
      <c r="I97" t="str">
        <f t="shared" si="45"/>
        <v xml:space="preserve">360.97:3.54 </v>
      </c>
      <c r="K97" t="str">
        <f t="shared" si="47"/>
        <v/>
      </c>
      <c r="L97" t="str">
        <f t="shared" si="48"/>
        <v/>
      </c>
      <c r="M97" t="str">
        <f t="shared" si="49"/>
        <v xml:space="preserve">356.97:4 </v>
      </c>
      <c r="N97" t="str">
        <f t="shared" si="50"/>
        <v xml:space="preserve">360.97:3.54 </v>
      </c>
      <c r="O97" t="str">
        <f t="shared" si="51"/>
        <v/>
      </c>
      <c r="P97" t="str">
        <f t="shared" si="52"/>
        <v/>
      </c>
      <c r="Q97" t="str">
        <f t="shared" si="53"/>
        <v/>
      </c>
      <c r="R97" t="str">
        <f t="shared" si="54"/>
        <v/>
      </c>
      <c r="T97" s="102" t="str">
        <f>ChoiceCoding!AE24</f>
        <v>Ambivalent</v>
      </c>
      <c r="V97" t="str">
        <f t="shared" si="55"/>
        <v xml:space="preserve">356.97:4 </v>
      </c>
      <c r="W97" t="str">
        <f t="shared" si="55"/>
        <v xml:space="preserve">360.97:3.54 </v>
      </c>
      <c r="AQ97"/>
      <c r="AR97" s="82"/>
      <c r="AS97" s="82"/>
      <c r="AT97" s="250"/>
    </row>
    <row r="98" spans="1:83" x14ac:dyDescent="0.2">
      <c r="A98" s="154">
        <v>0.04</v>
      </c>
      <c r="B98" s="105">
        <v>23</v>
      </c>
      <c r="C98" s="2">
        <f>ROUND('Timing-Actual'!G102,2)</f>
        <v>377.97</v>
      </c>
      <c r="D98" s="2">
        <f>ROUND('Timing-Actual'!F102,2)</f>
        <v>4</v>
      </c>
      <c r="E98" s="2">
        <f>ROUND('Timing-Actual'!M102,2)</f>
        <v>381.97</v>
      </c>
      <c r="F98" s="2">
        <f>ROUND('Timing-Actual'!L102,2)</f>
        <v>1.58</v>
      </c>
      <c r="H98" t="str">
        <f t="shared" si="46"/>
        <v xml:space="preserve">377.97:4 </v>
      </c>
      <c r="I98" t="str">
        <f t="shared" si="45"/>
        <v xml:space="preserve">381.97:1.58 </v>
      </c>
      <c r="K98" t="str">
        <f t="shared" si="47"/>
        <v/>
      </c>
      <c r="L98" t="str">
        <f t="shared" si="48"/>
        <v/>
      </c>
      <c r="M98" t="str">
        <f t="shared" si="49"/>
        <v xml:space="preserve">377.97:4 </v>
      </c>
      <c r="N98" t="str">
        <f t="shared" si="50"/>
        <v xml:space="preserve">381.97:1.58 </v>
      </c>
      <c r="O98" t="str">
        <f t="shared" si="51"/>
        <v/>
      </c>
      <c r="P98" t="str">
        <f t="shared" si="52"/>
        <v/>
      </c>
      <c r="Q98" t="str">
        <f t="shared" si="53"/>
        <v/>
      </c>
      <c r="R98" t="str">
        <f t="shared" si="54"/>
        <v/>
      </c>
      <c r="T98" s="102" t="str">
        <f>ChoiceCoding!AE25</f>
        <v>Ambivalent</v>
      </c>
      <c r="V98" t="str">
        <f t="shared" si="55"/>
        <v xml:space="preserve">377.97:4 </v>
      </c>
      <c r="W98" t="str">
        <f t="shared" si="55"/>
        <v xml:space="preserve">381.97:1.58 </v>
      </c>
      <c r="AQ98"/>
      <c r="AR98" s="82"/>
      <c r="AS98" s="82"/>
      <c r="AT98" s="82"/>
    </row>
    <row r="99" spans="1:83" x14ac:dyDescent="0.2">
      <c r="A99" s="152">
        <v>13</v>
      </c>
      <c r="B99" s="105">
        <v>24</v>
      </c>
      <c r="C99" s="2">
        <f>ROUND('Timing-Actual'!G103,2)</f>
        <v>392.98</v>
      </c>
      <c r="D99" s="2">
        <f>ROUND('Timing-Actual'!F103,2)</f>
        <v>4</v>
      </c>
      <c r="E99" s="2">
        <f>ROUND('Timing-Actual'!M103,2)</f>
        <v>396.98</v>
      </c>
      <c r="F99" s="2">
        <f>ROUND('Timing-Actual'!L103,2)</f>
        <v>2.48</v>
      </c>
      <c r="H99" t="str">
        <f t="shared" si="46"/>
        <v xml:space="preserve">392.98:4 </v>
      </c>
      <c r="I99" t="str">
        <f t="shared" si="45"/>
        <v xml:space="preserve">396.98:2.48 </v>
      </c>
      <c r="K99" t="str">
        <f t="shared" si="47"/>
        <v/>
      </c>
      <c r="L99" t="str">
        <f t="shared" si="48"/>
        <v/>
      </c>
      <c r="M99" t="str">
        <f t="shared" si="49"/>
        <v xml:space="preserve">392.98:4 </v>
      </c>
      <c r="N99" t="str">
        <f t="shared" si="50"/>
        <v xml:space="preserve">396.98:2.48 </v>
      </c>
      <c r="O99" t="str">
        <f t="shared" si="51"/>
        <v/>
      </c>
      <c r="P99" t="str">
        <f t="shared" si="52"/>
        <v/>
      </c>
      <c r="Q99" t="str">
        <f t="shared" si="53"/>
        <v/>
      </c>
      <c r="R99" t="str">
        <f t="shared" si="54"/>
        <v/>
      </c>
      <c r="T99" s="102" t="str">
        <f>ChoiceCoding!AE26</f>
        <v>Ambivalent</v>
      </c>
      <c r="V99" t="str">
        <f t="shared" si="55"/>
        <v xml:space="preserve">392.98:4 </v>
      </c>
      <c r="W99" t="str">
        <f t="shared" si="55"/>
        <v xml:space="preserve">396.98:2.48 </v>
      </c>
      <c r="AQ99"/>
      <c r="AR99" s="82"/>
      <c r="AS99" s="82"/>
      <c r="AT99" s="1" t="s">
        <v>120</v>
      </c>
    </row>
    <row r="100" spans="1:83" x14ac:dyDescent="0.2">
      <c r="A100" s="154">
        <v>0.01</v>
      </c>
      <c r="B100" s="105">
        <v>25</v>
      </c>
      <c r="C100" s="2">
        <f>ROUND('Timing-Actual'!G104,2)</f>
        <v>405.97</v>
      </c>
      <c r="D100" s="2">
        <f>ROUND('Timing-Actual'!F104,2)</f>
        <v>4</v>
      </c>
      <c r="E100" s="2">
        <f>ROUND('Timing-Actual'!M104,2)</f>
        <v>409.98</v>
      </c>
      <c r="F100" s="2">
        <f>ROUND('Timing-Actual'!L104,2)</f>
        <v>1.77</v>
      </c>
      <c r="H100" t="str">
        <f t="shared" si="46"/>
        <v xml:space="preserve">405.97:4 </v>
      </c>
      <c r="I100" t="str">
        <f t="shared" si="45"/>
        <v xml:space="preserve">409.98:1.77 </v>
      </c>
      <c r="K100" t="str">
        <f t="shared" si="47"/>
        <v/>
      </c>
      <c r="L100" t="str">
        <f t="shared" si="48"/>
        <v/>
      </c>
      <c r="M100" t="str">
        <f t="shared" si="49"/>
        <v xml:space="preserve">405.97:4 </v>
      </c>
      <c r="N100" t="str">
        <f t="shared" si="50"/>
        <v xml:space="preserve">409.98:1.77 </v>
      </c>
      <c r="O100" t="str">
        <f t="shared" si="51"/>
        <v/>
      </c>
      <c r="P100" t="str">
        <f t="shared" si="52"/>
        <v/>
      </c>
      <c r="Q100" t="str">
        <f t="shared" si="53"/>
        <v/>
      </c>
      <c r="R100" t="str">
        <f t="shared" si="54"/>
        <v/>
      </c>
      <c r="T100" s="102" t="str">
        <f>ChoiceCoding!AE27</f>
        <v>Ambivalent</v>
      </c>
      <c r="V100" t="str">
        <f t="shared" si="55"/>
        <v xml:space="preserve">405.97:4 </v>
      </c>
      <c r="W100" t="str">
        <f t="shared" si="55"/>
        <v xml:space="preserve">409.98:1.77 </v>
      </c>
      <c r="AQ100"/>
      <c r="AR100" s="82"/>
      <c r="AS100" s="82"/>
      <c r="AT100" s="1" t="s">
        <v>392</v>
      </c>
    </row>
    <row r="101" spans="1:83" x14ac:dyDescent="0.2">
      <c r="A101" s="154">
        <v>0.02</v>
      </c>
      <c r="B101" s="105">
        <v>26</v>
      </c>
      <c r="C101" s="2">
        <f>ROUND('Timing-Actual'!G105,2)</f>
        <v>420.98</v>
      </c>
      <c r="D101" s="2">
        <f>ROUND('Timing-Actual'!F105,2)</f>
        <v>3.99</v>
      </c>
      <c r="E101" s="2">
        <f>ROUND('Timing-Actual'!M105,2)</f>
        <v>424.97</v>
      </c>
      <c r="F101" s="2">
        <f>ROUND('Timing-Actual'!L105,2)</f>
        <v>1.78</v>
      </c>
      <c r="H101" t="str">
        <f t="shared" si="46"/>
        <v xml:space="preserve">420.98:3.99 </v>
      </c>
      <c r="I101" t="str">
        <f t="shared" si="45"/>
        <v xml:space="preserve">424.97:1.78 </v>
      </c>
      <c r="K101" t="str">
        <f t="shared" si="47"/>
        <v/>
      </c>
      <c r="L101" t="str">
        <f t="shared" si="48"/>
        <v/>
      </c>
      <c r="M101" t="str">
        <f t="shared" si="49"/>
        <v xml:space="preserve">420.98:3.99 </v>
      </c>
      <c r="N101" t="str">
        <f t="shared" si="50"/>
        <v xml:space="preserve">424.97:1.78 </v>
      </c>
      <c r="O101" t="str">
        <f t="shared" si="51"/>
        <v/>
      </c>
      <c r="P101" t="str">
        <f t="shared" si="52"/>
        <v/>
      </c>
      <c r="Q101" t="str">
        <f t="shared" si="53"/>
        <v/>
      </c>
      <c r="R101" t="str">
        <f t="shared" si="54"/>
        <v/>
      </c>
      <c r="T101" s="102" t="str">
        <f>ChoiceCoding!AE28</f>
        <v>Ambivalent</v>
      </c>
      <c r="V101" t="str">
        <f t="shared" si="55"/>
        <v xml:space="preserve">420.98:3.99 </v>
      </c>
      <c r="W101" t="str">
        <f t="shared" si="55"/>
        <v xml:space="preserve">424.97:1.78 </v>
      </c>
      <c r="AQ101"/>
      <c r="AR101" s="82"/>
      <c r="AS101" s="82"/>
      <c r="AT101" s="1" t="s">
        <v>393</v>
      </c>
    </row>
    <row r="102" spans="1:83" ht="17.25" customHeight="1" x14ac:dyDescent="0.2">
      <c r="A102" s="153">
        <v>70</v>
      </c>
      <c r="B102" s="105">
        <v>27</v>
      </c>
      <c r="C102" s="2">
        <f>ROUND('Timing-Actual'!G106,2)</f>
        <v>437.98</v>
      </c>
      <c r="D102" s="2">
        <f>ROUND('Timing-Actual'!F106,2)</f>
        <v>4</v>
      </c>
      <c r="E102" s="2">
        <f>ROUND('Timing-Actual'!M106,2)</f>
        <v>441.98</v>
      </c>
      <c r="F102" s="2">
        <f>ROUND('Timing-Actual'!L106,2)</f>
        <v>2.2999999999999998</v>
      </c>
      <c r="H102" t="str">
        <f t="shared" si="46"/>
        <v xml:space="preserve">437.98:4 </v>
      </c>
      <c r="I102" t="str">
        <f t="shared" si="45"/>
        <v xml:space="preserve">441.98:2.3 </v>
      </c>
      <c r="K102" t="str">
        <f t="shared" si="47"/>
        <v/>
      </c>
      <c r="L102" t="str">
        <f t="shared" si="48"/>
        <v/>
      </c>
      <c r="M102" t="str">
        <f t="shared" si="49"/>
        <v/>
      </c>
      <c r="N102" t="str">
        <f t="shared" si="50"/>
        <v/>
      </c>
      <c r="O102" t="str">
        <f t="shared" si="51"/>
        <v xml:space="preserve">437.98:4 </v>
      </c>
      <c r="P102" t="str">
        <f t="shared" si="52"/>
        <v xml:space="preserve">441.98:2.3 </v>
      </c>
      <c r="Q102" t="str">
        <f t="shared" si="53"/>
        <v/>
      </c>
      <c r="R102" t="str">
        <f t="shared" si="54"/>
        <v/>
      </c>
      <c r="T102" s="102" t="str">
        <f>ChoiceCoding!AE29</f>
        <v>Avoid</v>
      </c>
      <c r="V102" t="str">
        <f t="shared" si="55"/>
        <v xml:space="preserve">437.98:4 </v>
      </c>
      <c r="W102" t="str">
        <f t="shared" si="55"/>
        <v xml:space="preserve">441.98:2.3 </v>
      </c>
      <c r="AQ102"/>
      <c r="AR102" s="82"/>
      <c r="AS102" s="82"/>
      <c r="AT102" s="82"/>
      <c r="BF102" s="44" t="s">
        <v>21</v>
      </c>
    </row>
    <row r="103" spans="1:83" ht="17.25" customHeight="1" x14ac:dyDescent="0.2">
      <c r="A103" s="154">
        <v>0.01</v>
      </c>
      <c r="B103" s="105">
        <v>28</v>
      </c>
      <c r="C103" s="2">
        <f>ROUND('Timing-Actual'!G107,2)</f>
        <v>452.98</v>
      </c>
      <c r="D103" s="2">
        <f>ROUND('Timing-Actual'!F107,2)</f>
        <v>4</v>
      </c>
      <c r="E103" s="2">
        <f>ROUND('Timing-Actual'!M107,2)</f>
        <v>456.98</v>
      </c>
      <c r="F103" s="2">
        <f>ROUND('Timing-Actual'!L107,2)</f>
        <v>5.34</v>
      </c>
      <c r="H103" t="str">
        <f t="shared" ref="H103:H105" si="56">C103&amp;":"&amp;D103&amp;" "</f>
        <v xml:space="preserve">452.98:4 </v>
      </c>
      <c r="I103" t="str">
        <f t="shared" ref="I103:I105" si="57">E103&amp;":"&amp;F103&amp;" "</f>
        <v xml:space="preserve">456.98:5.34 </v>
      </c>
      <c r="K103" t="str">
        <f t="shared" si="47"/>
        <v/>
      </c>
      <c r="L103" t="str">
        <f t="shared" si="48"/>
        <v/>
      </c>
      <c r="M103" t="str">
        <f t="shared" si="49"/>
        <v xml:space="preserve">452.98:4 </v>
      </c>
      <c r="N103" t="str">
        <f t="shared" si="50"/>
        <v xml:space="preserve">456.98:5.34 </v>
      </c>
      <c r="O103" t="str">
        <f t="shared" si="51"/>
        <v/>
      </c>
      <c r="P103" t="str">
        <f t="shared" si="52"/>
        <v/>
      </c>
      <c r="Q103" t="str">
        <f t="shared" ref="Q103:Q105" si="58">IF(T103="Missing",H103,"")</f>
        <v/>
      </c>
      <c r="R103" t="str">
        <f t="shared" ref="R103:R105" si="59">IF(T103="Missing",I103,"")</f>
        <v/>
      </c>
      <c r="T103" s="102" t="str">
        <f>ChoiceCoding!AE30</f>
        <v>Ambivalent</v>
      </c>
      <c r="V103" t="str">
        <f t="shared" si="55"/>
        <v xml:space="preserve">452.98:4 </v>
      </c>
      <c r="W103" t="str">
        <f t="shared" si="55"/>
        <v xml:space="preserve">456.98:5.34 </v>
      </c>
      <c r="AQ103"/>
      <c r="AR103" s="82"/>
      <c r="AS103" s="82"/>
      <c r="AT103" s="82"/>
    </row>
    <row r="104" spans="1:83" ht="17.25" customHeight="1" x14ac:dyDescent="0.2">
      <c r="A104" s="153">
        <v>30</v>
      </c>
      <c r="B104" s="105">
        <v>29</v>
      </c>
      <c r="C104" s="2">
        <f>ROUND('Timing-Actual'!G108,2)</f>
        <v>475.98</v>
      </c>
      <c r="D104" s="2">
        <f>ROUND('Timing-Actual'!F108,2)</f>
        <v>4</v>
      </c>
      <c r="E104" s="2">
        <f>ROUND('Timing-Actual'!M108,2)</f>
        <v>479.98</v>
      </c>
      <c r="F104" s="2">
        <f>ROUND('Timing-Actual'!L108,2)</f>
        <v>2.4</v>
      </c>
      <c r="H104" t="str">
        <f t="shared" si="56"/>
        <v xml:space="preserve">475.98:4 </v>
      </c>
      <c r="I104" t="str">
        <f t="shared" si="57"/>
        <v xml:space="preserve">479.98:2.4 </v>
      </c>
      <c r="K104" t="str">
        <f t="shared" si="47"/>
        <v/>
      </c>
      <c r="L104" t="str">
        <f t="shared" si="48"/>
        <v/>
      </c>
      <c r="M104" t="str">
        <f t="shared" si="49"/>
        <v/>
      </c>
      <c r="N104" t="str">
        <f t="shared" si="50"/>
        <v/>
      </c>
      <c r="O104" t="str">
        <f t="shared" si="51"/>
        <v xml:space="preserve">475.98:4 </v>
      </c>
      <c r="P104" t="str">
        <f t="shared" si="52"/>
        <v xml:space="preserve">479.98:2.4 </v>
      </c>
      <c r="Q104" t="str">
        <f t="shared" si="58"/>
        <v/>
      </c>
      <c r="R104" t="str">
        <f t="shared" si="59"/>
        <v/>
      </c>
      <c r="T104" s="102" t="str">
        <f>ChoiceCoding!AE31</f>
        <v>Avoid</v>
      </c>
      <c r="V104" t="str">
        <f t="shared" si="55"/>
        <v xml:space="preserve">475.98:4 </v>
      </c>
      <c r="W104" t="str">
        <f t="shared" si="55"/>
        <v xml:space="preserve">479.98:2.4 </v>
      </c>
      <c r="AQ104"/>
      <c r="AR104" s="82"/>
      <c r="AS104" s="82"/>
      <c r="AT104" s="82"/>
    </row>
    <row r="105" spans="1:83" ht="17.25" customHeight="1" thickBot="1" x14ac:dyDescent="0.25">
      <c r="A105" s="161">
        <v>0.05</v>
      </c>
      <c r="B105" s="105">
        <v>30</v>
      </c>
      <c r="C105" s="2">
        <f>ROUND('Timing-Actual'!G109,2)</f>
        <v>488.97</v>
      </c>
      <c r="D105" s="2">
        <f>ROUND('Timing-Actual'!F109,2)</f>
        <v>4</v>
      </c>
      <c r="E105" s="2">
        <f>ROUND('Timing-Actual'!M109,2)</f>
        <v>492.97</v>
      </c>
      <c r="F105" s="2">
        <f>ROUND('Timing-Actual'!L109,2)</f>
        <v>1.67</v>
      </c>
      <c r="H105" t="str">
        <f t="shared" si="56"/>
        <v xml:space="preserve">488.97:4 </v>
      </c>
      <c r="I105" t="str">
        <f t="shared" si="57"/>
        <v xml:space="preserve">492.97:1.67 </v>
      </c>
      <c r="K105" t="str">
        <f t="shared" si="47"/>
        <v/>
      </c>
      <c r="L105" t="str">
        <f t="shared" si="48"/>
        <v/>
      </c>
      <c r="M105" t="str">
        <f t="shared" si="49"/>
        <v xml:space="preserve">488.97:4 </v>
      </c>
      <c r="N105" t="str">
        <f t="shared" si="50"/>
        <v xml:space="preserve">492.97:1.67 </v>
      </c>
      <c r="O105" t="str">
        <f t="shared" si="51"/>
        <v/>
      </c>
      <c r="P105" t="str">
        <f t="shared" si="52"/>
        <v/>
      </c>
      <c r="Q105" t="str">
        <f t="shared" si="58"/>
        <v/>
      </c>
      <c r="R105" t="str">
        <f t="shared" si="59"/>
        <v/>
      </c>
      <c r="T105" s="102" t="str">
        <f>ChoiceCoding!AE32</f>
        <v>Ambivalent</v>
      </c>
      <c r="V105" t="str">
        <f t="shared" si="55"/>
        <v xml:space="preserve">488.97:4 </v>
      </c>
      <c r="W105" t="str">
        <f t="shared" si="55"/>
        <v xml:space="preserve">492.97:1.67 </v>
      </c>
      <c r="AQ105"/>
      <c r="AR105" s="82"/>
      <c r="AS105" s="82"/>
      <c r="AT105" s="82"/>
      <c r="BF105" s="44" t="s">
        <v>21</v>
      </c>
    </row>
    <row r="106" spans="1:83" s="44" customFormat="1" x14ac:dyDescent="0.2">
      <c r="C106" s="95"/>
      <c r="D106" s="95"/>
      <c r="E106" s="95"/>
      <c r="F106" s="95"/>
      <c r="AP106"/>
      <c r="AQ106"/>
      <c r="AR106" s="82"/>
      <c r="AS106" s="82"/>
      <c r="AT106" s="82"/>
      <c r="AU106"/>
      <c r="AV106"/>
      <c r="AW106"/>
      <c r="AX106"/>
      <c r="AY106"/>
      <c r="AZ106"/>
      <c r="BA106"/>
      <c r="BB106"/>
      <c r="BC106"/>
      <c r="BD106"/>
      <c r="BE106"/>
      <c r="BF106" s="44" t="s">
        <v>21</v>
      </c>
      <c r="BG106" s="251"/>
      <c r="BH106" s="251"/>
      <c r="BI106" s="251"/>
      <c r="BJ106" s="251"/>
      <c r="BK106" s="251"/>
      <c r="BL106" s="251"/>
      <c r="BM106" s="251"/>
      <c r="BN106" s="251"/>
      <c r="BO106" s="251"/>
      <c r="BP106" s="251"/>
      <c r="BQ106" s="251"/>
      <c r="BR106" s="251"/>
      <c r="BS106" s="251"/>
      <c r="BT106" s="251"/>
      <c r="BU106" s="251"/>
      <c r="BV106" s="251"/>
      <c r="BW106" s="251"/>
      <c r="BX106" s="251"/>
      <c r="BY106" s="251"/>
      <c r="BZ106" s="251"/>
      <c r="CA106" s="251"/>
      <c r="CB106" s="251"/>
      <c r="CC106" s="251"/>
      <c r="CD106" s="251"/>
      <c r="CE106" s="251"/>
    </row>
    <row r="107" spans="1:83" s="44" customFormat="1" x14ac:dyDescent="0.2">
      <c r="C107" s="95"/>
      <c r="D107" s="95"/>
      <c r="E107" s="95"/>
      <c r="F107" s="95"/>
      <c r="AP107"/>
      <c r="AQ107"/>
      <c r="AR107" s="82"/>
      <c r="AS107" s="82"/>
      <c r="AT107" s="82"/>
      <c r="AU107"/>
      <c r="AV107"/>
      <c r="AW107"/>
      <c r="AX107"/>
      <c r="AY107"/>
      <c r="AZ107"/>
      <c r="BA107"/>
      <c r="BB107"/>
      <c r="BC107"/>
      <c r="BD107"/>
      <c r="BE107"/>
      <c r="BG107" s="251"/>
      <c r="BH107" s="251"/>
      <c r="BI107" s="251"/>
      <c r="BJ107" s="251"/>
      <c r="BK107" s="251"/>
      <c r="BL107" s="251"/>
      <c r="BM107" s="251"/>
      <c r="BN107" s="251"/>
      <c r="BO107" s="251"/>
      <c r="BP107" s="251"/>
      <c r="BQ107" s="251"/>
      <c r="BR107" s="251"/>
      <c r="BS107" s="251"/>
      <c r="BT107" s="251"/>
      <c r="BU107" s="251"/>
      <c r="BV107" s="251"/>
      <c r="BW107" s="251"/>
      <c r="BX107" s="251"/>
      <c r="BY107" s="251"/>
      <c r="BZ107" s="251"/>
      <c r="CA107" s="251"/>
      <c r="CB107" s="251"/>
      <c r="CC107" s="251"/>
      <c r="CD107" s="251"/>
      <c r="CE107" s="251"/>
    </row>
    <row r="108" spans="1:83" s="44" customFormat="1" x14ac:dyDescent="0.2">
      <c r="C108" s="95"/>
      <c r="D108" s="95"/>
      <c r="E108" s="95"/>
      <c r="F108" s="95"/>
      <c r="AP108"/>
      <c r="AQ108"/>
      <c r="AR108" s="82"/>
      <c r="AS108" s="82"/>
      <c r="AT108" s="82"/>
      <c r="AU108"/>
      <c r="AV108"/>
      <c r="AW108"/>
      <c r="AX108"/>
      <c r="AY108"/>
      <c r="AZ108"/>
      <c r="BA108"/>
      <c r="BB108"/>
      <c r="BC108"/>
      <c r="BD108"/>
      <c r="BE108"/>
      <c r="BG108" s="251"/>
      <c r="BH108" s="251"/>
      <c r="BI108" s="251"/>
      <c r="BJ108" s="251"/>
      <c r="BK108" s="251"/>
      <c r="BL108" s="251"/>
      <c r="BM108" s="251"/>
      <c r="BN108" s="251"/>
      <c r="BO108" s="251"/>
      <c r="BP108" s="251"/>
      <c r="BQ108" s="251"/>
      <c r="BR108" s="251"/>
      <c r="BS108" s="251"/>
      <c r="BT108" s="251"/>
      <c r="BU108" s="251"/>
      <c r="BV108" s="251"/>
      <c r="BW108" s="251"/>
      <c r="BX108" s="251"/>
      <c r="BY108" s="251"/>
      <c r="BZ108" s="251"/>
      <c r="CA108" s="251"/>
      <c r="CB108" s="251"/>
      <c r="CC108" s="251"/>
      <c r="CD108" s="251"/>
      <c r="CE108" s="251"/>
    </row>
    <row r="109" spans="1:83" s="44" customFormat="1" x14ac:dyDescent="0.2">
      <c r="C109" s="95"/>
      <c r="D109" s="95"/>
      <c r="E109" s="95"/>
      <c r="F109" s="95"/>
      <c r="AP109"/>
      <c r="AQ109"/>
      <c r="AR109" s="82"/>
      <c r="AS109" s="82"/>
      <c r="AT109" s="82"/>
      <c r="AU109"/>
      <c r="AV109"/>
      <c r="AW109"/>
      <c r="AX109"/>
      <c r="AY109"/>
      <c r="AZ109"/>
      <c r="BA109"/>
      <c r="BB109"/>
      <c r="BC109"/>
      <c r="BD109"/>
      <c r="BE109"/>
      <c r="BG109" s="251"/>
      <c r="BH109" s="251"/>
      <c r="BI109" s="251"/>
      <c r="BJ109" s="251"/>
      <c r="BK109" s="251"/>
      <c r="BL109" s="251"/>
      <c r="BM109" s="251"/>
      <c r="BN109" s="251"/>
      <c r="BO109" s="251"/>
      <c r="BP109" s="251"/>
      <c r="BQ109" s="251"/>
      <c r="BR109" s="251"/>
      <c r="BS109" s="251"/>
      <c r="BT109" s="251"/>
      <c r="BU109" s="251"/>
      <c r="BV109" s="251"/>
      <c r="BW109" s="251"/>
      <c r="BX109" s="251"/>
      <c r="BY109" s="251"/>
      <c r="BZ109" s="251"/>
      <c r="CA109" s="251"/>
      <c r="CB109" s="251"/>
      <c r="CC109" s="251"/>
      <c r="CD109" s="251"/>
      <c r="CE109" s="251"/>
    </row>
    <row r="110" spans="1:83" s="44" customFormat="1" x14ac:dyDescent="0.2">
      <c r="C110" s="95"/>
      <c r="D110" s="95"/>
      <c r="E110" s="95"/>
      <c r="F110" s="95"/>
      <c r="AP110"/>
      <c r="AQ110"/>
      <c r="AR110" s="82"/>
      <c r="AS110" s="82"/>
      <c r="AT110" s="82"/>
      <c r="AU110"/>
      <c r="AV110"/>
      <c r="AW110"/>
      <c r="AX110"/>
      <c r="AY110"/>
      <c r="AZ110"/>
      <c r="BA110"/>
      <c r="BB110"/>
      <c r="BC110"/>
      <c r="BD110"/>
      <c r="BE110"/>
      <c r="BG110" s="251"/>
      <c r="BH110" s="251"/>
      <c r="BI110" s="251"/>
      <c r="BJ110" s="251"/>
      <c r="BK110" s="251"/>
      <c r="BL110" s="251"/>
      <c r="BM110" s="251"/>
      <c r="BN110" s="251"/>
      <c r="BO110" s="251"/>
      <c r="BP110" s="251"/>
      <c r="BQ110" s="251"/>
      <c r="BR110" s="251"/>
      <c r="BS110" s="251"/>
      <c r="BT110" s="251"/>
      <c r="BU110" s="251"/>
      <c r="BV110" s="251"/>
      <c r="BW110" s="251"/>
      <c r="BX110" s="251"/>
      <c r="BY110" s="251"/>
      <c r="BZ110" s="251"/>
      <c r="CA110" s="251"/>
      <c r="CB110" s="251"/>
      <c r="CC110" s="251"/>
      <c r="CD110" s="251"/>
      <c r="CE110" s="251"/>
    </row>
    <row r="111" spans="1:83" s="44" customFormat="1" x14ac:dyDescent="0.2">
      <c r="C111" s="95"/>
      <c r="D111" s="95"/>
      <c r="E111" s="95"/>
      <c r="F111" s="95"/>
      <c r="AP111"/>
      <c r="AQ111"/>
      <c r="AR111" s="82"/>
      <c r="AS111" s="82"/>
      <c r="AT111" s="82"/>
      <c r="AU111"/>
      <c r="AV111"/>
      <c r="AW111"/>
      <c r="AX111"/>
      <c r="AY111"/>
      <c r="AZ111"/>
      <c r="BA111"/>
      <c r="BB111"/>
      <c r="BC111"/>
      <c r="BD111"/>
      <c r="BE111"/>
      <c r="BG111" s="251"/>
      <c r="BH111" s="251"/>
      <c r="BI111" s="251"/>
      <c r="BJ111" s="251"/>
      <c r="BK111" s="251"/>
      <c r="BL111" s="251"/>
      <c r="BM111" s="251"/>
      <c r="BN111" s="251"/>
      <c r="BO111" s="251"/>
      <c r="BP111" s="251"/>
      <c r="BQ111" s="251"/>
      <c r="BR111" s="251"/>
      <c r="BS111" s="251"/>
      <c r="BT111" s="251"/>
      <c r="BU111" s="251"/>
      <c r="BV111" s="251"/>
      <c r="BW111" s="251"/>
      <c r="BX111" s="251"/>
      <c r="BY111" s="251"/>
      <c r="BZ111" s="251"/>
      <c r="CA111" s="251"/>
      <c r="CB111" s="251"/>
      <c r="CC111" s="251"/>
      <c r="CD111" s="251"/>
      <c r="CE111" s="251"/>
    </row>
    <row r="112" spans="1:83" s="44" customFormat="1" x14ac:dyDescent="0.2">
      <c r="C112" s="95"/>
      <c r="D112" s="95"/>
      <c r="E112" s="95"/>
      <c r="F112" s="95"/>
      <c r="AP112"/>
      <c r="AQ112"/>
      <c r="AR112" s="82"/>
      <c r="AS112" s="82"/>
      <c r="AT112" s="82"/>
      <c r="AU112"/>
      <c r="AV112"/>
      <c r="AW112"/>
      <c r="AX112"/>
      <c r="AY112"/>
      <c r="AZ112"/>
      <c r="BA112"/>
      <c r="BB112"/>
      <c r="BC112"/>
      <c r="BD112"/>
      <c r="BE112"/>
      <c r="BG112" s="251"/>
      <c r="BH112" s="251"/>
      <c r="BI112" s="251"/>
      <c r="BJ112" s="251"/>
      <c r="BK112" s="251"/>
      <c r="BL112" s="251"/>
      <c r="BM112" s="251"/>
      <c r="BN112" s="251"/>
      <c r="BO112" s="251"/>
      <c r="BP112" s="251"/>
      <c r="BQ112" s="251"/>
      <c r="BR112" s="251"/>
      <c r="BS112" s="251"/>
      <c r="BT112" s="251"/>
      <c r="BU112" s="251"/>
      <c r="BV112" s="251"/>
      <c r="BW112" s="251"/>
      <c r="BX112" s="251"/>
      <c r="BY112" s="251"/>
      <c r="BZ112" s="251"/>
      <c r="CA112" s="251"/>
      <c r="CB112" s="251"/>
      <c r="CC112" s="251"/>
      <c r="CD112" s="251"/>
      <c r="CE112" s="251"/>
    </row>
    <row r="113" spans="3:83" s="44" customFormat="1" x14ac:dyDescent="0.2">
      <c r="C113" s="95"/>
      <c r="D113" s="95"/>
      <c r="E113" s="95"/>
      <c r="F113" s="95"/>
      <c r="AP113"/>
      <c r="AQ113"/>
      <c r="AR113" s="82"/>
      <c r="AS113" s="82"/>
      <c r="AT113" s="82"/>
      <c r="AU113"/>
      <c r="AV113"/>
      <c r="AW113"/>
      <c r="AX113"/>
      <c r="AY113"/>
      <c r="AZ113"/>
      <c r="BA113"/>
      <c r="BB113"/>
      <c r="BC113"/>
      <c r="BD113"/>
      <c r="BE113"/>
      <c r="BG113" s="251"/>
      <c r="BH113" s="251"/>
      <c r="BI113" s="251"/>
      <c r="BJ113" s="251"/>
      <c r="BK113" s="251"/>
      <c r="BL113" s="251"/>
      <c r="BM113" s="251"/>
      <c r="BN113" s="251"/>
      <c r="BO113" s="251"/>
      <c r="BP113" s="251"/>
      <c r="BQ113" s="251"/>
      <c r="BR113" s="251"/>
      <c r="BS113" s="251"/>
      <c r="BT113" s="251"/>
      <c r="BU113" s="251"/>
      <c r="BV113" s="251"/>
      <c r="BW113" s="251"/>
      <c r="BX113" s="251"/>
      <c r="BY113" s="251"/>
      <c r="BZ113" s="251"/>
      <c r="CA113" s="251"/>
      <c r="CB113" s="251"/>
      <c r="CC113" s="251"/>
      <c r="CD113" s="251"/>
      <c r="CE113" s="251"/>
    </row>
    <row r="114" spans="3:83" s="44" customFormat="1" x14ac:dyDescent="0.2">
      <c r="C114" s="95"/>
      <c r="D114" s="95"/>
      <c r="E114" s="95"/>
      <c r="F114" s="95"/>
      <c r="AP114"/>
      <c r="AQ114"/>
      <c r="AR114" s="82"/>
      <c r="AS114" s="82"/>
      <c r="AT114" s="82"/>
      <c r="AU114"/>
      <c r="AV114"/>
      <c r="AW114"/>
      <c r="AX114"/>
      <c r="AY114"/>
      <c r="AZ114"/>
      <c r="BA114"/>
      <c r="BB114"/>
      <c r="BC114"/>
      <c r="BD114"/>
      <c r="BE114"/>
      <c r="BG114" s="251"/>
      <c r="BH114" s="251"/>
      <c r="BI114" s="251"/>
      <c r="BJ114" s="251"/>
      <c r="BK114" s="251"/>
      <c r="BL114" s="251"/>
      <c r="BM114" s="251"/>
      <c r="BN114" s="251"/>
      <c r="BO114" s="251"/>
      <c r="BP114" s="251"/>
      <c r="BQ114" s="251"/>
      <c r="BR114" s="251"/>
      <c r="BS114" s="251"/>
      <c r="BT114" s="251"/>
      <c r="BU114" s="251"/>
      <c r="BV114" s="251"/>
      <c r="BW114" s="251"/>
      <c r="BX114" s="251"/>
      <c r="BY114" s="251"/>
      <c r="BZ114" s="251"/>
      <c r="CA114" s="251"/>
      <c r="CB114" s="251"/>
      <c r="CC114" s="251"/>
      <c r="CD114" s="251"/>
      <c r="CE114" s="251"/>
    </row>
    <row r="115" spans="3:83" s="44" customFormat="1" x14ac:dyDescent="0.2">
      <c r="C115" s="95"/>
      <c r="D115" s="95"/>
      <c r="E115" s="95"/>
      <c r="F115" s="95"/>
      <c r="AP115"/>
      <c r="AQ115"/>
      <c r="AR115" s="82"/>
      <c r="AS115" s="82"/>
      <c r="AT115" s="82"/>
      <c r="AU115"/>
      <c r="AV115"/>
      <c r="AW115"/>
      <c r="AX115"/>
      <c r="AY115"/>
      <c r="AZ115"/>
      <c r="BA115"/>
      <c r="BB115"/>
      <c r="BC115"/>
      <c r="BD115"/>
      <c r="BE115"/>
      <c r="BG115" s="251"/>
      <c r="BH115" s="251"/>
      <c r="BI115" s="251"/>
      <c r="BJ115" s="251"/>
      <c r="BK115" s="251"/>
      <c r="BL115" s="251"/>
      <c r="BM115" s="251"/>
      <c r="BN115" s="251"/>
      <c r="BO115" s="251"/>
      <c r="BP115" s="251"/>
      <c r="BQ115" s="251"/>
      <c r="BR115" s="251"/>
      <c r="BS115" s="251"/>
      <c r="BT115" s="251"/>
      <c r="BU115" s="251"/>
      <c r="BV115" s="251"/>
      <c r="BW115" s="251"/>
      <c r="BX115" s="251"/>
      <c r="BY115" s="251"/>
      <c r="BZ115" s="251"/>
      <c r="CA115" s="251"/>
      <c r="CB115" s="251"/>
      <c r="CC115" s="251"/>
      <c r="CD115" s="251"/>
      <c r="CE115" s="251"/>
    </row>
    <row r="116" spans="3:83" s="44" customFormat="1" x14ac:dyDescent="0.2">
      <c r="C116" s="95"/>
      <c r="D116" s="95"/>
      <c r="E116" s="95"/>
      <c r="F116" s="95"/>
      <c r="AP116"/>
      <c r="AQ116"/>
      <c r="AR116" s="82"/>
      <c r="AS116" s="82"/>
      <c r="AT116" s="82"/>
      <c r="AU116"/>
      <c r="AV116"/>
      <c r="AW116"/>
      <c r="AX116"/>
      <c r="AY116"/>
      <c r="AZ116"/>
      <c r="BA116"/>
      <c r="BB116"/>
      <c r="BC116"/>
      <c r="BD116"/>
      <c r="BE116"/>
      <c r="BG116" s="251"/>
      <c r="BH116" s="251"/>
      <c r="BI116" s="251"/>
      <c r="BJ116" s="251"/>
      <c r="BK116" s="251"/>
      <c r="BL116" s="251"/>
      <c r="BM116" s="251"/>
      <c r="BN116" s="251"/>
      <c r="BO116" s="251"/>
      <c r="BP116" s="251"/>
      <c r="BQ116" s="251"/>
      <c r="BR116" s="251"/>
      <c r="BS116" s="251"/>
      <c r="BT116" s="251"/>
      <c r="BU116" s="251"/>
      <c r="BV116" s="251"/>
      <c r="BW116" s="251"/>
      <c r="BX116" s="251"/>
      <c r="BY116" s="251"/>
      <c r="BZ116" s="251"/>
      <c r="CA116" s="251"/>
      <c r="CB116" s="251"/>
      <c r="CC116" s="251"/>
      <c r="CD116" s="251"/>
      <c r="CE116" s="251"/>
    </row>
    <row r="117" spans="3:83" s="44" customFormat="1" x14ac:dyDescent="0.2">
      <c r="C117" s="95"/>
      <c r="D117" s="95"/>
      <c r="E117" s="95"/>
      <c r="F117" s="95"/>
      <c r="AP117"/>
      <c r="AQ117"/>
      <c r="AR117" s="82"/>
      <c r="AS117" s="82"/>
      <c r="AT117" s="82"/>
      <c r="AU117"/>
      <c r="AV117"/>
      <c r="AW117"/>
      <c r="AX117"/>
      <c r="AY117"/>
      <c r="AZ117"/>
      <c r="BA117"/>
      <c r="BB117"/>
      <c r="BC117"/>
      <c r="BD117"/>
      <c r="BE117"/>
      <c r="BG117" s="251"/>
      <c r="BH117" s="251"/>
      <c r="BI117" s="251"/>
      <c r="BJ117" s="251"/>
      <c r="BK117" s="251"/>
      <c r="BL117" s="251"/>
      <c r="BM117" s="251"/>
      <c r="BN117" s="251"/>
      <c r="BO117" s="251"/>
      <c r="BP117" s="251"/>
      <c r="BQ117" s="251"/>
      <c r="BR117" s="251"/>
      <c r="BS117" s="251"/>
      <c r="BT117" s="251"/>
      <c r="BU117" s="251"/>
      <c r="BV117" s="251"/>
      <c r="BW117" s="251"/>
      <c r="BX117" s="251"/>
      <c r="BY117" s="251"/>
      <c r="BZ117" s="251"/>
      <c r="CA117" s="251"/>
      <c r="CB117" s="251"/>
      <c r="CC117" s="251"/>
      <c r="CD117" s="251"/>
      <c r="CE117" s="251"/>
    </row>
    <row r="118" spans="3:83" s="44" customFormat="1" x14ac:dyDescent="0.2">
      <c r="C118" s="95"/>
      <c r="D118" s="95"/>
      <c r="E118" s="95"/>
      <c r="F118" s="95"/>
      <c r="AP118"/>
      <c r="AQ118"/>
      <c r="AR118" s="82"/>
      <c r="AS118" s="82"/>
      <c r="AT118" s="82"/>
      <c r="AU118"/>
      <c r="AV118"/>
      <c r="AW118"/>
      <c r="AX118"/>
      <c r="AY118"/>
      <c r="AZ118"/>
      <c r="BA118"/>
      <c r="BB118"/>
      <c r="BC118"/>
      <c r="BD118"/>
      <c r="BE118"/>
      <c r="BG118" s="251"/>
      <c r="BH118" s="251"/>
      <c r="BI118" s="251"/>
      <c r="BJ118" s="251"/>
      <c r="BK118" s="251"/>
      <c r="BL118" s="251"/>
      <c r="BM118" s="251"/>
      <c r="BN118" s="251"/>
      <c r="BO118" s="251"/>
      <c r="BP118" s="251"/>
      <c r="BQ118" s="251"/>
      <c r="BR118" s="251"/>
      <c r="BS118" s="251"/>
      <c r="BT118" s="251"/>
      <c r="BU118" s="251"/>
      <c r="BV118" s="251"/>
      <c r="BW118" s="251"/>
      <c r="BX118" s="251"/>
      <c r="BY118" s="251"/>
      <c r="BZ118" s="251"/>
      <c r="CA118" s="251"/>
      <c r="CB118" s="251"/>
      <c r="CC118" s="251"/>
      <c r="CD118" s="251"/>
      <c r="CE118" s="251"/>
    </row>
    <row r="119" spans="3:83" s="44" customFormat="1" x14ac:dyDescent="0.2">
      <c r="C119" s="95"/>
      <c r="D119" s="95"/>
      <c r="E119" s="95"/>
      <c r="F119" s="95"/>
      <c r="AP119"/>
      <c r="AQ119"/>
      <c r="AR119" s="82"/>
      <c r="AS119" s="82"/>
      <c r="AT119" s="82"/>
      <c r="AU119"/>
      <c r="AV119"/>
      <c r="AW119"/>
      <c r="AX119"/>
      <c r="AY119"/>
      <c r="AZ119"/>
      <c r="BA119"/>
      <c r="BB119"/>
      <c r="BC119"/>
      <c r="BD119"/>
      <c r="BE119"/>
      <c r="BG119" s="251"/>
      <c r="BH119" s="251"/>
      <c r="BI119" s="251"/>
      <c r="BJ119" s="251"/>
      <c r="BK119" s="251"/>
      <c r="BL119" s="251"/>
      <c r="BM119" s="251"/>
      <c r="BN119" s="251"/>
      <c r="BO119" s="251"/>
      <c r="BP119" s="251"/>
      <c r="BQ119" s="251"/>
      <c r="BR119" s="251"/>
      <c r="BS119" s="251"/>
      <c r="BT119" s="251"/>
      <c r="BU119" s="251"/>
      <c r="BV119" s="251"/>
      <c r="BW119" s="251"/>
      <c r="BX119" s="251"/>
      <c r="BY119" s="251"/>
      <c r="BZ119" s="251"/>
      <c r="CA119" s="251"/>
      <c r="CB119" s="251"/>
      <c r="CC119" s="251"/>
      <c r="CD119" s="251"/>
      <c r="CE119" s="251"/>
    </row>
    <row r="120" spans="3:83" s="44" customFormat="1" x14ac:dyDescent="0.2">
      <c r="C120" s="95"/>
      <c r="D120" s="95"/>
      <c r="E120" s="95"/>
      <c r="F120" s="95"/>
      <c r="AP120"/>
      <c r="AQ120"/>
      <c r="AR120" s="82"/>
      <c r="AS120" s="82"/>
      <c r="AT120" s="82"/>
      <c r="AU120"/>
      <c r="AV120"/>
      <c r="AW120"/>
      <c r="AX120"/>
      <c r="AY120"/>
      <c r="AZ120"/>
      <c r="BA120"/>
      <c r="BB120"/>
      <c r="BC120"/>
      <c r="BD120"/>
      <c r="BE120"/>
      <c r="BG120" s="251"/>
      <c r="BH120" s="251"/>
      <c r="BI120" s="251"/>
      <c r="BJ120" s="251"/>
      <c r="BK120" s="251"/>
      <c r="BL120" s="251"/>
      <c r="BM120" s="251"/>
      <c r="BN120" s="251"/>
      <c r="BO120" s="251"/>
      <c r="BP120" s="251"/>
      <c r="BQ120" s="251"/>
      <c r="BR120" s="251"/>
      <c r="BS120" s="251"/>
      <c r="BT120" s="251"/>
      <c r="BU120" s="251"/>
      <c r="BV120" s="251"/>
      <c r="BW120" s="251"/>
      <c r="BX120" s="251"/>
      <c r="BY120" s="251"/>
      <c r="BZ120" s="251"/>
      <c r="CA120" s="251"/>
      <c r="CB120" s="251"/>
      <c r="CC120" s="251"/>
      <c r="CD120" s="251"/>
      <c r="CE120" s="251"/>
    </row>
    <row r="121" spans="3:83" s="44" customFormat="1" x14ac:dyDescent="0.2">
      <c r="C121" s="95"/>
      <c r="D121" s="95"/>
      <c r="E121" s="95"/>
      <c r="F121" s="95"/>
      <c r="AP121"/>
      <c r="AQ121"/>
      <c r="AR121" s="82"/>
      <c r="AS121" s="82"/>
      <c r="AT121" s="82"/>
      <c r="AU121"/>
      <c r="AV121"/>
      <c r="AW121"/>
      <c r="AX121"/>
      <c r="AY121"/>
      <c r="AZ121"/>
      <c r="BA121"/>
      <c r="BB121"/>
      <c r="BC121"/>
      <c r="BD121"/>
      <c r="BE121"/>
      <c r="BG121" s="251"/>
      <c r="BH121" s="251"/>
      <c r="BI121" s="251"/>
      <c r="BJ121" s="251"/>
      <c r="BK121" s="251"/>
      <c r="BL121" s="251"/>
      <c r="BM121" s="251"/>
      <c r="BN121" s="251"/>
      <c r="BO121" s="251"/>
      <c r="BP121" s="251"/>
      <c r="BQ121" s="251"/>
      <c r="BR121" s="251"/>
      <c r="BS121" s="251"/>
      <c r="BT121" s="251"/>
      <c r="BU121" s="251"/>
      <c r="BV121" s="251"/>
      <c r="BW121" s="251"/>
      <c r="BX121" s="251"/>
      <c r="BY121" s="251"/>
      <c r="BZ121" s="251"/>
      <c r="CA121" s="251"/>
      <c r="CB121" s="251"/>
      <c r="CC121" s="251"/>
      <c r="CD121" s="251"/>
      <c r="CE121" s="251"/>
    </row>
    <row r="122" spans="3:83" s="44" customFormat="1" x14ac:dyDescent="0.2">
      <c r="C122" s="95"/>
      <c r="D122" s="95"/>
      <c r="E122" s="95"/>
      <c r="F122" s="95"/>
      <c r="AP122"/>
      <c r="AQ122"/>
      <c r="AR122" s="82"/>
      <c r="AS122" s="82"/>
      <c r="AT122" s="82"/>
      <c r="AU122"/>
      <c r="AV122"/>
      <c r="AW122"/>
      <c r="AX122"/>
      <c r="AY122"/>
      <c r="AZ122"/>
      <c r="BA122"/>
      <c r="BB122"/>
      <c r="BC122"/>
      <c r="BD122"/>
      <c r="BE122"/>
      <c r="BG122" s="251"/>
      <c r="BH122" s="251"/>
      <c r="BI122" s="251"/>
      <c r="BJ122" s="251"/>
      <c r="BK122" s="251"/>
      <c r="BL122" s="251"/>
      <c r="BM122" s="251"/>
      <c r="BN122" s="251"/>
      <c r="BO122" s="251"/>
      <c r="BP122" s="251"/>
      <c r="BQ122" s="251"/>
      <c r="BR122" s="251"/>
      <c r="BS122" s="251"/>
      <c r="BT122" s="251"/>
      <c r="BU122" s="251"/>
      <c r="BV122" s="251"/>
      <c r="BW122" s="251"/>
      <c r="BX122" s="251"/>
      <c r="BY122" s="251"/>
      <c r="BZ122" s="251"/>
      <c r="CA122" s="251"/>
      <c r="CB122" s="251"/>
      <c r="CC122" s="251"/>
      <c r="CD122" s="251"/>
      <c r="CE122" s="251"/>
    </row>
    <row r="123" spans="3:83" s="44" customFormat="1" x14ac:dyDescent="0.2">
      <c r="C123" s="95"/>
      <c r="D123" s="95"/>
      <c r="E123" s="95"/>
      <c r="F123" s="95"/>
      <c r="AP123"/>
      <c r="AQ123"/>
      <c r="AR123" s="82"/>
      <c r="AS123" s="82"/>
      <c r="AT123" s="82"/>
      <c r="AU123"/>
      <c r="AV123"/>
      <c r="AW123"/>
      <c r="AX123"/>
      <c r="AY123"/>
      <c r="AZ123"/>
      <c r="BA123"/>
      <c r="BB123"/>
      <c r="BC123"/>
      <c r="BD123"/>
      <c r="BE123"/>
      <c r="BG123" s="251"/>
      <c r="BH123" s="251"/>
      <c r="BI123" s="251"/>
      <c r="BJ123" s="251"/>
      <c r="BK123" s="251"/>
      <c r="BL123" s="251"/>
      <c r="BM123" s="251"/>
      <c r="BN123" s="251"/>
      <c r="BO123" s="251"/>
      <c r="BP123" s="251"/>
      <c r="BQ123" s="251"/>
      <c r="BR123" s="251"/>
      <c r="BS123" s="251"/>
      <c r="BT123" s="251"/>
      <c r="BU123" s="251"/>
      <c r="BV123" s="251"/>
      <c r="BW123" s="251"/>
      <c r="BX123" s="251"/>
      <c r="BY123" s="251"/>
      <c r="BZ123" s="251"/>
      <c r="CA123" s="251"/>
      <c r="CB123" s="251"/>
      <c r="CC123" s="251"/>
      <c r="CD123" s="251"/>
      <c r="CE123" s="251"/>
    </row>
    <row r="124" spans="3:83" s="44" customFormat="1" x14ac:dyDescent="0.2">
      <c r="C124" s="95"/>
      <c r="D124" s="95"/>
      <c r="E124" s="95"/>
      <c r="F124" s="95"/>
      <c r="AP124"/>
      <c r="AQ124"/>
      <c r="AR124" s="82"/>
      <c r="AS124" s="82"/>
      <c r="AT124" s="82"/>
      <c r="AU124"/>
      <c r="AV124"/>
      <c r="AW124"/>
      <c r="AX124"/>
      <c r="AY124"/>
      <c r="AZ124"/>
      <c r="BA124"/>
      <c r="BB124"/>
      <c r="BC124"/>
      <c r="BD124"/>
      <c r="BE124"/>
      <c r="BG124" s="251"/>
      <c r="BH124" s="251"/>
      <c r="BI124" s="251"/>
      <c r="BJ124" s="251"/>
      <c r="BK124" s="251"/>
      <c r="BL124" s="251"/>
      <c r="BM124" s="251"/>
      <c r="BN124" s="251"/>
      <c r="BO124" s="251"/>
      <c r="BP124" s="251"/>
      <c r="BQ124" s="251"/>
      <c r="BR124" s="251"/>
      <c r="BS124" s="251"/>
      <c r="BT124" s="251"/>
      <c r="BU124" s="251"/>
      <c r="BV124" s="251"/>
      <c r="BW124" s="251"/>
      <c r="BX124" s="251"/>
      <c r="BY124" s="251"/>
      <c r="BZ124" s="251"/>
      <c r="CA124" s="251"/>
      <c r="CB124" s="251"/>
      <c r="CC124" s="251"/>
      <c r="CD124" s="251"/>
      <c r="CE124" s="251"/>
    </row>
    <row r="125" spans="3:83" s="44" customFormat="1" x14ac:dyDescent="0.2">
      <c r="C125" s="95"/>
      <c r="D125" s="95"/>
      <c r="E125" s="95"/>
      <c r="F125" s="95"/>
      <c r="AP125"/>
      <c r="AQ125"/>
      <c r="AR125" s="82"/>
      <c r="AS125" s="82"/>
      <c r="AT125" s="82"/>
      <c r="AU125"/>
      <c r="AV125"/>
      <c r="AW125"/>
      <c r="AX125"/>
      <c r="AY125"/>
      <c r="AZ125"/>
      <c r="BA125"/>
      <c r="BB125"/>
      <c r="BC125"/>
      <c r="BD125"/>
      <c r="BE125"/>
      <c r="BG125" s="251"/>
      <c r="BH125" s="251"/>
      <c r="BI125" s="251"/>
      <c r="BJ125" s="251"/>
      <c r="BK125" s="251"/>
      <c r="BL125" s="251"/>
      <c r="BM125" s="251"/>
      <c r="BN125" s="251"/>
      <c r="BO125" s="251"/>
      <c r="BP125" s="251"/>
      <c r="BQ125" s="251"/>
      <c r="BR125" s="251"/>
      <c r="BS125" s="251"/>
      <c r="BT125" s="251"/>
      <c r="BU125" s="251"/>
      <c r="BV125" s="251"/>
      <c r="BW125" s="251"/>
      <c r="BX125" s="251"/>
      <c r="BY125" s="251"/>
      <c r="BZ125" s="251"/>
      <c r="CA125" s="251"/>
      <c r="CB125" s="251"/>
      <c r="CC125" s="251"/>
      <c r="CD125" s="251"/>
      <c r="CE125" s="251"/>
    </row>
    <row r="126" spans="3:83" s="44" customFormat="1" x14ac:dyDescent="0.2">
      <c r="C126" s="95"/>
      <c r="D126" s="95"/>
      <c r="E126" s="95"/>
      <c r="F126" s="95"/>
      <c r="AP126"/>
      <c r="AQ126"/>
      <c r="AR126" s="82"/>
      <c r="AS126" s="82"/>
      <c r="AT126" s="82"/>
      <c r="AU126"/>
      <c r="AV126"/>
      <c r="AW126"/>
      <c r="AX126"/>
      <c r="AY126"/>
      <c r="AZ126"/>
      <c r="BA126"/>
      <c r="BB126"/>
      <c r="BC126"/>
      <c r="BD126"/>
      <c r="BE126"/>
      <c r="BG126" s="251"/>
      <c r="BH126" s="251"/>
      <c r="BI126" s="251"/>
      <c r="BJ126" s="251"/>
      <c r="BK126" s="251"/>
      <c r="BL126" s="251"/>
      <c r="BM126" s="251"/>
      <c r="BN126" s="251"/>
      <c r="BO126" s="251"/>
      <c r="BP126" s="251"/>
      <c r="BQ126" s="251"/>
      <c r="BR126" s="251"/>
      <c r="BS126" s="251"/>
      <c r="BT126" s="251"/>
      <c r="BU126" s="251"/>
      <c r="BV126" s="251"/>
      <c r="BW126" s="251"/>
      <c r="BX126" s="251"/>
      <c r="BY126" s="251"/>
      <c r="BZ126" s="251"/>
      <c r="CA126" s="251"/>
      <c r="CB126" s="251"/>
      <c r="CC126" s="251"/>
      <c r="CD126" s="251"/>
      <c r="CE126" s="251"/>
    </row>
    <row r="127" spans="3:83" s="44" customFormat="1" x14ac:dyDescent="0.2">
      <c r="C127" s="95"/>
      <c r="D127" s="95"/>
      <c r="E127" s="95"/>
      <c r="F127" s="95"/>
      <c r="AP127"/>
      <c r="AQ127"/>
      <c r="AR127" s="82"/>
      <c r="AS127" s="82"/>
      <c r="AT127" s="82"/>
      <c r="AU127"/>
      <c r="AV127"/>
      <c r="AW127"/>
      <c r="AX127"/>
      <c r="AY127"/>
      <c r="AZ127"/>
      <c r="BA127"/>
      <c r="BB127"/>
      <c r="BC127"/>
      <c r="BD127"/>
      <c r="BE127"/>
      <c r="BF127" s="44" t="s">
        <v>21</v>
      </c>
      <c r="BG127" s="251"/>
      <c r="BH127" s="251"/>
      <c r="BI127" s="251"/>
      <c r="BJ127" s="251"/>
      <c r="BK127" s="251"/>
      <c r="BL127" s="251"/>
      <c r="BM127" s="251"/>
      <c r="BN127" s="251"/>
      <c r="BO127" s="251"/>
      <c r="BP127" s="251"/>
      <c r="BQ127" s="251"/>
      <c r="BR127" s="251"/>
      <c r="BS127" s="251"/>
      <c r="BT127" s="251"/>
      <c r="BU127" s="251"/>
      <c r="BV127" s="251"/>
      <c r="BW127" s="251"/>
      <c r="BX127" s="251"/>
      <c r="BY127" s="251"/>
      <c r="BZ127" s="251"/>
      <c r="CA127" s="251"/>
      <c r="CB127" s="251"/>
      <c r="CC127" s="251"/>
      <c r="CD127" s="251"/>
      <c r="CE127" s="251"/>
    </row>
    <row r="128" spans="3:83" s="44" customFormat="1" x14ac:dyDescent="0.2">
      <c r="C128" s="95"/>
      <c r="D128" s="95"/>
      <c r="E128" s="95"/>
      <c r="F128" s="95"/>
      <c r="AP128"/>
      <c r="AQ128"/>
      <c r="AR128" s="82"/>
      <c r="AS128" s="82"/>
      <c r="AT128" s="82"/>
      <c r="AU128"/>
      <c r="AV128"/>
      <c r="AW128"/>
      <c r="AX128"/>
      <c r="AY128"/>
      <c r="AZ128"/>
      <c r="BA128"/>
      <c r="BB128"/>
      <c r="BC128"/>
      <c r="BD128"/>
      <c r="BE128"/>
      <c r="BF128" s="44" t="s">
        <v>21</v>
      </c>
      <c r="BG128" s="251"/>
      <c r="BH128" s="251"/>
      <c r="BI128" s="251"/>
      <c r="BJ128" s="251"/>
      <c r="BK128" s="251"/>
      <c r="BL128" s="251"/>
      <c r="BM128" s="251"/>
      <c r="BN128" s="251"/>
      <c r="BO128" s="251"/>
      <c r="BP128" s="251"/>
      <c r="BQ128" s="251"/>
      <c r="BR128" s="251"/>
      <c r="BS128" s="251"/>
      <c r="BT128" s="251"/>
      <c r="BU128" s="251"/>
      <c r="BV128" s="251"/>
      <c r="BW128" s="251"/>
      <c r="BX128" s="251"/>
      <c r="BY128" s="251"/>
      <c r="BZ128" s="251"/>
      <c r="CA128" s="251"/>
      <c r="CB128" s="251"/>
      <c r="CC128" s="251"/>
      <c r="CD128" s="251"/>
      <c r="CE128" s="251"/>
    </row>
    <row r="129" spans="3:83" s="44" customFormat="1" x14ac:dyDescent="0.2">
      <c r="C129" s="95"/>
      <c r="D129" s="95"/>
      <c r="E129" s="95"/>
      <c r="F129" s="95"/>
      <c r="AP129"/>
      <c r="AQ129"/>
      <c r="AR129" s="82"/>
      <c r="AS129" s="82"/>
      <c r="AT129" s="82"/>
      <c r="AU129"/>
      <c r="AV129"/>
      <c r="AW129"/>
      <c r="AX129"/>
      <c r="AY129"/>
      <c r="AZ129"/>
      <c r="BA129"/>
      <c r="BB129"/>
      <c r="BC129"/>
      <c r="BD129"/>
      <c r="BE129"/>
      <c r="BG129" s="251"/>
      <c r="BH129" s="251"/>
      <c r="BI129" s="251"/>
      <c r="BJ129" s="251"/>
      <c r="BK129" s="251"/>
      <c r="BL129" s="251"/>
      <c r="BM129" s="251"/>
      <c r="BN129" s="251"/>
      <c r="BO129" s="251"/>
      <c r="BP129" s="251"/>
      <c r="BQ129" s="251"/>
      <c r="BR129" s="251"/>
      <c r="BS129" s="251"/>
      <c r="BT129" s="251"/>
      <c r="BU129" s="251"/>
      <c r="BV129" s="251"/>
      <c r="BW129" s="251"/>
      <c r="BX129" s="251"/>
      <c r="BY129" s="251"/>
      <c r="BZ129" s="251"/>
      <c r="CA129" s="251"/>
      <c r="CB129" s="251"/>
      <c r="CC129" s="251"/>
      <c r="CD129" s="251"/>
      <c r="CE129" s="251"/>
    </row>
    <row r="130" spans="3:83" s="44" customFormat="1" x14ac:dyDescent="0.2">
      <c r="C130" s="95"/>
      <c r="D130" s="95"/>
      <c r="E130" s="95"/>
      <c r="F130" s="95"/>
      <c r="AP130"/>
      <c r="AQ130"/>
      <c r="AR130" s="82"/>
      <c r="AS130" s="82"/>
      <c r="AT130" s="82"/>
      <c r="AU130"/>
      <c r="AV130"/>
      <c r="AW130"/>
      <c r="AX130"/>
      <c r="AY130"/>
      <c r="AZ130"/>
      <c r="BA130"/>
      <c r="BB130"/>
      <c r="BC130"/>
      <c r="BD130"/>
      <c r="BE130"/>
      <c r="BG130" s="251"/>
      <c r="BH130" s="251"/>
      <c r="BI130" s="251"/>
      <c r="BJ130" s="251"/>
      <c r="BK130" s="251"/>
      <c r="BL130" s="251"/>
      <c r="BM130" s="251"/>
      <c r="BN130" s="251"/>
      <c r="BO130" s="251"/>
      <c r="BP130" s="251"/>
      <c r="BQ130" s="251"/>
      <c r="BR130" s="251"/>
      <c r="BS130" s="251"/>
      <c r="BT130" s="251"/>
      <c r="BU130" s="251"/>
      <c r="BV130" s="251"/>
      <c r="BW130" s="251"/>
      <c r="BX130" s="251"/>
      <c r="BY130" s="251"/>
      <c r="BZ130" s="251"/>
      <c r="CA130" s="251"/>
      <c r="CB130" s="251"/>
      <c r="CC130" s="251"/>
      <c r="CD130" s="251"/>
      <c r="CE130" s="251"/>
    </row>
    <row r="131" spans="3:83" s="44" customFormat="1" x14ac:dyDescent="0.2">
      <c r="C131" s="95"/>
      <c r="D131" s="95"/>
      <c r="E131" s="95"/>
      <c r="F131" s="95"/>
      <c r="AP131"/>
      <c r="AQ131"/>
      <c r="AR131" s="82"/>
      <c r="AS131" s="82"/>
      <c r="AT131" s="82"/>
      <c r="AU131"/>
      <c r="AV131"/>
      <c r="AW131"/>
      <c r="AX131"/>
      <c r="AY131"/>
      <c r="AZ131"/>
      <c r="BA131"/>
      <c r="BB131"/>
      <c r="BC131"/>
      <c r="BD131"/>
      <c r="BE131"/>
      <c r="BG131" s="251"/>
      <c r="BH131" s="251"/>
      <c r="BI131" s="251"/>
      <c r="BJ131" s="251"/>
      <c r="BK131" s="251"/>
      <c r="BL131" s="251"/>
      <c r="BM131" s="251"/>
      <c r="BN131" s="251"/>
      <c r="BO131" s="251"/>
      <c r="BP131" s="251"/>
      <c r="BQ131" s="251"/>
      <c r="BR131" s="251"/>
      <c r="BS131" s="251"/>
      <c r="BT131" s="251"/>
      <c r="BU131" s="251"/>
      <c r="BV131" s="251"/>
      <c r="BW131" s="251"/>
      <c r="BX131" s="251"/>
      <c r="BY131" s="251"/>
      <c r="BZ131" s="251"/>
      <c r="CA131" s="251"/>
      <c r="CB131" s="251"/>
      <c r="CC131" s="251"/>
      <c r="CD131" s="251"/>
      <c r="CE131" s="251"/>
    </row>
    <row r="132" spans="3:83" s="44" customFormat="1" x14ac:dyDescent="0.2">
      <c r="C132" s="95"/>
      <c r="D132" s="95"/>
      <c r="E132" s="95"/>
      <c r="F132" s="95"/>
      <c r="AP132"/>
      <c r="AQ132"/>
      <c r="AR132" s="82"/>
      <c r="AS132" s="82"/>
      <c r="AT132" s="82"/>
      <c r="AU132"/>
      <c r="AV132"/>
      <c r="AW132"/>
      <c r="AX132"/>
      <c r="AY132"/>
      <c r="AZ132"/>
      <c r="BA132"/>
      <c r="BB132"/>
      <c r="BC132"/>
      <c r="BD132"/>
      <c r="BE132"/>
      <c r="BG132" s="251"/>
      <c r="BH132" s="251"/>
      <c r="BI132" s="251"/>
      <c r="BJ132" s="251"/>
      <c r="BK132" s="251"/>
      <c r="BL132" s="251"/>
      <c r="BM132" s="251"/>
      <c r="BN132" s="251"/>
      <c r="BO132" s="251"/>
      <c r="BP132" s="251"/>
      <c r="BQ132" s="251"/>
      <c r="BR132" s="251"/>
      <c r="BS132" s="251"/>
      <c r="BT132" s="251"/>
      <c r="BU132" s="251"/>
      <c r="BV132" s="251"/>
      <c r="BW132" s="251"/>
      <c r="BX132" s="251"/>
      <c r="BY132" s="251"/>
      <c r="BZ132" s="251"/>
      <c r="CA132" s="251"/>
      <c r="CB132" s="251"/>
      <c r="CC132" s="251"/>
      <c r="CD132" s="251"/>
      <c r="CE132" s="251"/>
    </row>
    <row r="133" spans="3:83" s="44" customFormat="1" x14ac:dyDescent="0.2">
      <c r="C133" s="95"/>
      <c r="D133" s="95"/>
      <c r="E133" s="95"/>
      <c r="F133" s="95"/>
      <c r="AP133"/>
      <c r="AQ133"/>
      <c r="AR133" s="82"/>
      <c r="AS133" s="82"/>
      <c r="AT133" s="82"/>
      <c r="AU133"/>
      <c r="AV133"/>
      <c r="AW133"/>
      <c r="AX133"/>
      <c r="AY133"/>
      <c r="AZ133"/>
      <c r="BA133"/>
      <c r="BB133"/>
      <c r="BC133"/>
      <c r="BD133"/>
      <c r="BE133"/>
      <c r="BG133" s="251"/>
      <c r="BH133" s="251"/>
      <c r="BI133" s="251"/>
      <c r="BJ133" s="251"/>
      <c r="BK133" s="251"/>
      <c r="BL133" s="251"/>
      <c r="BM133" s="251"/>
      <c r="BN133" s="251"/>
      <c r="BO133" s="251"/>
      <c r="BP133" s="251"/>
      <c r="BQ133" s="251"/>
      <c r="BR133" s="251"/>
      <c r="BS133" s="251"/>
      <c r="BT133" s="251"/>
      <c r="BU133" s="251"/>
      <c r="BV133" s="251"/>
      <c r="BW133" s="251"/>
      <c r="BX133" s="251"/>
      <c r="BY133" s="251"/>
      <c r="BZ133" s="251"/>
      <c r="CA133" s="251"/>
      <c r="CB133" s="251"/>
      <c r="CC133" s="251"/>
      <c r="CD133" s="251"/>
      <c r="CE133" s="251"/>
    </row>
    <row r="134" spans="3:83" s="44" customFormat="1" x14ac:dyDescent="0.2">
      <c r="C134" s="95"/>
      <c r="D134" s="95"/>
      <c r="E134" s="95"/>
      <c r="F134" s="95"/>
      <c r="AP134"/>
      <c r="AQ134"/>
      <c r="AR134" s="82"/>
      <c r="AS134" s="82"/>
      <c r="AT134" s="82"/>
      <c r="AU134"/>
      <c r="AV134"/>
      <c r="AW134"/>
      <c r="AX134"/>
      <c r="AY134"/>
      <c r="AZ134"/>
      <c r="BA134"/>
      <c r="BB134"/>
      <c r="BC134"/>
      <c r="BD134"/>
      <c r="BE134"/>
      <c r="BG134" s="251"/>
      <c r="BH134" s="251"/>
      <c r="BI134" s="251"/>
      <c r="BJ134" s="251"/>
      <c r="BK134" s="251"/>
      <c r="BL134" s="251"/>
      <c r="BM134" s="251"/>
      <c r="BN134" s="251"/>
      <c r="BO134" s="251"/>
      <c r="BP134" s="251"/>
      <c r="BQ134" s="251"/>
      <c r="BR134" s="251"/>
      <c r="BS134" s="251"/>
      <c r="BT134" s="251"/>
      <c r="BU134" s="251"/>
      <c r="BV134" s="251"/>
      <c r="BW134" s="251"/>
      <c r="BX134" s="251"/>
      <c r="BY134" s="251"/>
      <c r="BZ134" s="251"/>
      <c r="CA134" s="251"/>
      <c r="CB134" s="251"/>
      <c r="CC134" s="251"/>
      <c r="CD134" s="251"/>
      <c r="CE134" s="251"/>
    </row>
    <row r="135" spans="3:83" s="44" customFormat="1" x14ac:dyDescent="0.2">
      <c r="C135" s="95"/>
      <c r="D135" s="95"/>
      <c r="E135" s="95"/>
      <c r="F135" s="95"/>
      <c r="AP135"/>
      <c r="AQ135" s="230"/>
      <c r="AR135" s="230"/>
      <c r="AS135" s="230"/>
      <c r="AT135"/>
      <c r="AU135"/>
      <c r="AV135"/>
      <c r="AW135"/>
      <c r="AX135"/>
      <c r="AY135"/>
      <c r="AZ135"/>
      <c r="BA135"/>
      <c r="BB135"/>
      <c r="BC135"/>
      <c r="BD135"/>
      <c r="BE135"/>
      <c r="BG135" s="251"/>
      <c r="BH135" s="251"/>
      <c r="BI135" s="251"/>
      <c r="BJ135" s="251"/>
      <c r="BK135" s="251"/>
      <c r="BL135" s="251"/>
      <c r="BM135" s="251"/>
      <c r="BN135" s="251"/>
      <c r="BO135" s="251"/>
      <c r="BP135" s="251"/>
      <c r="BQ135" s="251"/>
      <c r="BR135" s="251"/>
      <c r="BS135" s="251"/>
      <c r="BT135" s="251"/>
      <c r="BU135" s="251"/>
      <c r="BV135" s="251"/>
      <c r="BW135" s="251"/>
      <c r="BX135" s="251"/>
      <c r="BY135" s="251"/>
      <c r="BZ135" s="251"/>
      <c r="CA135" s="251"/>
      <c r="CB135" s="251"/>
      <c r="CC135" s="251"/>
      <c r="CD135" s="251"/>
      <c r="CE135" s="251"/>
    </row>
    <row r="136" spans="3:83" s="44" customFormat="1" x14ac:dyDescent="0.2">
      <c r="C136" s="95"/>
      <c r="D136" s="95"/>
      <c r="E136" s="95"/>
      <c r="F136" s="95"/>
      <c r="AP136"/>
      <c r="AQ136" s="230"/>
      <c r="AR136" s="230"/>
      <c r="AS136" s="230"/>
      <c r="AT136"/>
      <c r="AU136"/>
      <c r="AV136"/>
      <c r="AW136"/>
      <c r="AX136"/>
      <c r="AY136"/>
      <c r="AZ136"/>
      <c r="BA136"/>
      <c r="BB136"/>
      <c r="BC136"/>
      <c r="BD136"/>
      <c r="BE136"/>
      <c r="BG136" s="251"/>
      <c r="BH136" s="251"/>
      <c r="BI136" s="251"/>
      <c r="BJ136" s="251"/>
      <c r="BK136" s="251"/>
      <c r="BL136" s="251"/>
      <c r="BM136" s="251"/>
      <c r="BN136" s="251"/>
      <c r="BO136" s="251"/>
      <c r="BP136" s="251"/>
      <c r="BQ136" s="251"/>
      <c r="BR136" s="251"/>
      <c r="BS136" s="251"/>
      <c r="BT136" s="251"/>
      <c r="BU136" s="251"/>
      <c r="BV136" s="251"/>
      <c r="BW136" s="251"/>
      <c r="BX136" s="251"/>
      <c r="BY136" s="251"/>
      <c r="BZ136" s="251"/>
      <c r="CA136" s="251"/>
      <c r="CB136" s="251"/>
      <c r="CC136" s="251"/>
      <c r="CD136" s="251"/>
      <c r="CE136" s="251"/>
    </row>
    <row r="137" spans="3:83" s="44" customFormat="1" x14ac:dyDescent="0.2">
      <c r="C137" s="95"/>
      <c r="D137" s="95"/>
      <c r="E137" s="95"/>
      <c r="F137" s="95"/>
      <c r="AP137"/>
      <c r="AQ137" s="230"/>
      <c r="AR137" s="230"/>
      <c r="AS137" s="230"/>
      <c r="AT137" s="230"/>
      <c r="AU137"/>
      <c r="AV137"/>
      <c r="AW137"/>
      <c r="AX137"/>
      <c r="AY137"/>
      <c r="AZ137"/>
      <c r="BA137"/>
      <c r="BB137"/>
      <c r="BC137"/>
      <c r="BD137"/>
      <c r="BE137"/>
      <c r="BG137" s="251"/>
      <c r="BH137" s="251"/>
      <c r="BI137" s="251"/>
      <c r="BJ137" s="251"/>
      <c r="BK137" s="251"/>
      <c r="BL137" s="251"/>
      <c r="BM137" s="251"/>
      <c r="BN137" s="251"/>
      <c r="BO137" s="251"/>
      <c r="BP137" s="251"/>
      <c r="BQ137" s="251"/>
      <c r="BR137" s="251"/>
      <c r="BS137" s="251"/>
      <c r="BT137" s="251"/>
      <c r="BU137" s="251"/>
      <c r="BV137" s="251"/>
      <c r="BW137" s="251"/>
      <c r="BX137" s="251"/>
      <c r="BY137" s="251"/>
      <c r="BZ137" s="251"/>
      <c r="CA137" s="251"/>
      <c r="CB137" s="251"/>
      <c r="CC137" s="251"/>
      <c r="CD137" s="251"/>
      <c r="CE137" s="251"/>
    </row>
    <row r="138" spans="3:83" s="44" customFormat="1" x14ac:dyDescent="0.2">
      <c r="C138" s="95"/>
      <c r="D138" s="95"/>
      <c r="E138" s="95"/>
      <c r="F138" s="95"/>
      <c r="AP138"/>
      <c r="AQ138" s="230"/>
      <c r="AR138" s="230"/>
      <c r="AS138" s="230"/>
      <c r="AT138" s="230"/>
      <c r="AU138"/>
      <c r="AV138"/>
      <c r="AW138"/>
      <c r="AX138"/>
      <c r="AY138"/>
      <c r="AZ138"/>
      <c r="BA138"/>
      <c r="BB138"/>
      <c r="BC138"/>
      <c r="BD138"/>
      <c r="BE138"/>
      <c r="BG138" s="251"/>
      <c r="BH138" s="251"/>
      <c r="BI138" s="251"/>
      <c r="BJ138" s="251"/>
      <c r="BK138" s="251"/>
      <c r="BL138" s="251"/>
      <c r="BM138" s="251"/>
      <c r="BN138" s="251"/>
      <c r="BO138" s="251"/>
      <c r="BP138" s="251"/>
      <c r="BQ138" s="251"/>
      <c r="BR138" s="251"/>
      <c r="BS138" s="251"/>
      <c r="BT138" s="251"/>
      <c r="BU138" s="251"/>
      <c r="BV138" s="251"/>
      <c r="BW138" s="251"/>
      <c r="BX138" s="251"/>
      <c r="BY138" s="251"/>
      <c r="BZ138" s="251"/>
      <c r="CA138" s="251"/>
      <c r="CB138" s="251"/>
      <c r="CC138" s="251"/>
      <c r="CD138" s="251"/>
      <c r="CE138" s="251"/>
    </row>
    <row r="139" spans="3:83" s="44" customFormat="1" x14ac:dyDescent="0.2">
      <c r="C139" s="95"/>
      <c r="D139" s="95"/>
      <c r="E139" s="95"/>
      <c r="F139" s="95"/>
      <c r="AP139"/>
      <c r="AQ139" s="230"/>
      <c r="AR139" s="230"/>
      <c r="AS139" s="230"/>
      <c r="AT139" s="1"/>
      <c r="AU139"/>
      <c r="AV139"/>
      <c r="AW139"/>
      <c r="AX139"/>
      <c r="AY139"/>
      <c r="AZ139"/>
      <c r="BA139"/>
      <c r="BB139"/>
      <c r="BC139"/>
      <c r="BD139"/>
      <c r="BE139"/>
      <c r="BG139" s="251"/>
      <c r="BH139" s="251"/>
      <c r="BI139" s="251"/>
      <c r="BJ139" s="251"/>
      <c r="BK139" s="251"/>
      <c r="BL139" s="251"/>
      <c r="BM139" s="251"/>
      <c r="BN139" s="251"/>
      <c r="BO139" s="251"/>
      <c r="BP139" s="251"/>
      <c r="BQ139" s="251"/>
      <c r="BR139" s="251"/>
      <c r="BS139" s="251"/>
      <c r="BT139" s="251"/>
      <c r="BU139" s="251"/>
      <c r="BV139" s="251"/>
      <c r="BW139" s="251"/>
      <c r="BX139" s="251"/>
      <c r="BY139" s="251"/>
      <c r="BZ139" s="251"/>
      <c r="CA139" s="251"/>
      <c r="CB139" s="251"/>
      <c r="CC139" s="251"/>
      <c r="CD139" s="251"/>
      <c r="CE139" s="251"/>
    </row>
    <row r="140" spans="3:83" s="44" customFormat="1" x14ac:dyDescent="0.2">
      <c r="C140" s="95"/>
      <c r="D140" s="95"/>
      <c r="E140" s="95"/>
      <c r="F140" s="95"/>
      <c r="AP140"/>
      <c r="AQ140" s="230"/>
      <c r="AR140" s="230"/>
      <c r="AS140" s="230"/>
      <c r="AT140" s="1"/>
      <c r="AU140"/>
      <c r="AV140"/>
      <c r="AW140"/>
      <c r="AX140"/>
      <c r="AY140"/>
      <c r="AZ140"/>
      <c r="BA140"/>
      <c r="BB140"/>
      <c r="BC140"/>
      <c r="BD140"/>
      <c r="BE140"/>
      <c r="BG140" s="251"/>
      <c r="BH140" s="251"/>
      <c r="BI140" s="251"/>
      <c r="BJ140" s="251"/>
      <c r="BK140" s="251"/>
      <c r="BL140" s="251"/>
      <c r="BM140" s="251"/>
      <c r="BN140" s="251"/>
      <c r="BO140" s="251"/>
      <c r="BP140" s="251"/>
      <c r="BQ140" s="251"/>
      <c r="BR140" s="251"/>
      <c r="BS140" s="251"/>
      <c r="BT140" s="251"/>
      <c r="BU140" s="251"/>
      <c r="BV140" s="251"/>
      <c r="BW140" s="251"/>
      <c r="BX140" s="251"/>
      <c r="BY140" s="251"/>
      <c r="BZ140" s="251"/>
      <c r="CA140" s="251"/>
      <c r="CB140" s="251"/>
      <c r="CC140" s="251"/>
      <c r="CD140" s="251"/>
      <c r="CE140" s="251"/>
    </row>
    <row r="141" spans="3:83" s="44" customFormat="1" x14ac:dyDescent="0.2">
      <c r="C141" s="95"/>
      <c r="D141" s="95"/>
      <c r="E141" s="95"/>
      <c r="F141" s="95"/>
      <c r="AP141"/>
      <c r="AQ141" s="230"/>
      <c r="AR141" s="230"/>
      <c r="AS141" s="230"/>
      <c r="AT141" s="1"/>
      <c r="AU141"/>
      <c r="AV141"/>
      <c r="AW141"/>
      <c r="AX141"/>
      <c r="AY141"/>
      <c r="AZ141"/>
      <c r="BA141"/>
      <c r="BB141"/>
      <c r="BC141"/>
      <c r="BD141"/>
      <c r="BE141"/>
      <c r="BG141" s="251"/>
      <c r="BH141" s="251"/>
      <c r="BI141" s="251"/>
      <c r="BJ141" s="251"/>
      <c r="BK141" s="251"/>
      <c r="BL141" s="251"/>
      <c r="BM141" s="251"/>
      <c r="BN141" s="251"/>
      <c r="BO141" s="251"/>
      <c r="BP141" s="251"/>
      <c r="BQ141" s="251"/>
      <c r="BR141" s="251"/>
      <c r="BS141" s="251"/>
      <c r="BT141" s="251"/>
      <c r="BU141" s="251"/>
      <c r="BV141" s="251"/>
      <c r="BW141" s="251"/>
      <c r="BX141" s="251"/>
      <c r="BY141" s="251"/>
      <c r="BZ141" s="251"/>
      <c r="CA141" s="251"/>
      <c r="CB141" s="251"/>
      <c r="CC141" s="251"/>
      <c r="CD141" s="251"/>
      <c r="CE141" s="251"/>
    </row>
    <row r="142" spans="3:83" s="44" customFormat="1" x14ac:dyDescent="0.2">
      <c r="C142" s="95"/>
      <c r="D142" s="95"/>
      <c r="E142" s="95"/>
      <c r="F142" s="95"/>
      <c r="AP142"/>
      <c r="AQ142" s="230"/>
      <c r="AR142" s="230"/>
      <c r="AS142" s="230"/>
      <c r="AT142"/>
      <c r="AU142"/>
      <c r="AV142"/>
      <c r="AW142"/>
      <c r="AX142"/>
      <c r="AY142"/>
      <c r="AZ142"/>
      <c r="BA142"/>
      <c r="BB142"/>
      <c r="BC142"/>
      <c r="BD142"/>
      <c r="BE142"/>
      <c r="BG142" s="251"/>
      <c r="BH142" s="251"/>
      <c r="BI142" s="251"/>
      <c r="BJ142" s="251"/>
      <c r="BK142" s="251"/>
      <c r="BL142" s="251"/>
      <c r="BM142" s="251"/>
      <c r="BN142" s="251"/>
      <c r="BO142" s="251"/>
      <c r="BP142" s="251"/>
      <c r="BQ142" s="251"/>
      <c r="BR142" s="251"/>
      <c r="BS142" s="251"/>
      <c r="BT142" s="251"/>
      <c r="BU142" s="251"/>
      <c r="BV142" s="251"/>
      <c r="BW142" s="251"/>
      <c r="BX142" s="251"/>
      <c r="BY142" s="251"/>
      <c r="BZ142" s="251"/>
      <c r="CA142" s="251"/>
      <c r="CB142" s="251"/>
      <c r="CC142" s="251"/>
      <c r="CD142" s="251"/>
      <c r="CE142" s="251"/>
    </row>
    <row r="143" spans="3:83" s="44" customFormat="1" x14ac:dyDescent="0.2">
      <c r="C143" s="95"/>
      <c r="D143" s="95"/>
      <c r="E143" s="95"/>
      <c r="F143" s="95"/>
      <c r="AP143"/>
      <c r="AQ143" s="230"/>
      <c r="AR143" s="230"/>
      <c r="AS143" s="230"/>
      <c r="AT143"/>
      <c r="AU143"/>
      <c r="AV143"/>
      <c r="AW143"/>
      <c r="AX143"/>
      <c r="AY143"/>
      <c r="AZ143"/>
      <c r="BA143"/>
      <c r="BB143"/>
      <c r="BC143"/>
      <c r="BD143"/>
      <c r="BE143"/>
      <c r="BG143" s="251"/>
      <c r="BH143" s="251"/>
      <c r="BI143" s="251"/>
      <c r="BJ143" s="251"/>
      <c r="BK143" s="251"/>
      <c r="BL143" s="251"/>
      <c r="BM143" s="251"/>
      <c r="BN143" s="251"/>
      <c r="BO143" s="251"/>
      <c r="BP143" s="251"/>
      <c r="BQ143" s="251"/>
      <c r="BR143" s="251"/>
      <c r="BS143" s="251"/>
      <c r="BT143" s="251"/>
      <c r="BU143" s="251"/>
      <c r="BV143" s="251"/>
      <c r="BW143" s="251"/>
      <c r="BX143" s="251"/>
      <c r="BY143" s="251"/>
      <c r="BZ143" s="251"/>
      <c r="CA143" s="251"/>
      <c r="CB143" s="251"/>
      <c r="CC143" s="251"/>
      <c r="CD143" s="251"/>
      <c r="CE143" s="251"/>
    </row>
    <row r="144" spans="3:83" s="44" customFormat="1" x14ac:dyDescent="0.2">
      <c r="C144" s="95"/>
      <c r="D144" s="95"/>
      <c r="E144" s="95"/>
      <c r="F144" s="95"/>
      <c r="AP144"/>
      <c r="AQ144" s="230"/>
      <c r="AR144" s="230"/>
      <c r="AS144" s="230"/>
      <c r="AT144"/>
      <c r="AU144"/>
      <c r="AV144"/>
      <c r="AW144"/>
      <c r="AX144"/>
      <c r="AY144"/>
      <c r="AZ144"/>
      <c r="BA144"/>
      <c r="BB144"/>
      <c r="BC144"/>
      <c r="BD144"/>
      <c r="BE144"/>
      <c r="BG144" s="251"/>
      <c r="BH144" s="251"/>
      <c r="BI144" s="251"/>
      <c r="BJ144" s="251"/>
      <c r="BK144" s="251"/>
      <c r="BL144" s="251"/>
      <c r="BM144" s="251"/>
      <c r="BN144" s="251"/>
      <c r="BO144" s="251"/>
      <c r="BP144" s="251"/>
      <c r="BQ144" s="251"/>
      <c r="BR144" s="251"/>
      <c r="BS144" s="251"/>
      <c r="BT144" s="251"/>
      <c r="BU144" s="251"/>
      <c r="BV144" s="251"/>
      <c r="BW144" s="251"/>
      <c r="BX144" s="251"/>
      <c r="BY144" s="251"/>
      <c r="BZ144" s="251"/>
      <c r="CA144" s="251"/>
      <c r="CB144" s="251"/>
      <c r="CC144" s="251"/>
      <c r="CD144" s="251"/>
      <c r="CE144" s="251"/>
    </row>
    <row r="145" spans="3:98" s="44" customFormat="1" x14ac:dyDescent="0.2">
      <c r="C145" s="95"/>
      <c r="D145" s="95"/>
      <c r="E145" s="95"/>
      <c r="F145" s="95"/>
      <c r="AP145"/>
      <c r="AQ145" s="230"/>
      <c r="AR145" s="230"/>
      <c r="AS145" s="230"/>
      <c r="AT145"/>
      <c r="AU145"/>
      <c r="AV145"/>
      <c r="AW145"/>
      <c r="AX145"/>
      <c r="AY145"/>
      <c r="AZ145"/>
      <c r="BA145"/>
      <c r="BB145"/>
      <c r="BC145"/>
      <c r="BD145"/>
      <c r="BE145"/>
      <c r="BG145" s="251"/>
      <c r="BH145" s="251"/>
      <c r="BI145" s="251"/>
      <c r="BJ145" s="251"/>
      <c r="BK145" s="251"/>
      <c r="BL145" s="251"/>
      <c r="BM145" s="251"/>
      <c r="BN145" s="251"/>
      <c r="BO145" s="251"/>
      <c r="BP145" s="251"/>
      <c r="BQ145" s="251"/>
      <c r="BR145" s="251"/>
      <c r="BS145" s="251"/>
      <c r="BT145" s="251"/>
      <c r="BU145" s="251"/>
      <c r="BV145" s="251"/>
      <c r="BW145" s="251"/>
      <c r="BX145" s="251"/>
      <c r="BY145" s="251"/>
      <c r="BZ145" s="251"/>
      <c r="CA145" s="251"/>
      <c r="CB145" s="251"/>
      <c r="CC145" s="251"/>
      <c r="CD145" s="251"/>
      <c r="CE145" s="251"/>
    </row>
    <row r="146" spans="3:98" s="44" customFormat="1" x14ac:dyDescent="0.2">
      <c r="C146" s="95"/>
      <c r="D146" s="95"/>
      <c r="E146" s="95"/>
      <c r="F146" s="95"/>
      <c r="AP146"/>
      <c r="AQ146" s="230"/>
      <c r="AR146" s="230"/>
      <c r="AS146" s="230"/>
      <c r="AT146"/>
      <c r="AU146"/>
      <c r="AV146"/>
      <c r="AW146"/>
      <c r="AX146"/>
      <c r="AY146"/>
      <c r="AZ146"/>
      <c r="BA146"/>
      <c r="BB146"/>
      <c r="BC146"/>
      <c r="BD146"/>
      <c r="BE146"/>
      <c r="BG146" s="251"/>
      <c r="BH146" s="251"/>
      <c r="BI146" s="251"/>
      <c r="BJ146" s="251"/>
      <c r="BK146" s="251"/>
      <c r="BL146" s="251"/>
      <c r="BM146" s="251"/>
      <c r="BN146" s="251"/>
      <c r="BO146" s="251"/>
      <c r="BP146" s="251"/>
      <c r="BQ146" s="251"/>
      <c r="BR146" s="251"/>
      <c r="BS146" s="251"/>
      <c r="BT146" s="251"/>
      <c r="BU146" s="251"/>
      <c r="BV146" s="251"/>
      <c r="BW146" s="251"/>
      <c r="BX146" s="251"/>
      <c r="BY146" s="251"/>
      <c r="BZ146" s="251"/>
      <c r="CA146" s="251"/>
      <c r="CB146" s="251"/>
      <c r="CC146" s="251"/>
      <c r="CD146" s="251"/>
      <c r="CE146" s="251"/>
    </row>
    <row r="147" spans="3:98" s="44" customFormat="1" x14ac:dyDescent="0.2">
      <c r="C147" s="95"/>
      <c r="D147" s="95"/>
      <c r="E147" s="95"/>
      <c r="F147" s="95"/>
      <c r="AP147"/>
      <c r="AQ147" s="230"/>
      <c r="AR147" s="230"/>
      <c r="AS147" s="230"/>
      <c r="AT147"/>
      <c r="AU147"/>
      <c r="AV147"/>
      <c r="AW147"/>
      <c r="AX147"/>
      <c r="AY147"/>
      <c r="AZ147"/>
      <c r="BA147"/>
      <c r="BB147"/>
      <c r="BC147"/>
      <c r="BD147"/>
      <c r="BE147"/>
      <c r="BG147" s="251"/>
      <c r="BH147" s="251"/>
      <c r="BI147" s="251"/>
      <c r="BJ147" s="251"/>
      <c r="BK147" s="251"/>
      <c r="BL147" s="251"/>
      <c r="BM147" s="251"/>
      <c r="BN147" s="251"/>
      <c r="BO147" s="251"/>
      <c r="BP147" s="251"/>
      <c r="BQ147" s="251"/>
      <c r="BR147" s="251"/>
      <c r="BS147" s="251"/>
      <c r="BT147" s="251"/>
      <c r="BU147" s="251"/>
      <c r="BV147" s="251"/>
      <c r="BW147" s="251"/>
      <c r="BX147" s="251"/>
      <c r="BY147" s="251"/>
      <c r="BZ147" s="251"/>
      <c r="CA147" s="251"/>
      <c r="CB147" s="251"/>
      <c r="CC147" s="251"/>
      <c r="CD147" s="251"/>
      <c r="CE147" s="251"/>
    </row>
    <row r="148" spans="3:98" s="44" customFormat="1" x14ac:dyDescent="0.2">
      <c r="C148" s="95"/>
      <c r="D148" s="95"/>
      <c r="E148" s="95"/>
      <c r="F148" s="95"/>
      <c r="AP148"/>
      <c r="AQ148" s="230"/>
      <c r="AR148" s="230"/>
      <c r="AS148" s="230"/>
      <c r="AT148"/>
      <c r="AU148"/>
      <c r="AV148"/>
      <c r="AW148"/>
      <c r="AX148"/>
      <c r="AY148"/>
      <c r="AZ148"/>
      <c r="BA148"/>
      <c r="BB148"/>
      <c r="BC148"/>
      <c r="BD148"/>
      <c r="BE148"/>
      <c r="BG148" s="251"/>
      <c r="BH148" s="251"/>
      <c r="BI148" s="251"/>
      <c r="BJ148" s="251"/>
      <c r="BK148" s="251"/>
      <c r="BL148" s="251"/>
      <c r="BM148" s="251"/>
      <c r="BN148" s="251"/>
      <c r="BO148" s="251"/>
      <c r="BP148" s="251"/>
      <c r="BQ148" s="251"/>
      <c r="BR148" s="251"/>
      <c r="BS148" s="251"/>
      <c r="BT148" s="251"/>
      <c r="BU148" s="251"/>
      <c r="BV148" s="251"/>
      <c r="BW148" s="251"/>
      <c r="BX148" s="251"/>
      <c r="BY148" s="251"/>
      <c r="BZ148" s="251"/>
      <c r="CA148" s="251"/>
      <c r="CB148" s="251"/>
      <c r="CC148" s="251"/>
      <c r="CD148" s="251"/>
      <c r="CE148" s="251"/>
    </row>
    <row r="149" spans="3:98" s="44" customFormat="1" x14ac:dyDescent="0.2">
      <c r="C149" s="95"/>
      <c r="D149" s="95"/>
      <c r="E149" s="95"/>
      <c r="F149" s="95"/>
      <c r="AP149"/>
      <c r="AQ149" s="230"/>
      <c r="AR149" s="230"/>
      <c r="AS149" s="230"/>
      <c r="AT149"/>
      <c r="AU149"/>
      <c r="AV149"/>
      <c r="AW149"/>
      <c r="AX149"/>
      <c r="AY149"/>
      <c r="AZ149"/>
      <c r="BA149"/>
      <c r="BB149"/>
      <c r="BC149"/>
      <c r="BD149"/>
      <c r="BE149"/>
      <c r="BG149" s="251"/>
      <c r="BH149" s="251"/>
      <c r="BI149" s="251"/>
      <c r="BJ149" s="251"/>
      <c r="BK149" s="251"/>
      <c r="BL149" s="251"/>
      <c r="BM149" s="251"/>
      <c r="BN149" s="251"/>
      <c r="BO149" s="251"/>
      <c r="BP149" s="251"/>
      <c r="BQ149" s="251"/>
      <c r="BR149" s="251"/>
      <c r="BS149" s="251"/>
      <c r="BT149" s="251"/>
      <c r="BU149" s="251"/>
      <c r="BV149" s="251"/>
      <c r="BW149" s="251"/>
      <c r="BX149" s="251"/>
      <c r="BY149" s="251"/>
      <c r="BZ149" s="251"/>
      <c r="CA149" s="251"/>
      <c r="CB149" s="251"/>
      <c r="CC149" s="251"/>
      <c r="CD149" s="251"/>
      <c r="CE149" s="251"/>
    </row>
    <row r="150" spans="3:98" s="44" customFormat="1" x14ac:dyDescent="0.2">
      <c r="C150" s="95"/>
      <c r="D150" s="95"/>
      <c r="E150" s="95"/>
      <c r="F150" s="95"/>
      <c r="AP150"/>
      <c r="AQ150" s="230"/>
      <c r="AR150" s="230"/>
      <c r="AS150" s="230"/>
      <c r="AT150"/>
      <c r="AU150"/>
      <c r="AV150"/>
      <c r="AW150"/>
      <c r="AX150"/>
      <c r="AY150"/>
      <c r="AZ150"/>
      <c r="BA150"/>
      <c r="BB150"/>
      <c r="BC150"/>
      <c r="BD150"/>
      <c r="BE150"/>
      <c r="BG150" s="251"/>
      <c r="BH150" s="251"/>
      <c r="BI150" s="251"/>
      <c r="BJ150" s="251"/>
      <c r="BK150" s="251"/>
      <c r="BL150" s="251"/>
      <c r="BM150" s="251"/>
      <c r="BN150" s="251"/>
      <c r="BO150" s="251"/>
      <c r="BP150" s="251"/>
      <c r="BQ150" s="251"/>
      <c r="BR150" s="251"/>
      <c r="BS150" s="251"/>
      <c r="BT150" s="251"/>
      <c r="BU150" s="251"/>
      <c r="BV150" s="251"/>
      <c r="BW150" s="251"/>
      <c r="BX150" s="251"/>
      <c r="BY150" s="251"/>
      <c r="BZ150" s="251"/>
      <c r="CA150" s="251"/>
      <c r="CB150" s="251"/>
      <c r="CC150" s="251"/>
      <c r="CD150" s="251"/>
      <c r="CE150" s="251"/>
    </row>
    <row r="151" spans="3:98" s="44" customFormat="1" x14ac:dyDescent="0.2">
      <c r="C151" s="95"/>
      <c r="D151" s="95"/>
      <c r="E151" s="95"/>
      <c r="F151" s="95"/>
      <c r="AP151"/>
      <c r="AQ151" s="230"/>
      <c r="AR151" s="230"/>
      <c r="AS151" s="230"/>
      <c r="AT151"/>
      <c r="AU151"/>
      <c r="AV151"/>
      <c r="AW151"/>
      <c r="AX151"/>
      <c r="AY151"/>
      <c r="AZ151"/>
      <c r="BA151"/>
      <c r="BB151"/>
      <c r="BC151"/>
      <c r="BD151"/>
      <c r="BE151"/>
      <c r="BG151" s="251"/>
      <c r="BH151" s="251"/>
      <c r="BI151" s="251"/>
      <c r="BJ151" s="251"/>
      <c r="BK151" s="251"/>
      <c r="BL151" s="251"/>
      <c r="BM151" s="251"/>
      <c r="BN151" s="251"/>
      <c r="BO151" s="251"/>
      <c r="BP151" s="251"/>
      <c r="BQ151" s="251"/>
      <c r="BR151" s="251"/>
      <c r="BS151" s="251"/>
      <c r="BT151" s="251"/>
      <c r="BU151" s="251"/>
      <c r="BV151" s="251"/>
      <c r="BW151" s="251"/>
      <c r="BX151" s="251"/>
      <c r="BY151" s="251"/>
      <c r="BZ151" s="251"/>
      <c r="CA151" s="251"/>
      <c r="CB151" s="251"/>
      <c r="CC151" s="251"/>
      <c r="CD151" s="251"/>
      <c r="CE151" s="251"/>
    </row>
    <row r="152" spans="3:98" s="44" customFormat="1" x14ac:dyDescent="0.2">
      <c r="C152" s="95"/>
      <c r="D152" s="95"/>
      <c r="E152" s="95"/>
      <c r="F152" s="95"/>
      <c r="AP152"/>
      <c r="AQ152" s="230"/>
      <c r="AR152" s="230"/>
      <c r="AS152" s="230"/>
      <c r="AT152"/>
      <c r="AU152"/>
      <c r="AV152"/>
      <c r="AW152"/>
      <c r="AX152"/>
      <c r="AY152"/>
      <c r="AZ152"/>
      <c r="BA152"/>
      <c r="BB152"/>
      <c r="BC152"/>
      <c r="BD152"/>
      <c r="BE152"/>
      <c r="BG152" s="251"/>
      <c r="BH152" s="251"/>
      <c r="BI152" s="251"/>
      <c r="BJ152" s="251"/>
      <c r="BK152" s="251"/>
      <c r="BL152" s="251"/>
      <c r="BM152" s="251"/>
      <c r="BN152" s="251"/>
      <c r="BO152" s="251"/>
      <c r="BP152" s="251"/>
      <c r="BQ152" s="251"/>
      <c r="BR152" s="251"/>
      <c r="BS152" s="251"/>
      <c r="BT152" s="251"/>
      <c r="BU152" s="251"/>
      <c r="BV152" s="251"/>
      <c r="BW152" s="251"/>
      <c r="BX152" s="251"/>
      <c r="BY152" s="251"/>
      <c r="BZ152" s="251"/>
      <c r="CA152" s="251"/>
      <c r="CB152" s="251"/>
      <c r="CC152" s="251"/>
      <c r="CD152" s="251"/>
      <c r="CE152" s="251"/>
    </row>
    <row r="153" spans="3:98" s="44" customFormat="1" x14ac:dyDescent="0.2">
      <c r="C153" s="95"/>
      <c r="D153" s="95"/>
      <c r="E153" s="95"/>
      <c r="F153" s="95"/>
      <c r="AP153"/>
      <c r="AQ153" s="230"/>
      <c r="AR153" s="230"/>
      <c r="AS153" s="230"/>
      <c r="AT153"/>
      <c r="AU153"/>
      <c r="AV153"/>
      <c r="AW153"/>
      <c r="AX153"/>
      <c r="AY153"/>
      <c r="AZ153"/>
      <c r="BA153"/>
      <c r="BB153"/>
      <c r="BC153"/>
      <c r="BD153"/>
      <c r="BE153"/>
      <c r="BG153" s="251"/>
      <c r="BH153" s="251"/>
      <c r="BI153" s="251"/>
      <c r="BJ153" s="251"/>
      <c r="BK153" s="251"/>
      <c r="BL153" s="251"/>
      <c r="BM153" s="251"/>
      <c r="BN153" s="251"/>
      <c r="BO153" s="251"/>
      <c r="BP153" s="251"/>
      <c r="BQ153" s="251"/>
      <c r="BR153" s="251"/>
      <c r="BS153" s="251"/>
      <c r="BT153" s="251"/>
      <c r="BU153" s="251"/>
      <c r="BV153" s="251"/>
      <c r="BW153" s="251"/>
      <c r="BX153" s="251"/>
      <c r="BY153" s="251"/>
      <c r="BZ153" s="251"/>
      <c r="CA153" s="251"/>
      <c r="CB153" s="251"/>
      <c r="CC153" s="251"/>
      <c r="CD153" s="251"/>
      <c r="CE153" s="251"/>
    </row>
    <row r="154" spans="3:98" x14ac:dyDescent="0.2"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</row>
    <row r="182" spans="42:57" x14ac:dyDescent="0.2"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</row>
    <row r="183" spans="42:57" x14ac:dyDescent="0.2"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</row>
    <row r="184" spans="42:57" x14ac:dyDescent="0.2"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</row>
    <row r="185" spans="42:57" x14ac:dyDescent="0.2"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</row>
    <row r="186" spans="42:57" x14ac:dyDescent="0.2"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</row>
    <row r="187" spans="42:57" x14ac:dyDescent="0.2"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</row>
    <row r="188" spans="42:57" x14ac:dyDescent="0.2"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</row>
    <row r="189" spans="42:57" x14ac:dyDescent="0.2">
      <c r="AP189" t="s">
        <v>21</v>
      </c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</row>
    <row r="190" spans="42:57" x14ac:dyDescent="0.2">
      <c r="AP190" t="s">
        <v>21</v>
      </c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</row>
    <row r="191" spans="42:57" x14ac:dyDescent="0.2"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</row>
    <row r="192" spans="42:57" x14ac:dyDescent="0.2"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</row>
    <row r="193" spans="47:57" x14ac:dyDescent="0.2"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</row>
    <row r="194" spans="47:57" x14ac:dyDescent="0.2"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</row>
    <row r="195" spans="47:57" x14ac:dyDescent="0.2"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</row>
    <row r="196" spans="47:57" x14ac:dyDescent="0.2"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</row>
    <row r="197" spans="47:57" x14ac:dyDescent="0.2"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</row>
    <row r="198" spans="47:57" x14ac:dyDescent="0.2"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</row>
    <row r="199" spans="47:57" x14ac:dyDescent="0.2"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</row>
    <row r="200" spans="47:57" x14ac:dyDescent="0.2"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</row>
    <row r="201" spans="47:57" x14ac:dyDescent="0.2"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</row>
    <row r="202" spans="47:57" x14ac:dyDescent="0.2"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</row>
    <row r="203" spans="47:57" x14ac:dyDescent="0.2"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</row>
    <row r="204" spans="47:57" x14ac:dyDescent="0.2"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</row>
    <row r="205" spans="47:57" x14ac:dyDescent="0.2"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</row>
    <row r="206" spans="47:57" x14ac:dyDescent="0.2"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</row>
    <row r="207" spans="47:57" x14ac:dyDescent="0.2"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</row>
    <row r="208" spans="47:57" x14ac:dyDescent="0.2"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</row>
    <row r="209" spans="42:57" x14ac:dyDescent="0.2"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</row>
    <row r="210" spans="42:57" x14ac:dyDescent="0.2"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</row>
    <row r="211" spans="42:57" x14ac:dyDescent="0.2"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</row>
    <row r="212" spans="42:57" x14ac:dyDescent="0.2"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</row>
    <row r="213" spans="42:57" x14ac:dyDescent="0.2"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</row>
    <row r="214" spans="42:57" x14ac:dyDescent="0.2"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</row>
    <row r="215" spans="42:57" x14ac:dyDescent="0.2">
      <c r="AP215" s="44"/>
      <c r="AQ215" s="44"/>
      <c r="AR215" s="44"/>
      <c r="AS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</row>
    <row r="216" spans="42:57" x14ac:dyDescent="0.2">
      <c r="AP216" s="44"/>
      <c r="AQ216" s="227"/>
      <c r="AR216" s="227"/>
      <c r="AS216" s="227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</row>
    <row r="217" spans="42:57" x14ac:dyDescent="0.2">
      <c r="AP217" s="44"/>
      <c r="AQ217" s="227"/>
      <c r="AR217" s="227"/>
      <c r="AS217" s="227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</row>
    <row r="218" spans="42:57" x14ac:dyDescent="0.2">
      <c r="AP218" s="44"/>
      <c r="AQ218" s="227"/>
      <c r="AR218" s="227"/>
      <c r="AS218" s="227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</row>
    <row r="219" spans="42:57" x14ac:dyDescent="0.2">
      <c r="AP219" s="44"/>
      <c r="AQ219" s="227"/>
      <c r="AR219" s="227"/>
      <c r="AS219" s="227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</row>
    <row r="220" spans="42:57" x14ac:dyDescent="0.2">
      <c r="AP220" s="44"/>
      <c r="AQ220" s="227"/>
      <c r="AR220" s="227"/>
      <c r="AS220" s="227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</row>
    <row r="221" spans="42:57" x14ac:dyDescent="0.2">
      <c r="AP221" s="44"/>
      <c r="AQ221" s="227"/>
      <c r="AR221" s="227"/>
      <c r="AS221" s="227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spans="42:57" x14ac:dyDescent="0.2">
      <c r="AP222" s="44"/>
      <c r="AQ222" s="227"/>
      <c r="AR222" s="227"/>
      <c r="AS222" s="227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</row>
    <row r="223" spans="42:57" x14ac:dyDescent="0.2">
      <c r="AP223" s="44"/>
      <c r="AQ223" s="227"/>
      <c r="AR223" s="227"/>
      <c r="AS223" s="227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</row>
    <row r="224" spans="42:57" x14ac:dyDescent="0.2">
      <c r="AP224" s="44"/>
      <c r="AQ224" s="227"/>
      <c r="AR224" s="227"/>
      <c r="AS224" s="227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</row>
    <row r="225" spans="42:57" x14ac:dyDescent="0.2">
      <c r="AP225" s="44"/>
      <c r="AQ225" s="227"/>
      <c r="AR225" s="227"/>
      <c r="AS225" s="227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</row>
    <row r="226" spans="42:57" x14ac:dyDescent="0.2">
      <c r="AP226" s="44"/>
      <c r="AQ226" s="227"/>
      <c r="AR226" s="227"/>
      <c r="AS226" s="227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</row>
    <row r="227" spans="42:57" x14ac:dyDescent="0.2">
      <c r="AP227" s="44"/>
      <c r="AQ227" s="227"/>
      <c r="AR227" s="227"/>
      <c r="AS227" s="227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</row>
    <row r="228" spans="42:57" x14ac:dyDescent="0.2">
      <c r="AP228" s="44"/>
      <c r="AQ228" s="227"/>
      <c r="AR228" s="227"/>
      <c r="AS228" s="227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</row>
    <row r="229" spans="42:57" x14ac:dyDescent="0.2">
      <c r="AP229" s="44"/>
      <c r="AQ229" s="227"/>
      <c r="AR229" s="227"/>
      <c r="AS229" s="227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</row>
    <row r="230" spans="42:57" x14ac:dyDescent="0.2">
      <c r="AP230" s="44"/>
      <c r="AQ230" s="227"/>
      <c r="AR230" s="227"/>
      <c r="AS230" s="227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</row>
    <row r="231" spans="42:57" x14ac:dyDescent="0.2">
      <c r="AP231" s="44"/>
      <c r="AQ231" s="227"/>
      <c r="AR231" s="227"/>
      <c r="AS231" s="227"/>
    </row>
    <row r="232" spans="42:57" x14ac:dyDescent="0.2">
      <c r="AP232" s="44"/>
      <c r="AQ232" s="227"/>
      <c r="AR232" s="227"/>
      <c r="AS232" s="227"/>
    </row>
    <row r="233" spans="42:57" x14ac:dyDescent="0.2">
      <c r="AP233" s="44"/>
      <c r="AQ233" s="227"/>
      <c r="AR233" s="227"/>
      <c r="AS233" s="227"/>
    </row>
    <row r="234" spans="42:57" x14ac:dyDescent="0.2">
      <c r="AP234" s="44"/>
      <c r="AQ234" s="227"/>
      <c r="AR234" s="227"/>
      <c r="AS234" s="227"/>
    </row>
    <row r="235" spans="42:57" x14ac:dyDescent="0.2">
      <c r="AP235" s="44"/>
      <c r="AQ235" s="227"/>
      <c r="AR235" s="227"/>
      <c r="AS235" s="227"/>
    </row>
    <row r="236" spans="42:57" x14ac:dyDescent="0.2">
      <c r="AP236" s="44"/>
      <c r="AQ236" s="227"/>
      <c r="AR236" s="227"/>
      <c r="AS236" s="227"/>
    </row>
    <row r="237" spans="42:57" x14ac:dyDescent="0.2">
      <c r="AP237" s="44"/>
      <c r="AQ237" s="227"/>
      <c r="AR237" s="227"/>
      <c r="AS237" s="227"/>
    </row>
    <row r="238" spans="42:57" x14ac:dyDescent="0.2">
      <c r="AP238" s="44"/>
      <c r="AQ238" s="227"/>
      <c r="AR238" s="227"/>
      <c r="AS238" s="227"/>
    </row>
    <row r="239" spans="42:57" x14ac:dyDescent="0.2">
      <c r="AP239" s="44"/>
      <c r="AQ239" s="227"/>
      <c r="AR239" s="227"/>
      <c r="AS239" s="227"/>
    </row>
    <row r="240" spans="42:57" x14ac:dyDescent="0.2">
      <c r="AP240" s="44"/>
      <c r="AQ240" s="227"/>
      <c r="AR240" s="227"/>
      <c r="AS240" s="227"/>
    </row>
    <row r="241" spans="42:45" x14ac:dyDescent="0.2">
      <c r="AP241" s="44"/>
      <c r="AQ241" s="227"/>
      <c r="AR241" s="227"/>
      <c r="AS241" s="227"/>
    </row>
    <row r="242" spans="42:45" x14ac:dyDescent="0.2">
      <c r="AP242" s="44"/>
      <c r="AQ242" s="227"/>
      <c r="AR242" s="227"/>
      <c r="AS242" s="227"/>
    </row>
    <row r="243" spans="42:45" x14ac:dyDescent="0.2">
      <c r="AP243" s="44"/>
      <c r="AQ243" s="227"/>
      <c r="AR243" s="227"/>
      <c r="AS243" s="227"/>
    </row>
    <row r="244" spans="42:45" x14ac:dyDescent="0.2">
      <c r="AP244" s="44"/>
      <c r="AQ244" s="227"/>
      <c r="AR244" s="227"/>
      <c r="AS244" s="227"/>
    </row>
    <row r="245" spans="42:45" x14ac:dyDescent="0.2">
      <c r="AP245" s="44"/>
      <c r="AQ245" s="227"/>
      <c r="AR245" s="227"/>
      <c r="AS245" s="227"/>
    </row>
    <row r="246" spans="42:45" x14ac:dyDescent="0.2">
      <c r="AP246" s="44"/>
      <c r="AQ246" s="227"/>
      <c r="AR246" s="227"/>
      <c r="AS246" s="227"/>
    </row>
    <row r="247" spans="42:45" x14ac:dyDescent="0.2">
      <c r="AP247" s="44"/>
      <c r="AQ247" s="227"/>
      <c r="AR247" s="227"/>
      <c r="AS247" s="227"/>
    </row>
    <row r="248" spans="42:45" x14ac:dyDescent="0.2">
      <c r="AP248" s="44"/>
      <c r="AQ248" s="227"/>
      <c r="AR248" s="227"/>
      <c r="AS248" s="227"/>
    </row>
    <row r="249" spans="42:45" x14ac:dyDescent="0.2">
      <c r="AP249" s="44"/>
      <c r="AQ249" s="227"/>
      <c r="AR249" s="227"/>
      <c r="AS249" s="227"/>
    </row>
    <row r="250" spans="42:45" x14ac:dyDescent="0.2">
      <c r="AP250" s="44"/>
      <c r="AQ250" s="227"/>
      <c r="AR250" s="227"/>
      <c r="AS250" s="227"/>
    </row>
    <row r="251" spans="42:45" x14ac:dyDescent="0.2">
      <c r="AP251" s="44"/>
      <c r="AQ251" s="227"/>
      <c r="AR251" s="227"/>
      <c r="AS251" s="227"/>
    </row>
    <row r="252" spans="42:45" x14ac:dyDescent="0.2">
      <c r="AP252" s="44"/>
      <c r="AQ252" s="227"/>
      <c r="AR252" s="227"/>
      <c r="AS252" s="227"/>
    </row>
    <row r="253" spans="42:45" x14ac:dyDescent="0.2">
      <c r="AP253" s="44"/>
      <c r="AQ253" s="227"/>
      <c r="AR253" s="227"/>
      <c r="AS253" s="227"/>
    </row>
    <row r="254" spans="42:45" x14ac:dyDescent="0.2">
      <c r="AP254" s="44"/>
      <c r="AQ254" s="227"/>
      <c r="AR254" s="227"/>
      <c r="AS254" s="227"/>
    </row>
    <row r="255" spans="42:45" x14ac:dyDescent="0.2">
      <c r="AP255" s="44"/>
      <c r="AQ255" s="227"/>
      <c r="AR255" s="227"/>
      <c r="AS255" s="227"/>
    </row>
    <row r="256" spans="42:45" x14ac:dyDescent="0.2">
      <c r="AP256" s="44"/>
      <c r="AQ256" s="227"/>
      <c r="AR256" s="227"/>
      <c r="AS256" s="227"/>
    </row>
    <row r="257" spans="42:45" x14ac:dyDescent="0.2">
      <c r="AP257" s="44"/>
      <c r="AQ257" s="227"/>
      <c r="AR257" s="227"/>
      <c r="AS257" s="227"/>
    </row>
    <row r="258" spans="42:45" x14ac:dyDescent="0.2">
      <c r="AP258" s="44"/>
      <c r="AQ258" s="227"/>
      <c r="AR258" s="227"/>
      <c r="AS258" s="227"/>
    </row>
    <row r="259" spans="42:45" x14ac:dyDescent="0.2">
      <c r="AP259" s="44"/>
      <c r="AQ259" s="227"/>
      <c r="AR259" s="227"/>
      <c r="AS259" s="227"/>
    </row>
    <row r="260" spans="42:45" x14ac:dyDescent="0.2">
      <c r="AP260" s="44"/>
      <c r="AQ260" s="227"/>
      <c r="AR260" s="227"/>
      <c r="AS260" s="227"/>
    </row>
    <row r="261" spans="42:45" x14ac:dyDescent="0.2">
      <c r="AP261" s="44"/>
      <c r="AQ261" s="227"/>
      <c r="AR261" s="227"/>
      <c r="AS261" s="227"/>
    </row>
    <row r="262" spans="42:45" x14ac:dyDescent="0.2">
      <c r="AP262" s="44"/>
      <c r="AQ262" s="227"/>
      <c r="AR262" s="227"/>
      <c r="AS262" s="227"/>
    </row>
    <row r="263" spans="42:45" x14ac:dyDescent="0.2">
      <c r="AP263" s="44"/>
      <c r="AQ263" s="227"/>
      <c r="AR263" s="227"/>
      <c r="AS263" s="2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1B1A-E22C-4941-A36D-7965DFAFF7A3}">
  <dimension ref="A1:AP108"/>
  <sheetViews>
    <sheetView topLeftCell="A33" workbookViewId="0">
      <selection activeCell="M93" sqref="M93"/>
    </sheetView>
  </sheetViews>
  <sheetFormatPr baseColWidth="10" defaultRowHeight="15" x14ac:dyDescent="0.2"/>
  <cols>
    <col min="20" max="20" width="16" customWidth="1"/>
    <col min="29" max="29" width="25.33203125" customWidth="1"/>
    <col min="41" max="41" width="21" customWidth="1"/>
  </cols>
  <sheetData>
    <row r="1" spans="1:42" x14ac:dyDescent="0.2">
      <c r="A1" s="179"/>
      <c r="B1" s="180" t="s">
        <v>147</v>
      </c>
      <c r="C1" s="179"/>
      <c r="D1" s="179"/>
      <c r="E1" s="179"/>
    </row>
    <row r="3" spans="1:42" x14ac:dyDescent="0.2">
      <c r="AC3" s="1"/>
    </row>
    <row r="4" spans="1:42" x14ac:dyDescent="0.2">
      <c r="AO4" s="181" t="s">
        <v>148</v>
      </c>
    </row>
    <row r="5" spans="1:42" x14ac:dyDescent="0.2">
      <c r="B5" s="97"/>
      <c r="E5" s="182" t="s">
        <v>100</v>
      </c>
      <c r="F5" s="182" t="s">
        <v>149</v>
      </c>
      <c r="J5" s="182" t="s">
        <v>150</v>
      </c>
      <c r="K5" s="97"/>
      <c r="N5" s="182" t="s">
        <v>100</v>
      </c>
      <c r="O5" s="182" t="s">
        <v>151</v>
      </c>
      <c r="T5" s="182" t="s">
        <v>150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O5" s="183" t="s">
        <v>152</v>
      </c>
    </row>
    <row r="6" spans="1:42" x14ac:dyDescent="0.2">
      <c r="B6" s="262" t="s">
        <v>90</v>
      </c>
      <c r="C6" s="262"/>
      <c r="D6" s="262" t="s">
        <v>91</v>
      </c>
      <c r="E6" s="262"/>
      <c r="F6" s="262" t="s">
        <v>92</v>
      </c>
      <c r="G6" s="262"/>
      <c r="H6" s="262" t="s">
        <v>93</v>
      </c>
      <c r="I6" s="262"/>
      <c r="K6" s="262" t="s">
        <v>90</v>
      </c>
      <c r="L6" s="262"/>
      <c r="M6" s="262" t="s">
        <v>91</v>
      </c>
      <c r="N6" s="262"/>
      <c r="O6" s="262" t="s">
        <v>92</v>
      </c>
      <c r="P6" s="262"/>
      <c r="Q6" s="262" t="s">
        <v>93</v>
      </c>
      <c r="R6" s="262"/>
      <c r="T6" s="182" t="s">
        <v>153</v>
      </c>
      <c r="U6" s="14"/>
      <c r="V6" s="14"/>
      <c r="W6" s="14"/>
      <c r="X6" s="14"/>
      <c r="Y6" s="14"/>
      <c r="Z6" s="14"/>
      <c r="AA6" s="14"/>
      <c r="AB6" s="14"/>
      <c r="AC6" s="182" t="s">
        <v>151</v>
      </c>
      <c r="AD6" s="14"/>
      <c r="AE6" s="14"/>
      <c r="AF6" s="14"/>
      <c r="AG6" s="14"/>
      <c r="AH6" s="14"/>
      <c r="AI6" s="14"/>
      <c r="AJ6" s="14"/>
      <c r="AK6" s="14"/>
      <c r="AL6" s="14"/>
      <c r="AO6" s="183" t="s">
        <v>154</v>
      </c>
    </row>
    <row r="7" spans="1:42" x14ac:dyDescent="0.2">
      <c r="A7" s="7" t="s">
        <v>155</v>
      </c>
      <c r="B7" s="177" t="s">
        <v>156</v>
      </c>
      <c r="C7" s="177" t="s">
        <v>157</v>
      </c>
      <c r="D7" s="177" t="s">
        <v>156</v>
      </c>
      <c r="E7" s="177" t="s">
        <v>59</v>
      </c>
      <c r="F7" s="177" t="s">
        <v>156</v>
      </c>
      <c r="G7" s="177" t="s">
        <v>59</v>
      </c>
      <c r="H7" s="177" t="s">
        <v>58</v>
      </c>
      <c r="I7" s="177" t="s">
        <v>157</v>
      </c>
      <c r="K7" s="177" t="s">
        <v>156</v>
      </c>
      <c r="L7" s="177" t="s">
        <v>157</v>
      </c>
      <c r="M7" s="177" t="s">
        <v>156</v>
      </c>
      <c r="N7" s="177" t="s">
        <v>59</v>
      </c>
      <c r="O7" s="177" t="s">
        <v>156</v>
      </c>
      <c r="P7" s="177" t="s">
        <v>59</v>
      </c>
      <c r="Q7" s="177" t="s">
        <v>58</v>
      </c>
      <c r="R7" s="177" t="s">
        <v>157</v>
      </c>
      <c r="T7" s="178" t="s">
        <v>158</v>
      </c>
      <c r="U7" t="str">
        <f>CONCATENATE(B8," ",B9," ",B10," ",B11," ", B12, " ", B13, " ", B14, " ", B15, " ", B16, " ", B17, " ", B18, " ", B19, " ", B20, " ", B21, " ", B22, " ", B23, " ", B24, " ", B25, " ", B26, " ", B27, " ", B28, " ", B29, " ", B30, " ", B31, " ", B32, " ", B33, " ", B34, " ", B35, " ", B36, " ", B37)</f>
        <v xml:space="preserve">                      377.95       </v>
      </c>
      <c r="AC7" s="178" t="s">
        <v>158</v>
      </c>
      <c r="AD7" t="str">
        <f>CONCATENATE(K8," ",K9," ",K10," ",K11," ", K12, " ", K13, " ", K14, " ", K15, " ", K16, " ", K17, " ", K18, " ", K19, " ", K20, " ", K21, " ", K22, " ", K23, " ", K24, " ", K25, " ", K26, " ", K27, " ", K28, " ", K29, " ", K30, " ", K31, " ", K32, " ", K33, " ", K34, " ", K35, " ", K36, " ", K37)</f>
        <v xml:space="preserve">                      4       </v>
      </c>
      <c r="AO7" s="185" t="s">
        <v>158</v>
      </c>
      <c r="AP7" t="str">
        <f>CONCATENATE(U7,U42,U77)</f>
        <v xml:space="preserve">                      377.95                             377.97       5.97      107.98     196.98                  </v>
      </c>
    </row>
    <row r="8" spans="1:42" x14ac:dyDescent="0.2">
      <c r="A8" s="7">
        <v>1</v>
      </c>
      <c r="B8" s="184" t="str">
        <f>IF('AFNI STIM FILES'!T6="Approach",'AFNI STIM FILES'!C6, "")</f>
        <v/>
      </c>
      <c r="C8" s="184" t="str">
        <f>IF('AFNI STIM FILES'!T6="Approach",'AFNI STIM FILES'!E6, "")</f>
        <v/>
      </c>
      <c r="D8" s="184">
        <f>IF('AFNI STIM FILES'!T6="Ambivalent",'AFNI STIM FILES'!$C6, "")</f>
        <v>5.95</v>
      </c>
      <c r="E8" s="184">
        <f>IF('AFNI STIM FILES'!T6="Ambivalent",'AFNI STIM FILES'!$E6, "")</f>
        <v>9.9600000000000009</v>
      </c>
      <c r="F8" s="184" t="str">
        <f>IF('AFNI STIM FILES'!T6="Avoid",'AFNI STIM FILES'!$C6, "")</f>
        <v/>
      </c>
      <c r="G8" s="184" t="str">
        <f>IF('AFNI STIM FILES'!T6="Avoid",'AFNI STIM FILES'!$E6, "")</f>
        <v/>
      </c>
      <c r="H8" s="184" t="str">
        <f>IF('AFNI STIM FILES'!T6="Missing",'AFNI STIM FILES'!$C6, "")</f>
        <v/>
      </c>
      <c r="I8" s="184" t="str">
        <f>IF('AFNI STIM FILES'!T6="Missing",'AFNI STIM FILES'!$E6, "")</f>
        <v/>
      </c>
      <c r="K8" s="184" t="str">
        <f>IF('AFNI STIM FILES'!T6="Approach",'AFNI STIM FILES'!$D6, "")</f>
        <v/>
      </c>
      <c r="L8" s="184" t="str">
        <f>IF('AFNI STIM FILES'!T6="Approach",'AFNI STIM FILES'!$F6, "")</f>
        <v/>
      </c>
      <c r="M8" s="184">
        <f>IF('AFNI STIM FILES'!T6="Ambivalent",'AFNI STIM FILES'!$D6, "")</f>
        <v>4</v>
      </c>
      <c r="N8" s="184">
        <f>IF('AFNI STIM FILES'!T6="Ambivalent",'AFNI STIM FILES'!$F6, "")</f>
        <v>4.82</v>
      </c>
      <c r="O8" s="184" t="str">
        <f>IF('AFNI STIM FILES'!T6="Avoid",'AFNI STIM FILES'!$D6, "")</f>
        <v/>
      </c>
      <c r="P8" s="184" t="str">
        <f>IF('AFNI STIM FILES'!T6="Avoid",'AFNI STIM FILES'!$F6, "")</f>
        <v/>
      </c>
      <c r="Q8" s="184" t="str">
        <f>IF('AFNI STIM FILES'!T6="Missing",'AFNI STIM FILES'!$D6, "")</f>
        <v/>
      </c>
      <c r="R8" s="184" t="str">
        <f>IF('AFNI STIM FILES'!T6="Missing",'AFNI STIM FILES'!$F6, "")</f>
        <v/>
      </c>
      <c r="T8" t="s">
        <v>159</v>
      </c>
      <c r="U8" t="str">
        <f>CONCATENATE(C8, " ", C9, " ", C10, " ", C11, " ", C12, " ", C13, " ", C14, " ", C15, " ", C16, " ", C17, " ", C18, " ", C19, " ", C20, " ", C21, " ", C22, " ", C23, " ", C24, " ", C25, " ", C26, " ", C27, " ", C28, " ", C29, " ", C30, " ", C31, " ", C32, " ", C33, " ", C34, " ", C35, " ", C36, " ", C37)</f>
        <v xml:space="preserve">                      381.95       </v>
      </c>
      <c r="AC8" t="s">
        <v>159</v>
      </c>
      <c r="AD8" t="str">
        <f>CONCATENATE(L8, " ", L9, " ", L10, " ", L11, " ", L12, " ", L13, " ", L14, " ", L15, " ", L16, " ", L17, " ", L18, " ", L19, " ", L20, " ", L21, " ", L22, " ", L23, " ", L24, " ", L25, " ", L26, " ", L27, " ", L28, " ", L29, " ", L30, " ", L31, " ", L32, " ", L33, " ", L34, " ", L35, " ", L36, " ", L37)</f>
        <v xml:space="preserve">                      2.74       </v>
      </c>
      <c r="AO8" s="186" t="s">
        <v>159</v>
      </c>
      <c r="AP8" t="str">
        <f t="shared" ref="AP8:AP14" si="0">CONCATENATE(U8,U43,U78)</f>
        <v xml:space="preserve">                      381.95                             381.97       9.98      111.97     200.97                  </v>
      </c>
    </row>
    <row r="9" spans="1:42" x14ac:dyDescent="0.2">
      <c r="A9" s="7">
        <v>2</v>
      </c>
      <c r="B9" s="184" t="str">
        <f>IF('AFNI STIM FILES'!T7="Approach",'AFNI STIM FILES'!C7, "")</f>
        <v/>
      </c>
      <c r="C9" s="184" t="str">
        <f>IF('AFNI STIM FILES'!T7="Approach",'AFNI STIM FILES'!E7, "")</f>
        <v/>
      </c>
      <c r="D9" s="184">
        <f>IF('AFNI STIM FILES'!T7="Ambivalent",'AFNI STIM FILES'!$C7, "")</f>
        <v>22.95</v>
      </c>
      <c r="E9" s="184">
        <f>IF('AFNI STIM FILES'!T7="Ambivalent",'AFNI STIM FILES'!$E7, "")</f>
        <v>26.95</v>
      </c>
      <c r="F9" s="184" t="str">
        <f>IF('AFNI STIM FILES'!T7="Avoid",'AFNI STIM FILES'!$C7, "")</f>
        <v/>
      </c>
      <c r="G9" s="184" t="str">
        <f>IF('AFNI STIM FILES'!T7="Avoid",'AFNI STIM FILES'!$E7, "")</f>
        <v/>
      </c>
      <c r="H9" s="184" t="str">
        <f>IF('AFNI STIM FILES'!T7="Missing",'AFNI STIM FILES'!$C7, "")</f>
        <v/>
      </c>
      <c r="I9" s="184" t="str">
        <f>IF('AFNI STIM FILES'!T7="Missing",'AFNI STIM FILES'!$E7, "")</f>
        <v/>
      </c>
      <c r="K9" s="184" t="str">
        <f>IF('AFNI STIM FILES'!T7="Approach",'AFNI STIM FILES'!$D7, "")</f>
        <v/>
      </c>
      <c r="L9" s="184" t="str">
        <f>IF('AFNI STIM FILES'!T7="Approach",'AFNI STIM FILES'!$F7, "")</f>
        <v/>
      </c>
      <c r="M9" s="184">
        <f>IF('AFNI STIM FILES'!T7="Ambivalent",'AFNI STIM FILES'!$D7, "")</f>
        <v>4</v>
      </c>
      <c r="N9" s="184">
        <f>IF('AFNI STIM FILES'!T7="Ambivalent",'AFNI STIM FILES'!$F7, "")</f>
        <v>3.74</v>
      </c>
      <c r="O9" s="184" t="str">
        <f>IF('AFNI STIM FILES'!T7="Avoid",'AFNI STIM FILES'!$D7, "")</f>
        <v/>
      </c>
      <c r="P9" s="184" t="str">
        <f>IF('AFNI STIM FILES'!T7="Avoid",'AFNI STIM FILES'!$F7, "")</f>
        <v/>
      </c>
      <c r="Q9" s="184" t="str">
        <f>IF('AFNI STIM FILES'!T7="Missing",'AFNI STIM FILES'!$D7, "")</f>
        <v/>
      </c>
      <c r="R9" s="184" t="str">
        <f>IF('AFNI STIM FILES'!T7="Missing",'AFNI STIM FILES'!$F7, "")</f>
        <v/>
      </c>
      <c r="T9" t="s">
        <v>160</v>
      </c>
      <c r="U9" t="str">
        <f xml:space="preserve"> CONCATENATE(D8, " ", D9, " ", D10, " ", D11, " ", D12, " ", D13, " ", D14, " ", D15, " ", D16, " ", D17, " ", D18, " ", D19, " ", D20, " ", D21, " ", D22, " ", D23, " ", D24, " ", D25, " ", D26, " ", D27, " ", D28, " ", D29, " ", D30, " ", D31, " ", D32, " ", D33, " ", D34, " ", D35, " ", D36, " ", D37)</f>
        <v>5.95 22.95  64.95 79.94 94.96  126.95  166.96  196.95 209.96 232.96  264.95 279.94 300.94  328.95  356.95  392.95  420.95  452.96  488.95</v>
      </c>
      <c r="AC9" t="s">
        <v>160</v>
      </c>
      <c r="AD9" t="str">
        <f xml:space="preserve"> CONCATENATE(M8, " ", M9, " ", M10, " ", M11, " ", M12, " ", M13, " ", M14, " ", M15, " ", M16, " ", M17, " ", M18, " ", M19, " ", M20, " ", M21, " ", M22, " ", M23, " ", M24, " ", M25, " ", M26, " ", M27, " ", M28, " ", M29, " ", M30, " ", M31, " ", M32, " ", M33, " ", M34, " ", M35, " ", M36, " ", M37)</f>
        <v>4 4  4 4 4  4  3.99  4 3.99 3.99  4 4 4  4  4  4  4  3.99  4</v>
      </c>
      <c r="AO9" s="186" t="s">
        <v>160</v>
      </c>
      <c r="AP9" t="str">
        <f t="shared" si="0"/>
        <v>5.95 22.95  64.95 79.94 94.96  126.95  166.96  196.95 209.96 232.96  264.95 279.94 300.94  328.95  356.95  392.95  420.95  452.96  488.955.97 22.97  64.97 79.96 94.97  126.96  166.96  196.97 209.98 232.96  264.97 279.96 300.96  328.97  356.97  392.96  420.97  452.98  488.97 22.97  64.98 79.98 94.97  126.98  166.98   209.98 232.98  264.98 279.98 300.98 313.97 328.98 343.98 356.97 377.97 392.98 405.97 420.98  452.98  488.97</v>
      </c>
    </row>
    <row r="10" spans="1:42" x14ac:dyDescent="0.2">
      <c r="A10" s="7">
        <v>3</v>
      </c>
      <c r="B10" s="184" t="str">
        <f>IF('AFNI STIM FILES'!T8="Approach",'AFNI STIM FILES'!C8, "")</f>
        <v/>
      </c>
      <c r="C10" s="184" t="str">
        <f>IF('AFNI STIM FILES'!T8="Approach",'AFNI STIM FILES'!E8, "")</f>
        <v/>
      </c>
      <c r="D10" s="184" t="str">
        <f>IF('AFNI STIM FILES'!T8="Ambivalent",'AFNI STIM FILES'!$C8, "")</f>
        <v/>
      </c>
      <c r="E10" s="184" t="str">
        <f>IF('AFNI STIM FILES'!T8="Ambivalent",'AFNI STIM FILES'!$E8, "")</f>
        <v/>
      </c>
      <c r="F10" s="184">
        <f>IF('AFNI STIM FILES'!T8="Avoid",'AFNI STIM FILES'!$C8, "")</f>
        <v>45.95</v>
      </c>
      <c r="G10" s="184">
        <f>IF('AFNI STIM FILES'!T8="Avoid",'AFNI STIM FILES'!$E8, "")</f>
        <v>49.95</v>
      </c>
      <c r="H10" s="184" t="str">
        <f>IF('AFNI STIM FILES'!T8="Missing",'AFNI STIM FILES'!$C8, "")</f>
        <v/>
      </c>
      <c r="I10" s="184" t="str">
        <f>IF('AFNI STIM FILES'!T8="Missing",'AFNI STIM FILES'!$E8, "")</f>
        <v/>
      </c>
      <c r="K10" s="184" t="str">
        <f>IF('AFNI STIM FILES'!T8="Approach",'AFNI STIM FILES'!$D8, "")</f>
        <v/>
      </c>
      <c r="L10" s="184" t="str">
        <f>IF('AFNI STIM FILES'!T8="Approach",'AFNI STIM FILES'!$F8, "")</f>
        <v/>
      </c>
      <c r="M10" s="184" t="str">
        <f>IF('AFNI STIM FILES'!T8="Ambivalent",'AFNI STIM FILES'!$D8, "")</f>
        <v/>
      </c>
      <c r="N10" s="184" t="str">
        <f>IF('AFNI STIM FILES'!T8="Ambivalent",'AFNI STIM FILES'!$F8, "")</f>
        <v/>
      </c>
      <c r="O10" s="184">
        <f>IF('AFNI STIM FILES'!T8="Avoid",'AFNI STIM FILES'!$D8, "")</f>
        <v>4</v>
      </c>
      <c r="P10" s="184">
        <f>IF('AFNI STIM FILES'!T8="Avoid",'AFNI STIM FILES'!$F8, "")</f>
        <v>3.87</v>
      </c>
      <c r="Q10" s="184" t="str">
        <f>IF('AFNI STIM FILES'!T8="Missing",'AFNI STIM FILES'!$D8, "")</f>
        <v/>
      </c>
      <c r="R10" s="184" t="str">
        <f>IF('AFNI STIM FILES'!T8="Missing",'AFNI STIM FILES'!$F8, "")</f>
        <v/>
      </c>
      <c r="T10" t="s">
        <v>161</v>
      </c>
      <c r="U10" t="str">
        <f>CONCATENATE(E8, " ", E9, " ", E10, " ", E11, " ", E12, " ", E13, " ", E14, " ", E15, " ", E16, " ", E17, " ", E18, " ", E19, " ", E20, " ", E21, " ", E22, " ", E23, " ", E24, " ", E25, " ", E26, " ", E27, " ", E28, " ", E29, " ", E30, " ", E31, " ", E32, " ", E33, " ", E34, " ", E35, " ", E36, " ", E37)</f>
        <v>9.96 26.95  68.95 83.95 98.96  130.95  170.95  200.95 213.94 236.95  268.95 283.95 304.95  332.95  360.96  396.95  424.95  456.94  492.96</v>
      </c>
      <c r="AC10" t="s">
        <v>161</v>
      </c>
      <c r="AD10" t="str">
        <f>CONCATENATE(N8, " ", N9, " ", N10, " ", N11, " ", N12, " ", N13, " ", N14, " ", N15, " ", N16, " ", N17, " ", N18, " ", N19, " ", N20, " ", N21, " ", N22, " ", N23, " ", N24, " ", N25, " ", N26, " ", N27, " ", N28, " ", N29, " ", N30, " ", N31, " ", N32, " ", N33, " ", N34, " ", N35, " ", N36, " ", N37)</f>
        <v>4.82 3.74  2.59 4.92 3.72  2.99  2.38  2.29 3.32 2.39  2.83 1.8 2.05  2.52  1.48  1.97  2.34  2.04  4.55</v>
      </c>
      <c r="AO10" s="186" t="s">
        <v>161</v>
      </c>
      <c r="AP10" t="str">
        <f t="shared" si="0"/>
        <v>9.96 26.95  68.95 83.95 98.96  130.95  170.95  200.95 213.94 236.95  268.95 283.95 304.95  332.95  360.96  396.95  424.95  456.94  492.969.98 26.97  68.97 83.96 98.98  130.97  170.96  200.97 213.96 236.96  268.97 283.96 304.96  332.97  360.97  396.97  424.97  456.96  492.97 26.97  68.97 83.98 98.98  130.98  170.98   213.98 236.98  268.97 283.98 304.98 317.97 332.97 347.98 360.97 381.97 396.98 409.98 424.97  456.98  492.97</v>
      </c>
    </row>
    <row r="11" spans="1:42" x14ac:dyDescent="0.2">
      <c r="A11" s="7">
        <v>4</v>
      </c>
      <c r="B11" s="184" t="str">
        <f>IF('AFNI STIM FILES'!T9="Approach",'AFNI STIM FILES'!C9, "")</f>
        <v/>
      </c>
      <c r="C11" s="184" t="str">
        <f>IF('AFNI STIM FILES'!T9="Approach",'AFNI STIM FILES'!E9, "")</f>
        <v/>
      </c>
      <c r="D11" s="184">
        <f>IF('AFNI STIM FILES'!T9="Ambivalent",'AFNI STIM FILES'!$C9, "")</f>
        <v>64.95</v>
      </c>
      <c r="E11" s="184">
        <f>IF('AFNI STIM FILES'!T9="Ambivalent",'AFNI STIM FILES'!$E9, "")</f>
        <v>68.95</v>
      </c>
      <c r="F11" s="184" t="str">
        <f>IF('AFNI STIM FILES'!T9="Avoid",'AFNI STIM FILES'!$C9, "")</f>
        <v/>
      </c>
      <c r="G11" s="184" t="str">
        <f>IF('AFNI STIM FILES'!T9="Avoid",'AFNI STIM FILES'!$E9, "")</f>
        <v/>
      </c>
      <c r="H11" s="184" t="str">
        <f>IF('AFNI STIM FILES'!T9="Missing",'AFNI STIM FILES'!$C9, "")</f>
        <v/>
      </c>
      <c r="I11" s="184" t="str">
        <f>IF('AFNI STIM FILES'!T9="Missing",'AFNI STIM FILES'!$E9, "")</f>
        <v/>
      </c>
      <c r="K11" s="184" t="str">
        <f>IF('AFNI STIM FILES'!T9="Approach",'AFNI STIM FILES'!$D9, "")</f>
        <v/>
      </c>
      <c r="L11" s="184" t="str">
        <f>IF('AFNI STIM FILES'!T9="Approach",'AFNI STIM FILES'!$F9, "")</f>
        <v/>
      </c>
      <c r="M11" s="184">
        <f>IF('AFNI STIM FILES'!T9="Ambivalent",'AFNI STIM FILES'!$D9, "")</f>
        <v>4</v>
      </c>
      <c r="N11" s="184">
        <f>IF('AFNI STIM FILES'!T9="Ambivalent",'AFNI STIM FILES'!$F9, "")</f>
        <v>2.59</v>
      </c>
      <c r="O11" s="184" t="str">
        <f>IF('AFNI STIM FILES'!T9="Avoid",'AFNI STIM FILES'!$D9, "")</f>
        <v/>
      </c>
      <c r="P11" s="184" t="str">
        <f>IF('AFNI STIM FILES'!T9="Avoid",'AFNI STIM FILES'!$F9, "")</f>
        <v/>
      </c>
      <c r="Q11" s="184" t="str">
        <f>IF('AFNI STIM FILES'!T9="Missing",'AFNI STIM FILES'!$D9, "")</f>
        <v/>
      </c>
      <c r="R11" s="184" t="str">
        <f>IF('AFNI STIM FILES'!T9="Missing",'AFNI STIM FILES'!$F9, "")</f>
        <v/>
      </c>
      <c r="T11" t="s">
        <v>162</v>
      </c>
      <c r="U11" t="str">
        <f>CONCATENATE(F8, " ", F9, " ", F10, " ", F11, " ", F12, " ", F13, " ", F14, " ", F15, " ", F16, " ", F17, " ", F18, " ", F19, " ", F20, " ", F21, " ", F22, " ", F23, " ", F24, " ", F25, " ", F26, " ", F27, " ", F28, " ", F29, " ", F30, " ", F31, " ", F32, " ", F33, " ", F34, " ", F35, " ", F36, " ", F37)</f>
        <v xml:space="preserve">  45.95    107.95  145.94  181.95    247.95    313.95  343.96    405.96  437.95  475.96 </v>
      </c>
      <c r="AC11" t="s">
        <v>162</v>
      </c>
      <c r="AD11" t="str">
        <f>CONCATENATE(O8, " ", O9, " ", O10, " ", O11, " ", O12, " ", O13, " ", O14, " ", O15, " ", O16, " ", O17, " ", O18, " ", O19, " ", O20, " ", O21, " ", O22, " ", O23, " ", O24, " ", O25, " ", O26, " ", O27, " ", O28, " ", O29, " ", O30, " ", O31, " ", O32, " ", O33, " ", O34, " ", O35, " ", O36, " ", O37)</f>
        <v xml:space="preserve">  4    4  4  4    4    4  3.99    4  4  3.99 </v>
      </c>
      <c r="AO11" s="186" t="s">
        <v>162</v>
      </c>
      <c r="AP11" t="str">
        <f t="shared" si="0"/>
        <v xml:space="preserve">  45.95    107.95  145.94  181.95    247.95    313.95  343.96    405.96  437.95  475.96   45.97    107.97  145.96  181.97    247.97    313.97  343.96    405.97  437.96  475.96   45.97      145.98  181.97    247.97            437.98  475.98 </v>
      </c>
    </row>
    <row r="12" spans="1:42" x14ac:dyDescent="0.2">
      <c r="A12" s="7">
        <v>5</v>
      </c>
      <c r="B12" s="184" t="str">
        <f>IF('AFNI STIM FILES'!T10="Approach",'AFNI STIM FILES'!C10, "")</f>
        <v/>
      </c>
      <c r="C12" s="184" t="str">
        <f>IF('AFNI STIM FILES'!T10="Approach",'AFNI STIM FILES'!E10, "")</f>
        <v/>
      </c>
      <c r="D12" s="184">
        <f>IF('AFNI STIM FILES'!T10="Ambivalent",'AFNI STIM FILES'!$C10, "")</f>
        <v>79.94</v>
      </c>
      <c r="E12" s="184">
        <f>IF('AFNI STIM FILES'!T10="Ambivalent",'AFNI STIM FILES'!$E10, "")</f>
        <v>83.95</v>
      </c>
      <c r="F12" s="184" t="str">
        <f>IF('AFNI STIM FILES'!T10="Avoid",'AFNI STIM FILES'!$C10, "")</f>
        <v/>
      </c>
      <c r="G12" s="184" t="str">
        <f>IF('AFNI STIM FILES'!T10="Avoid",'AFNI STIM FILES'!$E10, "")</f>
        <v/>
      </c>
      <c r="H12" s="184" t="str">
        <f>IF('AFNI STIM FILES'!T10="Missing",'AFNI STIM FILES'!$C10, "")</f>
        <v/>
      </c>
      <c r="I12" s="184" t="str">
        <f>IF('AFNI STIM FILES'!T10="Missing",'AFNI STIM FILES'!$E10, "")</f>
        <v/>
      </c>
      <c r="K12" s="184" t="str">
        <f>IF('AFNI STIM FILES'!T10="Approach",'AFNI STIM FILES'!$D10, "")</f>
        <v/>
      </c>
      <c r="L12" s="184" t="str">
        <f>IF('AFNI STIM FILES'!T10="Approach",'AFNI STIM FILES'!$F10, "")</f>
        <v/>
      </c>
      <c r="M12" s="184">
        <f>IF('AFNI STIM FILES'!T10="Ambivalent",'AFNI STIM FILES'!$D10, "")</f>
        <v>4</v>
      </c>
      <c r="N12" s="184">
        <f>IF('AFNI STIM FILES'!T10="Ambivalent",'AFNI STIM FILES'!$F10, "")</f>
        <v>4.92</v>
      </c>
      <c r="O12" s="184" t="str">
        <f>IF('AFNI STIM FILES'!T10="Avoid",'AFNI STIM FILES'!$D10, "")</f>
        <v/>
      </c>
      <c r="P12" s="184" t="str">
        <f>IF('AFNI STIM FILES'!T10="Avoid",'AFNI STIM FILES'!$F10, "")</f>
        <v/>
      </c>
      <c r="Q12" s="184" t="str">
        <f>IF('AFNI STIM FILES'!T10="Missing",'AFNI STIM FILES'!$D10, "")</f>
        <v/>
      </c>
      <c r="R12" s="184" t="str">
        <f>IF('AFNI STIM FILES'!T10="Missing",'AFNI STIM FILES'!$F10, "")</f>
        <v/>
      </c>
      <c r="T12" t="s">
        <v>163</v>
      </c>
      <c r="U12" t="str">
        <f>CONCATENATE(G8, " ", G9, " ", G10, " ", G11, " ", G12, " ", G13, " ", G14, " ", G15, " ", G16, " ", G17, " ", G18, " ", G19, " ", G20, " ", G21, " ", G22, " ", G23, " ", G24, " ", G25, " ", G26, " ", G27, " ", G28, " ", G29, " ", G30, " ", G31, " ", G32, " ", G33, " ", G34, " ", G35, " ", G36, " ", G37)</f>
        <v xml:space="preserve">  49.95    111.95  149.95  185.96    251.96    317.96  347.95    409.96  441.95  479.95 </v>
      </c>
      <c r="AC12" t="s">
        <v>163</v>
      </c>
      <c r="AD12" t="str">
        <f>CONCATENATE(P8, " ", P9, " ", P10, " ", P11, " ", P12, " ", P13, " ", P14, " ", P15, " ", P16, " ", P17, " ", P18, " ", P19, " ", P20, " ", P21, " ", P22, " ", P23, " ", P24, " ", P25, " ", P26, " ", P27, " ", P28, " ", P29, " ", P30, " ", P31, " ", P32, " ", P33, " ", P34, " ", P35, " ", P36, " ", P37)</f>
        <v xml:space="preserve">  3.87    3.69  3.37  3.54    3.74    2.8  2.47    2.92  2.72  2.62 </v>
      </c>
      <c r="AO12" s="186" t="s">
        <v>163</v>
      </c>
      <c r="AP12" t="str">
        <f t="shared" si="0"/>
        <v xml:space="preserve">  49.95    111.95  149.95  185.96    251.96    317.96  347.95    409.96  441.95  479.95   49.97    111.97  149.96  185.97    251.97    317.97  347.96    409.96  441.97  479.96   49.97      149.98  185.97    251.97            441.98  479.98 </v>
      </c>
    </row>
    <row r="13" spans="1:42" x14ac:dyDescent="0.2">
      <c r="A13" s="7">
        <v>6</v>
      </c>
      <c r="B13" s="184" t="str">
        <f>IF('AFNI STIM FILES'!T11="Approach",'AFNI STIM FILES'!C11, "")</f>
        <v/>
      </c>
      <c r="C13" s="184" t="str">
        <f>IF('AFNI STIM FILES'!T11="Approach",'AFNI STIM FILES'!E11, "")</f>
        <v/>
      </c>
      <c r="D13" s="184">
        <f>IF('AFNI STIM FILES'!T11="Ambivalent",'AFNI STIM FILES'!$C11, "")</f>
        <v>94.96</v>
      </c>
      <c r="E13" s="184">
        <f>IF('AFNI STIM FILES'!T11="Ambivalent",'AFNI STIM FILES'!$E11, "")</f>
        <v>98.96</v>
      </c>
      <c r="F13" s="184" t="str">
        <f>IF('AFNI STIM FILES'!T11="Avoid",'AFNI STIM FILES'!$C11, "")</f>
        <v/>
      </c>
      <c r="G13" s="184" t="str">
        <f>IF('AFNI STIM FILES'!T11="Avoid",'AFNI STIM FILES'!$E11, "")</f>
        <v/>
      </c>
      <c r="H13" s="184" t="str">
        <f>IF('AFNI STIM FILES'!T11="Missing",'AFNI STIM FILES'!$C11, "")</f>
        <v/>
      </c>
      <c r="I13" s="184" t="str">
        <f>IF('AFNI STIM FILES'!T11="Missing",'AFNI STIM FILES'!$E11, "")</f>
        <v/>
      </c>
      <c r="K13" s="184" t="str">
        <f>IF('AFNI STIM FILES'!T11="Approach",'AFNI STIM FILES'!$D11, "")</f>
        <v/>
      </c>
      <c r="L13" s="184" t="str">
        <f>IF('AFNI STIM FILES'!T11="Approach",'AFNI STIM FILES'!$F11, "")</f>
        <v/>
      </c>
      <c r="M13" s="184">
        <f>IF('AFNI STIM FILES'!T11="Ambivalent",'AFNI STIM FILES'!$D11, "")</f>
        <v>4</v>
      </c>
      <c r="N13" s="184">
        <f>IF('AFNI STIM FILES'!T11="Ambivalent",'AFNI STIM FILES'!$F11, "")</f>
        <v>3.72</v>
      </c>
      <c r="O13" s="184" t="str">
        <f>IF('AFNI STIM FILES'!T11="Avoid",'AFNI STIM FILES'!$D11, "")</f>
        <v/>
      </c>
      <c r="P13" s="184" t="str">
        <f>IF('AFNI STIM FILES'!T11="Avoid",'AFNI STIM FILES'!$F11, "")</f>
        <v/>
      </c>
      <c r="Q13" s="184" t="str">
        <f>IF('AFNI STIM FILES'!T11="Missing",'AFNI STIM FILES'!$D11, "")</f>
        <v/>
      </c>
      <c r="R13" s="184" t="str">
        <f>IF('AFNI STIM FILES'!T11="Missing",'AFNI STIM FILES'!$F11, "")</f>
        <v/>
      </c>
      <c r="T13" t="s">
        <v>164</v>
      </c>
      <c r="U13" t="str">
        <f>CONCATENATE(H8, " ", H9, " ", H10, " ", H11, " ", H12, " ", H13, " ", H14, " ", H15, " ", H16, " ", H17, " ", H18, " ", H19, " ", H20, " ", H21, " ", H22, " ", H23, " ", H24, " ", H25, " ", H26, " ", H27, " ", H28, " ", H29, " ", H30, " ", H31, " ", H32, " ", H33, " ", H34, " ", H35, " ", H36, " ", H37)</f>
        <v xml:space="preserve">                             </v>
      </c>
      <c r="AC13" t="s">
        <v>164</v>
      </c>
      <c r="AD13" t="str">
        <f>CONCATENATE(Q8, " ", Q9, " ", Q10, " ", Q11, " ", Q12, " ", Q13, " ", Q14, " ", Q15, " ", Q16, " ", Q17, " ", Q18, " ", Q19, " ", Q20, " ", Q21, " ", Q22, " ", Q23, " ", Q24, " ", Q25, " ", Q26, " ", Q27, " ", Q28, " ", Q29, " ", Q30, " ", Q31, " ", Q32, " ", Q33, " ", Q34, " ", Q35, " ", Q36, " ", Q37)</f>
        <v xml:space="preserve">                             </v>
      </c>
      <c r="AO13" s="186" t="s">
        <v>164</v>
      </c>
      <c r="AP13" t="str">
        <f t="shared" si="0"/>
        <v xml:space="preserve">                                                                                       </v>
      </c>
    </row>
    <row r="14" spans="1:42" x14ac:dyDescent="0.2">
      <c r="A14" s="7">
        <v>7</v>
      </c>
      <c r="B14" s="184" t="str">
        <f>IF('AFNI STIM FILES'!T12="Approach",'AFNI STIM FILES'!C12, "")</f>
        <v/>
      </c>
      <c r="C14" s="184" t="str">
        <f>IF('AFNI STIM FILES'!T12="Approach",'AFNI STIM FILES'!E12, "")</f>
        <v/>
      </c>
      <c r="D14" s="184" t="str">
        <f>IF('AFNI STIM FILES'!T12="Ambivalent",'AFNI STIM FILES'!$C12, "")</f>
        <v/>
      </c>
      <c r="E14" s="184" t="str">
        <f>IF('AFNI STIM FILES'!T12="Ambivalent",'AFNI STIM FILES'!$E12, "")</f>
        <v/>
      </c>
      <c r="F14" s="184">
        <f>IF('AFNI STIM FILES'!T12="Avoid",'AFNI STIM FILES'!$C12, "")</f>
        <v>107.95</v>
      </c>
      <c r="G14" s="184">
        <f>IF('AFNI STIM FILES'!T12="Avoid",'AFNI STIM FILES'!$E12, "")</f>
        <v>111.95</v>
      </c>
      <c r="H14" s="184" t="str">
        <f>IF('AFNI STIM FILES'!T12="Missing",'AFNI STIM FILES'!$C12, "")</f>
        <v/>
      </c>
      <c r="I14" s="184" t="str">
        <f>IF('AFNI STIM FILES'!T12="Missing",'AFNI STIM FILES'!$E12, "")</f>
        <v/>
      </c>
      <c r="K14" s="184" t="str">
        <f>IF('AFNI STIM FILES'!T12="Approach",'AFNI STIM FILES'!$D12, "")</f>
        <v/>
      </c>
      <c r="L14" s="184" t="str">
        <f>IF('AFNI STIM FILES'!T12="Approach",'AFNI STIM FILES'!$F12, "")</f>
        <v/>
      </c>
      <c r="M14" s="184" t="str">
        <f>IF('AFNI STIM FILES'!T12="Ambivalent",'AFNI STIM FILES'!$D12, "")</f>
        <v/>
      </c>
      <c r="N14" s="184" t="str">
        <f>IF('AFNI STIM FILES'!T12="Ambivalent",'AFNI STIM FILES'!$F12, "")</f>
        <v/>
      </c>
      <c r="O14" s="184">
        <f>IF('AFNI STIM FILES'!T12="Avoid",'AFNI STIM FILES'!$D12, "")</f>
        <v>4</v>
      </c>
      <c r="P14" s="184">
        <f>IF('AFNI STIM FILES'!T12="Avoid",'AFNI STIM FILES'!$F12, "")</f>
        <v>3.69</v>
      </c>
      <c r="Q14" s="184" t="str">
        <f>IF('AFNI STIM FILES'!T12="Missing",'AFNI STIM FILES'!$D12, "")</f>
        <v/>
      </c>
      <c r="R14" s="184" t="str">
        <f>IF('AFNI STIM FILES'!T12="Missing",'AFNI STIM FILES'!$F12, "")</f>
        <v/>
      </c>
      <c r="T14" t="s">
        <v>165</v>
      </c>
      <c r="U14" t="str">
        <f>CONCATENATE(I8, " ", I9, " ", I10, " ", I11, " ", I12, " ", I13, " ", I14, " ", I15, " ", I16, " ", I17, " ", I18, " ",  I19, " ", I20, " ", I21, " ", I22, " ", I23,  " ", I24, " ", I25, " ", I26, " ", I27, " ", I28, " ", I29, " ", I30, " ", I31, " ", I32, " ", I33, " ", I34, " ", I35, " ", I36, " ", I37)</f>
        <v xml:space="preserve">                             </v>
      </c>
      <c r="AC14" t="s">
        <v>165</v>
      </c>
      <c r="AD14" t="str">
        <f>CONCATENATE(R8, " ", R9, " ", R10, " ", R11, " ", R12, " ", R13, " ", R14, " ", R15, " ", R16, " ", R17, " ", R18, " ",  R19, " ", R20, " ", R21, " ", R22, " ", R23,  " ", R24, " ", R25, " ", R26, " ", R27, " ", R28, " ", R29, " ", R30, " ", R31, " ", R32, " ", R33, " ", R34, " ", R35, " ", R36, " ", R37)</f>
        <v xml:space="preserve">                             </v>
      </c>
      <c r="AO14" s="186" t="s">
        <v>165</v>
      </c>
      <c r="AP14" t="str">
        <f t="shared" si="0"/>
        <v xml:space="preserve">                                                                                       </v>
      </c>
    </row>
    <row r="15" spans="1:42" x14ac:dyDescent="0.2">
      <c r="A15" s="7">
        <v>8</v>
      </c>
      <c r="B15" s="184" t="str">
        <f>IF('AFNI STIM FILES'!T13="Approach",'AFNI STIM FILES'!C13, "")</f>
        <v/>
      </c>
      <c r="C15" s="184" t="str">
        <f>IF('AFNI STIM FILES'!T13="Approach",'AFNI STIM FILES'!E13, "")</f>
        <v/>
      </c>
      <c r="D15" s="184">
        <f>IF('AFNI STIM FILES'!T13="Ambivalent",'AFNI STIM FILES'!$C13, "")</f>
        <v>126.95</v>
      </c>
      <c r="E15" s="184">
        <f>IF('AFNI STIM FILES'!T13="Ambivalent",'AFNI STIM FILES'!$E13, "")</f>
        <v>130.94999999999999</v>
      </c>
      <c r="F15" s="184" t="str">
        <f>IF('AFNI STIM FILES'!T13="Avoid",'AFNI STIM FILES'!$C13, "")</f>
        <v/>
      </c>
      <c r="G15" s="184" t="str">
        <f>IF('AFNI STIM FILES'!T13="Avoid",'AFNI STIM FILES'!$E13, "")</f>
        <v/>
      </c>
      <c r="H15" s="184" t="str">
        <f>IF('AFNI STIM FILES'!T13="Missing",'AFNI STIM FILES'!$C13, "")</f>
        <v/>
      </c>
      <c r="I15" s="184" t="str">
        <f>IF('AFNI STIM FILES'!T13="Missing",'AFNI STIM FILES'!$E13, "")</f>
        <v/>
      </c>
      <c r="K15" s="184" t="str">
        <f>IF('AFNI STIM FILES'!T13="Approach",'AFNI STIM FILES'!$D13, "")</f>
        <v/>
      </c>
      <c r="L15" s="184" t="str">
        <f>IF('AFNI STIM FILES'!T13="Approach",'AFNI STIM FILES'!$F13, "")</f>
        <v/>
      </c>
      <c r="M15" s="184">
        <f>IF('AFNI STIM FILES'!T13="Ambivalent",'AFNI STIM FILES'!$D13, "")</f>
        <v>4</v>
      </c>
      <c r="N15" s="184">
        <f>IF('AFNI STIM FILES'!T13="Ambivalent",'AFNI STIM FILES'!$F13, "")</f>
        <v>2.99</v>
      </c>
      <c r="O15" s="184" t="str">
        <f>IF('AFNI STIM FILES'!T13="Avoid",'AFNI STIM FILES'!$D13, "")</f>
        <v/>
      </c>
      <c r="P15" s="184" t="str">
        <f>IF('AFNI STIM FILES'!T13="Avoid",'AFNI STIM FILES'!$F13, "")</f>
        <v/>
      </c>
      <c r="Q15" s="184" t="str">
        <f>IF('AFNI STIM FILES'!T13="Missing",'AFNI STIM FILES'!$D13, "")</f>
        <v/>
      </c>
      <c r="R15" s="184" t="str">
        <f>IF('AFNI STIM FILES'!T13="Missing",'AFNI STIM FILES'!$F13, "")</f>
        <v/>
      </c>
      <c r="AO15" s="179"/>
    </row>
    <row r="16" spans="1:42" x14ac:dyDescent="0.2">
      <c r="A16" s="7">
        <v>9</v>
      </c>
      <c r="B16" s="184" t="str">
        <f>IF('AFNI STIM FILES'!T14="Approach",'AFNI STIM FILES'!C14, "")</f>
        <v/>
      </c>
      <c r="C16" s="184" t="str">
        <f>IF('AFNI STIM FILES'!T14="Approach",'AFNI STIM FILES'!E14, "")</f>
        <v/>
      </c>
      <c r="D16" s="184" t="str">
        <f>IF('AFNI STIM FILES'!T14="Ambivalent",'AFNI STIM FILES'!$C14, "")</f>
        <v/>
      </c>
      <c r="E16" s="184" t="str">
        <f>IF('AFNI STIM FILES'!T14="Ambivalent",'AFNI STIM FILES'!$E14, "")</f>
        <v/>
      </c>
      <c r="F16" s="184">
        <f>IF('AFNI STIM FILES'!T14="Avoid",'AFNI STIM FILES'!$C14, "")</f>
        <v>145.94</v>
      </c>
      <c r="G16" s="184">
        <f>IF('AFNI STIM FILES'!T14="Avoid",'AFNI STIM FILES'!$E14, "")</f>
        <v>149.94999999999999</v>
      </c>
      <c r="H16" s="184" t="str">
        <f>IF('AFNI STIM FILES'!T14="Missing",'AFNI STIM FILES'!$C14, "")</f>
        <v/>
      </c>
      <c r="I16" s="184" t="str">
        <f>IF('AFNI STIM FILES'!T14="Missing",'AFNI STIM FILES'!$E14, "")</f>
        <v/>
      </c>
      <c r="K16" s="184" t="str">
        <f>IF('AFNI STIM FILES'!T14="Approach",'AFNI STIM FILES'!$D14, "")</f>
        <v/>
      </c>
      <c r="L16" s="184" t="str">
        <f>IF('AFNI STIM FILES'!T14="Approach",'AFNI STIM FILES'!$F14, "")</f>
        <v/>
      </c>
      <c r="M16" s="184" t="str">
        <f>IF('AFNI STIM FILES'!T14="Ambivalent",'AFNI STIM FILES'!$D14, "")</f>
        <v/>
      </c>
      <c r="N16" s="184" t="str">
        <f>IF('AFNI STIM FILES'!T14="Ambivalent",'AFNI STIM FILES'!$F14, "")</f>
        <v/>
      </c>
      <c r="O16" s="184">
        <f>IF('AFNI STIM FILES'!T14="Avoid",'AFNI STIM FILES'!$D14, "")</f>
        <v>4</v>
      </c>
      <c r="P16" s="184">
        <f>IF('AFNI STIM FILES'!T14="Avoid",'AFNI STIM FILES'!$F14, "")</f>
        <v>3.37</v>
      </c>
      <c r="Q16" s="184" t="str">
        <f>IF('AFNI STIM FILES'!T14="Missing",'AFNI STIM FILES'!$D14, "")</f>
        <v/>
      </c>
      <c r="R16" s="184" t="str">
        <f>IF('AFNI STIM FILES'!T14="Missing",'AFNI STIM FILES'!$F14, "")</f>
        <v/>
      </c>
      <c r="AO16" s="183" t="s">
        <v>151</v>
      </c>
    </row>
    <row r="17" spans="1:42" x14ac:dyDescent="0.2">
      <c r="A17" s="7">
        <v>10</v>
      </c>
      <c r="B17" s="184" t="str">
        <f>IF('AFNI STIM FILES'!T15="Approach",'AFNI STIM FILES'!C15, "")</f>
        <v/>
      </c>
      <c r="C17" s="184" t="str">
        <f>IF('AFNI STIM FILES'!T15="Approach",'AFNI STIM FILES'!E15, "")</f>
        <v/>
      </c>
      <c r="D17" s="184">
        <f>IF('AFNI STIM FILES'!T15="Ambivalent",'AFNI STIM FILES'!$C15, "")</f>
        <v>166.96</v>
      </c>
      <c r="E17" s="184">
        <f>IF('AFNI STIM FILES'!T15="Ambivalent",'AFNI STIM FILES'!$E15, "")</f>
        <v>170.95</v>
      </c>
      <c r="F17" s="184" t="str">
        <f>IF('AFNI STIM FILES'!T15="Avoid",'AFNI STIM FILES'!$C15, "")</f>
        <v/>
      </c>
      <c r="G17" s="184" t="str">
        <f>IF('AFNI STIM FILES'!T15="Avoid",'AFNI STIM FILES'!$E15, "")</f>
        <v/>
      </c>
      <c r="H17" s="184" t="str">
        <f>IF('AFNI STIM FILES'!T15="Missing",'AFNI STIM FILES'!$C15, "")</f>
        <v/>
      </c>
      <c r="I17" s="184" t="str">
        <f>IF('AFNI STIM FILES'!T15="Missing",'AFNI STIM FILES'!$E15, "")</f>
        <v/>
      </c>
      <c r="K17" s="184" t="str">
        <f>IF('AFNI STIM FILES'!T15="Approach",'AFNI STIM FILES'!$D15, "")</f>
        <v/>
      </c>
      <c r="L17" s="184" t="str">
        <f>IF('AFNI STIM FILES'!T15="Approach",'AFNI STIM FILES'!$F15, "")</f>
        <v/>
      </c>
      <c r="M17" s="184">
        <f>IF('AFNI STIM FILES'!T15="Ambivalent",'AFNI STIM FILES'!$D15, "")</f>
        <v>3.99</v>
      </c>
      <c r="N17" s="184">
        <f>IF('AFNI STIM FILES'!T15="Ambivalent",'AFNI STIM FILES'!$F15, "")</f>
        <v>2.38</v>
      </c>
      <c r="O17" s="184" t="str">
        <f>IF('AFNI STIM FILES'!T15="Avoid",'AFNI STIM FILES'!$D15, "")</f>
        <v/>
      </c>
      <c r="P17" s="184" t="str">
        <f>IF('AFNI STIM FILES'!T15="Avoid",'AFNI STIM FILES'!$F15, "")</f>
        <v/>
      </c>
      <c r="Q17" s="184" t="str">
        <f>IF('AFNI STIM FILES'!T15="Missing",'AFNI STIM FILES'!$D15, "")</f>
        <v/>
      </c>
      <c r="R17" s="184" t="str">
        <f>IF('AFNI STIM FILES'!T15="Missing",'AFNI STIM FILES'!$F15, "")</f>
        <v/>
      </c>
      <c r="AO17" s="185" t="s">
        <v>158</v>
      </c>
      <c r="AP17" t="str">
        <f>CONCATENATE(AD7,AD42,AD77)</f>
        <v xml:space="preserve">                      4                             4       4      3.99     3.99                  </v>
      </c>
    </row>
    <row r="18" spans="1:42" x14ac:dyDescent="0.2">
      <c r="A18" s="7">
        <v>11</v>
      </c>
      <c r="B18" s="184" t="str">
        <f>IF('AFNI STIM FILES'!T16="Approach",'AFNI STIM FILES'!C16, "")</f>
        <v/>
      </c>
      <c r="C18" s="184" t="str">
        <f>IF('AFNI STIM FILES'!T16="Approach",'AFNI STIM FILES'!E16, "")</f>
        <v/>
      </c>
      <c r="D18" s="184" t="str">
        <f>IF('AFNI STIM FILES'!T16="Ambivalent",'AFNI STIM FILES'!$C16, "")</f>
        <v/>
      </c>
      <c r="E18" s="184" t="str">
        <f>IF('AFNI STIM FILES'!T16="Ambivalent",'AFNI STIM FILES'!$E16, "")</f>
        <v/>
      </c>
      <c r="F18" s="184">
        <f>IF('AFNI STIM FILES'!T16="Avoid",'AFNI STIM FILES'!$C16, "")</f>
        <v>181.95</v>
      </c>
      <c r="G18" s="184">
        <f>IF('AFNI STIM FILES'!T16="Avoid",'AFNI STIM FILES'!$E16, "")</f>
        <v>185.96</v>
      </c>
      <c r="H18" s="184" t="str">
        <f>IF('AFNI STIM FILES'!T16="Missing",'AFNI STIM FILES'!$C16, "")</f>
        <v/>
      </c>
      <c r="I18" s="184" t="str">
        <f>IF('AFNI STIM FILES'!T16="Missing",'AFNI STIM FILES'!$E16, "")</f>
        <v/>
      </c>
      <c r="K18" s="184" t="str">
        <f>IF('AFNI STIM FILES'!T16="Approach",'AFNI STIM FILES'!$D16, "")</f>
        <v/>
      </c>
      <c r="L18" s="184" t="str">
        <f>IF('AFNI STIM FILES'!T16="Approach",'AFNI STIM FILES'!$F16, "")</f>
        <v/>
      </c>
      <c r="M18" s="184" t="str">
        <f>IF('AFNI STIM FILES'!T16="Ambivalent",'AFNI STIM FILES'!$D16, "")</f>
        <v/>
      </c>
      <c r="N18" s="184" t="str">
        <f>IF('AFNI STIM FILES'!T16="Ambivalent",'AFNI STIM FILES'!$F16, "")</f>
        <v/>
      </c>
      <c r="O18" s="184">
        <f>IF('AFNI STIM FILES'!T16="Avoid",'AFNI STIM FILES'!$D16, "")</f>
        <v>4</v>
      </c>
      <c r="P18" s="184">
        <f>IF('AFNI STIM FILES'!T16="Avoid",'AFNI STIM FILES'!$F16, "")</f>
        <v>3.54</v>
      </c>
      <c r="Q18" s="184" t="str">
        <f>IF('AFNI STIM FILES'!T16="Missing",'AFNI STIM FILES'!$D16, "")</f>
        <v/>
      </c>
      <c r="R18" s="184" t="str">
        <f>IF('AFNI STIM FILES'!T16="Missing",'AFNI STIM FILES'!$F16, "")</f>
        <v/>
      </c>
      <c r="AO18" s="186" t="s">
        <v>159</v>
      </c>
      <c r="AP18" t="str">
        <f t="shared" ref="AP18:AP24" si="1">CONCATENATE(AD8,AD43,AD78)</f>
        <v xml:space="preserve">                      2.74                             2.04       2.72      2.84     2.84                  </v>
      </c>
    </row>
    <row r="19" spans="1:42" x14ac:dyDescent="0.2">
      <c r="A19" s="7">
        <v>12</v>
      </c>
      <c r="B19" s="184" t="str">
        <f>IF('AFNI STIM FILES'!T17="Approach",'AFNI STIM FILES'!C17, "")</f>
        <v/>
      </c>
      <c r="C19" s="184" t="str">
        <f>IF('AFNI STIM FILES'!T17="Approach",'AFNI STIM FILES'!E17, "")</f>
        <v/>
      </c>
      <c r="D19" s="184">
        <f>IF('AFNI STIM FILES'!T17="Ambivalent",'AFNI STIM FILES'!$C17, "")</f>
        <v>196.95</v>
      </c>
      <c r="E19" s="184">
        <f>IF('AFNI STIM FILES'!T17="Ambivalent",'AFNI STIM FILES'!$E17, "")</f>
        <v>200.95</v>
      </c>
      <c r="F19" s="184" t="str">
        <f>IF('AFNI STIM FILES'!T17="Avoid",'AFNI STIM FILES'!$C17, "")</f>
        <v/>
      </c>
      <c r="G19" s="184" t="str">
        <f>IF('AFNI STIM FILES'!T17="Avoid",'AFNI STIM FILES'!$E17, "")</f>
        <v/>
      </c>
      <c r="H19" s="184" t="str">
        <f>IF('AFNI STIM FILES'!T17="Missing",'AFNI STIM FILES'!$C17, "")</f>
        <v/>
      </c>
      <c r="I19" s="184" t="str">
        <f>IF('AFNI STIM FILES'!T17="Missing",'AFNI STIM FILES'!$E17, "")</f>
        <v/>
      </c>
      <c r="K19" s="184" t="str">
        <f>IF('AFNI STIM FILES'!T17="Approach",'AFNI STIM FILES'!$D17, "")</f>
        <v/>
      </c>
      <c r="L19" s="184" t="str">
        <f>IF('AFNI STIM FILES'!T17="Approach",'AFNI STIM FILES'!$F17, "")</f>
        <v/>
      </c>
      <c r="M19" s="184">
        <f>IF('AFNI STIM FILES'!T17="Ambivalent",'AFNI STIM FILES'!$D17, "")</f>
        <v>4</v>
      </c>
      <c r="N19" s="184">
        <f>IF('AFNI STIM FILES'!T17="Ambivalent",'AFNI STIM FILES'!$F17, "")</f>
        <v>2.29</v>
      </c>
      <c r="O19" s="184" t="str">
        <f>IF('AFNI STIM FILES'!T17="Avoid",'AFNI STIM FILES'!$D17, "")</f>
        <v/>
      </c>
      <c r="P19" s="184" t="str">
        <f>IF('AFNI STIM FILES'!T17="Avoid",'AFNI STIM FILES'!$F17, "")</f>
        <v/>
      </c>
      <c r="Q19" s="184" t="str">
        <f>IF('AFNI STIM FILES'!T17="Missing",'AFNI STIM FILES'!$D17, "")</f>
        <v/>
      </c>
      <c r="R19" s="184" t="str">
        <f>IF('AFNI STIM FILES'!T17="Missing",'AFNI STIM FILES'!$F17, "")</f>
        <v/>
      </c>
      <c r="AO19" s="186" t="s">
        <v>160</v>
      </c>
      <c r="AP19" t="str">
        <f t="shared" si="1"/>
        <v>4 4  4 4 4  4  3.99  4 3.99 3.99  4 4 4  4  4  4  4  3.99  44 4  4 4 4  4  4  4 3.99 4  4 4 4  4  4  4  4  3.99  4 4  3.99 4 4  4  4   4 4  3.99 4 4 4 3.99 4 4 4 4 4 3.99  4  4</v>
      </c>
    </row>
    <row r="20" spans="1:42" x14ac:dyDescent="0.2">
      <c r="A20" s="7">
        <v>13</v>
      </c>
      <c r="B20" s="184" t="str">
        <f>IF('AFNI STIM FILES'!T18="Approach",'AFNI STIM FILES'!C18, "")</f>
        <v/>
      </c>
      <c r="C20" s="184" t="str">
        <f>IF('AFNI STIM FILES'!T18="Approach",'AFNI STIM FILES'!E18, "")</f>
        <v/>
      </c>
      <c r="D20" s="184">
        <f>IF('AFNI STIM FILES'!T18="Ambivalent",'AFNI STIM FILES'!$C18, "")</f>
        <v>209.96</v>
      </c>
      <c r="E20" s="184">
        <f>IF('AFNI STIM FILES'!T18="Ambivalent",'AFNI STIM FILES'!$E18, "")</f>
        <v>213.94</v>
      </c>
      <c r="F20" s="184" t="str">
        <f>IF('AFNI STIM FILES'!T18="Avoid",'AFNI STIM FILES'!$C18, "")</f>
        <v/>
      </c>
      <c r="G20" s="184" t="str">
        <f>IF('AFNI STIM FILES'!T18="Avoid",'AFNI STIM FILES'!$E18, "")</f>
        <v/>
      </c>
      <c r="H20" s="184" t="str">
        <f>IF('AFNI STIM FILES'!T18="Missing",'AFNI STIM FILES'!$C18, "")</f>
        <v/>
      </c>
      <c r="I20" s="184" t="str">
        <f>IF('AFNI STIM FILES'!T18="Missing",'AFNI STIM FILES'!$E18, "")</f>
        <v/>
      </c>
      <c r="K20" s="184" t="str">
        <f>IF('AFNI STIM FILES'!T18="Approach",'AFNI STIM FILES'!$D18, "")</f>
        <v/>
      </c>
      <c r="L20" s="184" t="str">
        <f>IF('AFNI STIM FILES'!T18="Approach",'AFNI STIM FILES'!$F18, "")</f>
        <v/>
      </c>
      <c r="M20" s="184">
        <f>IF('AFNI STIM FILES'!T18="Ambivalent",'AFNI STIM FILES'!$D18, "")</f>
        <v>3.99</v>
      </c>
      <c r="N20" s="184">
        <f>IF('AFNI STIM FILES'!T18="Ambivalent",'AFNI STIM FILES'!$F18, "")</f>
        <v>3.32</v>
      </c>
      <c r="O20" s="184" t="str">
        <f>IF('AFNI STIM FILES'!T18="Avoid",'AFNI STIM FILES'!$D18, "")</f>
        <v/>
      </c>
      <c r="P20" s="184" t="str">
        <f>IF('AFNI STIM FILES'!T18="Avoid",'AFNI STIM FILES'!$F18, "")</f>
        <v/>
      </c>
      <c r="Q20" s="184" t="str">
        <f>IF('AFNI STIM FILES'!T18="Missing",'AFNI STIM FILES'!$D18, "")</f>
        <v/>
      </c>
      <c r="R20" s="184" t="str">
        <f>IF('AFNI STIM FILES'!T18="Missing",'AFNI STIM FILES'!$F18, "")</f>
        <v/>
      </c>
      <c r="AO20" s="186" t="s">
        <v>161</v>
      </c>
      <c r="AP20" t="str">
        <f t="shared" si="1"/>
        <v>4.82 3.74  2.59 4.92 3.72  2.99  2.38  2.29 3.32 2.39  2.83 1.8 2.05  2.52  1.48  1.97  2.34  2.04  4.552.87 2.35  2.58 1.67 1.87  2.09  1.82  1.87 3.74 2.3  2.78 1.74 3.82  1.18  1.9  1.4  2.02  1.63  2.8 1.15  1.97 2.52 1.79  2.89  2.6   1.75 2.4  1.48 2.25 1.77 1.85 2.74 1.83 3.54 1.58 2.48 1.77 1.78  5.34  1.67</v>
      </c>
    </row>
    <row r="21" spans="1:42" x14ac:dyDescent="0.2">
      <c r="A21" s="7">
        <v>14</v>
      </c>
      <c r="B21" s="184" t="str">
        <f>IF('AFNI STIM FILES'!T19="Approach",'AFNI STIM FILES'!C19, "")</f>
        <v/>
      </c>
      <c r="C21" s="184" t="str">
        <f>IF('AFNI STIM FILES'!T19="Approach",'AFNI STIM FILES'!E19, "")</f>
        <v/>
      </c>
      <c r="D21" s="184">
        <f>IF('AFNI STIM FILES'!T19="Ambivalent",'AFNI STIM FILES'!$C19, "")</f>
        <v>232.96</v>
      </c>
      <c r="E21" s="184">
        <f>IF('AFNI STIM FILES'!T19="Ambivalent",'AFNI STIM FILES'!$E19, "")</f>
        <v>236.95</v>
      </c>
      <c r="F21" s="184" t="str">
        <f>IF('AFNI STIM FILES'!T19="Avoid",'AFNI STIM FILES'!$C19, "")</f>
        <v/>
      </c>
      <c r="G21" s="184" t="str">
        <f>IF('AFNI STIM FILES'!T19="Avoid",'AFNI STIM FILES'!$E19, "")</f>
        <v/>
      </c>
      <c r="H21" s="184" t="str">
        <f>IF('AFNI STIM FILES'!T19="Missing",'AFNI STIM FILES'!$C19, "")</f>
        <v/>
      </c>
      <c r="I21" s="184" t="str">
        <f>IF('AFNI STIM FILES'!T19="Missing",'AFNI STIM FILES'!$E19, "")</f>
        <v/>
      </c>
      <c r="K21" s="184" t="str">
        <f>IF('AFNI STIM FILES'!T19="Approach",'AFNI STIM FILES'!$D19, "")</f>
        <v/>
      </c>
      <c r="L21" s="184" t="str">
        <f>IF('AFNI STIM FILES'!T19="Approach",'AFNI STIM FILES'!$F19, "")</f>
        <v/>
      </c>
      <c r="M21" s="184">
        <f>IF('AFNI STIM FILES'!T19="Ambivalent",'AFNI STIM FILES'!$D19, "")</f>
        <v>3.99</v>
      </c>
      <c r="N21" s="184">
        <f>IF('AFNI STIM FILES'!T19="Ambivalent",'AFNI STIM FILES'!$F19, "")</f>
        <v>2.39</v>
      </c>
      <c r="O21" s="184" t="str">
        <f>IF('AFNI STIM FILES'!T19="Avoid",'AFNI STIM FILES'!$D19, "")</f>
        <v/>
      </c>
      <c r="P21" s="184" t="str">
        <f>IF('AFNI STIM FILES'!T19="Avoid",'AFNI STIM FILES'!$F19, "")</f>
        <v/>
      </c>
      <c r="Q21" s="184" t="str">
        <f>IF('AFNI STIM FILES'!T19="Missing",'AFNI STIM FILES'!$D19, "")</f>
        <v/>
      </c>
      <c r="R21" s="184" t="str">
        <f>IF('AFNI STIM FILES'!T19="Missing",'AFNI STIM FILES'!$F19, "")</f>
        <v/>
      </c>
      <c r="AO21" s="186" t="s">
        <v>162</v>
      </c>
      <c r="AP21" t="str">
        <f t="shared" si="1"/>
        <v xml:space="preserve">  4    4  4  4    4    4  3.99    4  4  3.99   4    4  4  4    4    4  4    3.99  4  4   4      4  4    4            4  4 </v>
      </c>
    </row>
    <row r="22" spans="1:42" x14ac:dyDescent="0.2">
      <c r="A22" s="7">
        <v>15</v>
      </c>
      <c r="B22" s="184" t="str">
        <f>IF('AFNI STIM FILES'!T20="Approach",'AFNI STIM FILES'!C20, "")</f>
        <v/>
      </c>
      <c r="C22" s="184" t="str">
        <f>IF('AFNI STIM FILES'!T20="Approach",'AFNI STIM FILES'!E20, "")</f>
        <v/>
      </c>
      <c r="D22" s="184" t="str">
        <f>IF('AFNI STIM FILES'!T20="Ambivalent",'AFNI STIM FILES'!$C20, "")</f>
        <v/>
      </c>
      <c r="E22" s="184" t="str">
        <f>IF('AFNI STIM FILES'!T20="Ambivalent",'AFNI STIM FILES'!$E20, "")</f>
        <v/>
      </c>
      <c r="F22" s="184">
        <f>IF('AFNI STIM FILES'!T20="Avoid",'AFNI STIM FILES'!$C20, "")</f>
        <v>247.95</v>
      </c>
      <c r="G22" s="184">
        <f>IF('AFNI STIM FILES'!T20="Avoid",'AFNI STIM FILES'!$E20, "")</f>
        <v>251.96</v>
      </c>
      <c r="H22" s="184" t="str">
        <f>IF('AFNI STIM FILES'!T20="Missing",'AFNI STIM FILES'!$C20, "")</f>
        <v/>
      </c>
      <c r="I22" s="184" t="str">
        <f>IF('AFNI STIM FILES'!T20="Missing",'AFNI STIM FILES'!$E20, "")</f>
        <v/>
      </c>
      <c r="K22" s="184" t="str">
        <f>IF('AFNI STIM FILES'!T20="Approach",'AFNI STIM FILES'!$D20, "")</f>
        <v/>
      </c>
      <c r="L22" s="184" t="str">
        <f>IF('AFNI STIM FILES'!T20="Approach",'AFNI STIM FILES'!$F20, "")</f>
        <v/>
      </c>
      <c r="M22" s="184" t="str">
        <f>IF('AFNI STIM FILES'!T20="Ambivalent",'AFNI STIM FILES'!$D20, "")</f>
        <v/>
      </c>
      <c r="N22" s="184" t="str">
        <f>IF('AFNI STIM FILES'!T20="Ambivalent",'AFNI STIM FILES'!$F20, "")</f>
        <v/>
      </c>
      <c r="O22" s="184">
        <f>IF('AFNI STIM FILES'!T20="Avoid",'AFNI STIM FILES'!$D20, "")</f>
        <v>4</v>
      </c>
      <c r="P22" s="184">
        <f>IF('AFNI STIM FILES'!T20="Avoid",'AFNI STIM FILES'!$F20, "")</f>
        <v>3.74</v>
      </c>
      <c r="Q22" s="184" t="str">
        <f>IF('AFNI STIM FILES'!T20="Missing",'AFNI STIM FILES'!$D20, "")</f>
        <v/>
      </c>
      <c r="R22" s="184" t="str">
        <f>IF('AFNI STIM FILES'!T20="Missing",'AFNI STIM FILES'!$F20, "")</f>
        <v/>
      </c>
      <c r="AO22" s="186" t="s">
        <v>163</v>
      </c>
      <c r="AP22" t="str">
        <f t="shared" si="1"/>
        <v xml:space="preserve">  3.87    3.69  3.37  3.54    3.74    2.8  2.47    2.92  2.72  2.62   2.57    3.94  2.32  2.29    2.2    2.49  2.15    2.13  2.22  1.97   2.27      2.33  2.48    2.07            2.3  2.4 </v>
      </c>
    </row>
    <row r="23" spans="1:42" x14ac:dyDescent="0.2">
      <c r="A23" s="7">
        <v>16</v>
      </c>
      <c r="B23" s="184" t="str">
        <f>IF('AFNI STIM FILES'!T21="Approach",'AFNI STIM FILES'!C21, "")</f>
        <v/>
      </c>
      <c r="C23" s="184" t="str">
        <f>IF('AFNI STIM FILES'!T21="Approach",'AFNI STIM FILES'!E21, "")</f>
        <v/>
      </c>
      <c r="D23" s="184">
        <f>IF('AFNI STIM FILES'!T21="Ambivalent",'AFNI STIM FILES'!$C21, "")</f>
        <v>264.95</v>
      </c>
      <c r="E23" s="184">
        <f>IF('AFNI STIM FILES'!T21="Ambivalent",'AFNI STIM FILES'!$E21, "")</f>
        <v>268.95</v>
      </c>
      <c r="F23" s="184" t="str">
        <f>IF('AFNI STIM FILES'!T21="Avoid",'AFNI STIM FILES'!$C21, "")</f>
        <v/>
      </c>
      <c r="G23" s="184" t="str">
        <f>IF('AFNI STIM FILES'!T21="Avoid",'AFNI STIM FILES'!$E21, "")</f>
        <v/>
      </c>
      <c r="H23" s="184" t="str">
        <f>IF('AFNI STIM FILES'!T21="Missing",'AFNI STIM FILES'!$C21, "")</f>
        <v/>
      </c>
      <c r="I23" s="184" t="str">
        <f>IF('AFNI STIM FILES'!T21="Missing",'AFNI STIM FILES'!$E21, "")</f>
        <v/>
      </c>
      <c r="K23" s="184" t="str">
        <f>IF('AFNI STIM FILES'!T21="Approach",'AFNI STIM FILES'!$D21, "")</f>
        <v/>
      </c>
      <c r="L23" s="184" t="str">
        <f>IF('AFNI STIM FILES'!T21="Approach",'AFNI STIM FILES'!$F21, "")</f>
        <v/>
      </c>
      <c r="M23" s="184">
        <f>IF('AFNI STIM FILES'!T21="Ambivalent",'AFNI STIM FILES'!$D21, "")</f>
        <v>4</v>
      </c>
      <c r="N23" s="184">
        <f>IF('AFNI STIM FILES'!T21="Ambivalent",'AFNI STIM FILES'!$F21, "")</f>
        <v>2.83</v>
      </c>
      <c r="O23" s="184" t="str">
        <f>IF('AFNI STIM FILES'!T21="Avoid",'AFNI STIM FILES'!$D21, "")</f>
        <v/>
      </c>
      <c r="P23" s="184" t="str">
        <f>IF('AFNI STIM FILES'!T21="Avoid",'AFNI STIM FILES'!$F21, "")</f>
        <v/>
      </c>
      <c r="Q23" s="184" t="str">
        <f>IF('AFNI STIM FILES'!T21="Missing",'AFNI STIM FILES'!$D21, "")</f>
        <v/>
      </c>
      <c r="R23" s="184" t="str">
        <f>IF('AFNI STIM FILES'!T21="Missing",'AFNI STIM FILES'!$F21, "")</f>
        <v/>
      </c>
      <c r="AO23" s="186" t="s">
        <v>164</v>
      </c>
      <c r="AP23" t="str">
        <f t="shared" si="1"/>
        <v xml:space="preserve">                                                                                       </v>
      </c>
    </row>
    <row r="24" spans="1:42" x14ac:dyDescent="0.2">
      <c r="A24" s="7">
        <v>17</v>
      </c>
      <c r="B24" s="184" t="str">
        <f>IF('AFNI STIM FILES'!T22="Approach",'AFNI STIM FILES'!C22, "")</f>
        <v/>
      </c>
      <c r="C24" s="184" t="str">
        <f>IF('AFNI STIM FILES'!T22="Approach",'AFNI STIM FILES'!E22, "")</f>
        <v/>
      </c>
      <c r="D24" s="184">
        <f>IF('AFNI STIM FILES'!T22="Ambivalent",'AFNI STIM FILES'!$C22, "")</f>
        <v>279.94</v>
      </c>
      <c r="E24" s="184">
        <f>IF('AFNI STIM FILES'!T22="Ambivalent",'AFNI STIM FILES'!$E22, "")</f>
        <v>283.95</v>
      </c>
      <c r="F24" s="184" t="str">
        <f>IF('AFNI STIM FILES'!T22="Avoid",'AFNI STIM FILES'!$C22, "")</f>
        <v/>
      </c>
      <c r="G24" s="184" t="str">
        <f>IF('AFNI STIM FILES'!T22="Avoid",'AFNI STIM FILES'!$E22, "")</f>
        <v/>
      </c>
      <c r="H24" s="184" t="str">
        <f>IF('AFNI STIM FILES'!T22="Missing",'AFNI STIM FILES'!$C22, "")</f>
        <v/>
      </c>
      <c r="I24" s="184" t="str">
        <f>IF('AFNI STIM FILES'!T22="Missing",'AFNI STIM FILES'!$E22, "")</f>
        <v/>
      </c>
      <c r="K24" s="184" t="str">
        <f>IF('AFNI STIM FILES'!T22="Approach",'AFNI STIM FILES'!$D22, "")</f>
        <v/>
      </c>
      <c r="L24" s="184" t="str">
        <f>IF('AFNI STIM FILES'!T22="Approach",'AFNI STIM FILES'!$F22, "")</f>
        <v/>
      </c>
      <c r="M24" s="184">
        <f>IF('AFNI STIM FILES'!T22="Ambivalent",'AFNI STIM FILES'!$D22, "")</f>
        <v>4</v>
      </c>
      <c r="N24" s="184">
        <f>IF('AFNI STIM FILES'!T22="Ambivalent",'AFNI STIM FILES'!$F22, "")</f>
        <v>1.8</v>
      </c>
      <c r="O24" s="184" t="str">
        <f>IF('AFNI STIM FILES'!T22="Avoid",'AFNI STIM FILES'!$D22, "")</f>
        <v/>
      </c>
      <c r="P24" s="184" t="str">
        <f>IF('AFNI STIM FILES'!T22="Avoid",'AFNI STIM FILES'!$F22, "")</f>
        <v/>
      </c>
      <c r="Q24" s="184" t="str">
        <f>IF('AFNI STIM FILES'!T22="Missing",'AFNI STIM FILES'!$D22, "")</f>
        <v/>
      </c>
      <c r="R24" s="184" t="str">
        <f>IF('AFNI STIM FILES'!T22="Missing",'AFNI STIM FILES'!$F22, "")</f>
        <v/>
      </c>
      <c r="AO24" s="186" t="s">
        <v>165</v>
      </c>
      <c r="AP24" t="str">
        <f t="shared" si="1"/>
        <v xml:space="preserve">                                                                                       </v>
      </c>
    </row>
    <row r="25" spans="1:42" x14ac:dyDescent="0.2">
      <c r="A25" s="7">
        <v>18</v>
      </c>
      <c r="B25" s="184" t="str">
        <f>IF('AFNI STIM FILES'!T23="Approach",'AFNI STIM FILES'!C23, "")</f>
        <v/>
      </c>
      <c r="C25" s="184" t="str">
        <f>IF('AFNI STIM FILES'!T23="Approach",'AFNI STIM FILES'!E23, "")</f>
        <v/>
      </c>
      <c r="D25" s="184">
        <f>IF('AFNI STIM FILES'!T23="Ambivalent",'AFNI STIM FILES'!$C23, "")</f>
        <v>300.94</v>
      </c>
      <c r="E25" s="184">
        <f>IF('AFNI STIM FILES'!T23="Ambivalent",'AFNI STIM FILES'!$E23, "")</f>
        <v>304.95</v>
      </c>
      <c r="F25" s="184" t="str">
        <f>IF('AFNI STIM FILES'!T23="Avoid",'AFNI STIM FILES'!$C23, "")</f>
        <v/>
      </c>
      <c r="G25" s="184" t="str">
        <f>IF('AFNI STIM FILES'!T23="Avoid",'AFNI STIM FILES'!$E23, "")</f>
        <v/>
      </c>
      <c r="H25" s="184" t="str">
        <f>IF('AFNI STIM FILES'!T23="Missing",'AFNI STIM FILES'!$C23, "")</f>
        <v/>
      </c>
      <c r="I25" s="184" t="str">
        <f>IF('AFNI STIM FILES'!T23="Missing",'AFNI STIM FILES'!$E23, "")</f>
        <v/>
      </c>
      <c r="K25" s="184" t="str">
        <f>IF('AFNI STIM FILES'!T23="Approach",'AFNI STIM FILES'!$D23, "")</f>
        <v/>
      </c>
      <c r="L25" s="184" t="str">
        <f>IF('AFNI STIM FILES'!T23="Approach",'AFNI STIM FILES'!$F23, "")</f>
        <v/>
      </c>
      <c r="M25" s="184">
        <f>IF('AFNI STIM FILES'!T23="Ambivalent",'AFNI STIM FILES'!$D23, "")</f>
        <v>4</v>
      </c>
      <c r="N25" s="184">
        <f>IF('AFNI STIM FILES'!T23="Ambivalent",'AFNI STIM FILES'!$F23, "")</f>
        <v>2.0499999999999998</v>
      </c>
      <c r="O25" s="184" t="str">
        <f>IF('AFNI STIM FILES'!T23="Avoid",'AFNI STIM FILES'!$D23, "")</f>
        <v/>
      </c>
      <c r="P25" s="184" t="str">
        <f>IF('AFNI STIM FILES'!T23="Avoid",'AFNI STIM FILES'!$F23, "")</f>
        <v/>
      </c>
      <c r="Q25" s="184" t="str">
        <f>IF('AFNI STIM FILES'!T23="Missing",'AFNI STIM FILES'!$D23, "")</f>
        <v/>
      </c>
      <c r="R25" s="184" t="str">
        <f>IF('AFNI STIM FILES'!T23="Missing",'AFNI STIM FILES'!$F23, "")</f>
        <v/>
      </c>
    </row>
    <row r="26" spans="1:42" x14ac:dyDescent="0.2">
      <c r="A26" s="7">
        <v>19</v>
      </c>
      <c r="B26" s="184" t="str">
        <f>IF('AFNI STIM FILES'!T24="Approach",'AFNI STIM FILES'!C24, "")</f>
        <v/>
      </c>
      <c r="C26" s="184" t="str">
        <f>IF('AFNI STIM FILES'!T24="Approach",'AFNI STIM FILES'!E24, "")</f>
        <v/>
      </c>
      <c r="D26" s="184" t="str">
        <f>IF('AFNI STIM FILES'!T24="Ambivalent",'AFNI STIM FILES'!$C24, "")</f>
        <v/>
      </c>
      <c r="E26" s="184" t="str">
        <f>IF('AFNI STIM FILES'!T24="Ambivalent",'AFNI STIM FILES'!$E24, "")</f>
        <v/>
      </c>
      <c r="F26" s="184">
        <f>IF('AFNI STIM FILES'!T24="Avoid",'AFNI STIM FILES'!$C24, "")</f>
        <v>313.95</v>
      </c>
      <c r="G26" s="184">
        <f>IF('AFNI STIM FILES'!T24="Avoid",'AFNI STIM FILES'!$E24, "")</f>
        <v>317.95999999999998</v>
      </c>
      <c r="H26" s="184" t="str">
        <f>IF('AFNI STIM FILES'!T24="Missing",'AFNI STIM FILES'!$C24, "")</f>
        <v/>
      </c>
      <c r="I26" s="184" t="str">
        <f>IF('AFNI STIM FILES'!T24="Missing",'AFNI STIM FILES'!$E24, "")</f>
        <v/>
      </c>
      <c r="K26" s="184" t="str">
        <f>IF('AFNI STIM FILES'!T24="Approach",'AFNI STIM FILES'!$D24, "")</f>
        <v/>
      </c>
      <c r="L26" s="184" t="str">
        <f>IF('AFNI STIM FILES'!T24="Approach",'AFNI STIM FILES'!$F24, "")</f>
        <v/>
      </c>
      <c r="M26" s="184" t="str">
        <f>IF('AFNI STIM FILES'!T24="Ambivalent",'AFNI STIM FILES'!$D24, "")</f>
        <v/>
      </c>
      <c r="N26" s="184" t="str">
        <f>IF('AFNI STIM FILES'!T24="Ambivalent",'AFNI STIM FILES'!$F24, "")</f>
        <v/>
      </c>
      <c r="O26" s="184">
        <f>IF('AFNI STIM FILES'!T24="Avoid",'AFNI STIM FILES'!$D24, "")</f>
        <v>4</v>
      </c>
      <c r="P26" s="184">
        <f>IF('AFNI STIM FILES'!T24="Avoid",'AFNI STIM FILES'!$F24, "")</f>
        <v>2.8</v>
      </c>
      <c r="Q26" s="184" t="str">
        <f>IF('AFNI STIM FILES'!T24="Missing",'AFNI STIM FILES'!$D24, "")</f>
        <v/>
      </c>
      <c r="R26" s="184" t="str">
        <f>IF('AFNI STIM FILES'!T24="Missing",'AFNI STIM FILES'!$F24, "")</f>
        <v/>
      </c>
    </row>
    <row r="27" spans="1:42" x14ac:dyDescent="0.2">
      <c r="A27" s="7">
        <v>20</v>
      </c>
      <c r="B27" s="184" t="str">
        <f>IF('AFNI STIM FILES'!T25="Approach",'AFNI STIM FILES'!C25, "")</f>
        <v/>
      </c>
      <c r="C27" s="184" t="str">
        <f>IF('AFNI STIM FILES'!T25="Approach",'AFNI STIM FILES'!E25, "")</f>
        <v/>
      </c>
      <c r="D27" s="184">
        <f>IF('AFNI STIM FILES'!T25="Ambivalent",'AFNI STIM FILES'!$C25, "")</f>
        <v>328.95</v>
      </c>
      <c r="E27" s="184">
        <f>IF('AFNI STIM FILES'!T25="Ambivalent",'AFNI STIM FILES'!$E25, "")</f>
        <v>332.95</v>
      </c>
      <c r="F27" s="184" t="str">
        <f>IF('AFNI STIM FILES'!T25="Avoid",'AFNI STIM FILES'!$C25, "")</f>
        <v/>
      </c>
      <c r="G27" s="184" t="str">
        <f>IF('AFNI STIM FILES'!T25="Avoid",'AFNI STIM FILES'!$E25, "")</f>
        <v/>
      </c>
      <c r="H27" s="184" t="str">
        <f>IF('AFNI STIM FILES'!T25="Missing",'AFNI STIM FILES'!$C25, "")</f>
        <v/>
      </c>
      <c r="I27" s="184" t="str">
        <f>IF('AFNI STIM FILES'!T25="Missing",'AFNI STIM FILES'!$E25, "")</f>
        <v/>
      </c>
      <c r="K27" s="184" t="str">
        <f>IF('AFNI STIM FILES'!T25="Approach",'AFNI STIM FILES'!$D25, "")</f>
        <v/>
      </c>
      <c r="L27" s="184" t="str">
        <f>IF('AFNI STIM FILES'!T25="Approach",'AFNI STIM FILES'!$F25, "")</f>
        <v/>
      </c>
      <c r="M27" s="184">
        <f>IF('AFNI STIM FILES'!T25="Ambivalent",'AFNI STIM FILES'!$D25, "")</f>
        <v>4</v>
      </c>
      <c r="N27" s="184">
        <f>IF('AFNI STIM FILES'!T25="Ambivalent",'AFNI STIM FILES'!$F25, "")</f>
        <v>2.52</v>
      </c>
      <c r="O27" s="184" t="str">
        <f>IF('AFNI STIM FILES'!T25="Avoid",'AFNI STIM FILES'!$D25, "")</f>
        <v/>
      </c>
      <c r="P27" s="184" t="str">
        <f>IF('AFNI STIM FILES'!T25="Avoid",'AFNI STIM FILES'!$F25, "")</f>
        <v/>
      </c>
      <c r="Q27" s="184" t="str">
        <f>IF('AFNI STIM FILES'!T25="Missing",'AFNI STIM FILES'!$D25, "")</f>
        <v/>
      </c>
      <c r="R27" s="184" t="str">
        <f>IF('AFNI STIM FILES'!T25="Missing",'AFNI STIM FILES'!$F25, "")</f>
        <v/>
      </c>
    </row>
    <row r="28" spans="1:42" x14ac:dyDescent="0.2">
      <c r="A28" s="7">
        <v>21</v>
      </c>
      <c r="B28" s="184" t="str">
        <f>IF('AFNI STIM FILES'!T26="Approach",'AFNI STIM FILES'!C26, "")</f>
        <v/>
      </c>
      <c r="C28" s="184" t="str">
        <f>IF('AFNI STIM FILES'!T26="Approach",'AFNI STIM FILES'!E26, "")</f>
        <v/>
      </c>
      <c r="D28" s="184" t="str">
        <f>IF('AFNI STIM FILES'!T26="Ambivalent",'AFNI STIM FILES'!$C26, "")</f>
        <v/>
      </c>
      <c r="E28" s="184" t="str">
        <f>IF('AFNI STIM FILES'!T26="Ambivalent",'AFNI STIM FILES'!$E26, "")</f>
        <v/>
      </c>
      <c r="F28" s="184">
        <f>IF('AFNI STIM FILES'!T26="Avoid",'AFNI STIM FILES'!$C26, "")</f>
        <v>343.96</v>
      </c>
      <c r="G28" s="184">
        <f>IF('AFNI STIM FILES'!T26="Avoid",'AFNI STIM FILES'!$E26, "")</f>
        <v>347.95</v>
      </c>
      <c r="H28" s="184" t="str">
        <f>IF('AFNI STIM FILES'!T26="Missing",'AFNI STIM FILES'!$C26, "")</f>
        <v/>
      </c>
      <c r="I28" s="184" t="str">
        <f>IF('AFNI STIM FILES'!T26="Missing",'AFNI STIM FILES'!$E26, "")</f>
        <v/>
      </c>
      <c r="K28" s="184" t="str">
        <f>IF('AFNI STIM FILES'!T26="Approach",'AFNI STIM FILES'!$D26, "")</f>
        <v/>
      </c>
      <c r="L28" s="184" t="str">
        <f>IF('AFNI STIM FILES'!T26="Approach",'AFNI STIM FILES'!$F26, "")</f>
        <v/>
      </c>
      <c r="M28" s="184" t="str">
        <f>IF('AFNI STIM FILES'!T26="Ambivalent",'AFNI STIM FILES'!$D26, "")</f>
        <v/>
      </c>
      <c r="N28" s="184" t="str">
        <f>IF('AFNI STIM FILES'!T26="Ambivalent",'AFNI STIM FILES'!$F26, "")</f>
        <v/>
      </c>
      <c r="O28" s="184">
        <f>IF('AFNI STIM FILES'!T26="Avoid",'AFNI STIM FILES'!$D26, "")</f>
        <v>3.99</v>
      </c>
      <c r="P28" s="184">
        <f>IF('AFNI STIM FILES'!T26="Avoid",'AFNI STIM FILES'!$F26, "")</f>
        <v>2.4700000000000002</v>
      </c>
      <c r="Q28" s="184" t="str">
        <f>IF('AFNI STIM FILES'!T26="Missing",'AFNI STIM FILES'!$D26, "")</f>
        <v/>
      </c>
      <c r="R28" s="184" t="str">
        <f>IF('AFNI STIM FILES'!T26="Missing",'AFNI STIM FILES'!$F26, "")</f>
        <v/>
      </c>
    </row>
    <row r="29" spans="1:42" x14ac:dyDescent="0.2">
      <c r="A29" s="7">
        <v>22</v>
      </c>
      <c r="B29" s="184" t="str">
        <f>IF('AFNI STIM FILES'!T27="Approach",'AFNI STIM FILES'!C27, "")</f>
        <v/>
      </c>
      <c r="C29" s="184" t="str">
        <f>IF('AFNI STIM FILES'!T27="Approach",'AFNI STIM FILES'!E27, "")</f>
        <v/>
      </c>
      <c r="D29" s="184">
        <f>IF('AFNI STIM FILES'!T27="Ambivalent",'AFNI STIM FILES'!$C27, "")</f>
        <v>356.95</v>
      </c>
      <c r="E29" s="184">
        <f>IF('AFNI STIM FILES'!T27="Ambivalent",'AFNI STIM FILES'!$E27, "")</f>
        <v>360.96</v>
      </c>
      <c r="F29" s="184" t="str">
        <f>IF('AFNI STIM FILES'!T27="Avoid",'AFNI STIM FILES'!$C27, "")</f>
        <v/>
      </c>
      <c r="G29" s="184" t="str">
        <f>IF('AFNI STIM FILES'!T27="Avoid",'AFNI STIM FILES'!$E27, "")</f>
        <v/>
      </c>
      <c r="H29" s="184" t="str">
        <f>IF('AFNI STIM FILES'!T27="Missing",'AFNI STIM FILES'!$C27, "")</f>
        <v/>
      </c>
      <c r="I29" s="184" t="str">
        <f>IF('AFNI STIM FILES'!T27="Missing",'AFNI STIM FILES'!$E27, "")</f>
        <v/>
      </c>
      <c r="K29" s="184" t="str">
        <f>IF('AFNI STIM FILES'!T27="Approach",'AFNI STIM FILES'!$D27, "")</f>
        <v/>
      </c>
      <c r="L29" s="184" t="str">
        <f>IF('AFNI STIM FILES'!T27="Approach",'AFNI STIM FILES'!$F27, "")</f>
        <v/>
      </c>
      <c r="M29" s="184">
        <f>IF('AFNI STIM FILES'!T27="Ambivalent",'AFNI STIM FILES'!$D27, "")</f>
        <v>4</v>
      </c>
      <c r="N29" s="184">
        <f>IF('AFNI STIM FILES'!T27="Ambivalent",'AFNI STIM FILES'!$F27, "")</f>
        <v>1.48</v>
      </c>
      <c r="O29" s="184" t="str">
        <f>IF('AFNI STIM FILES'!T27="Avoid",'AFNI STIM FILES'!$D27, "")</f>
        <v/>
      </c>
      <c r="P29" s="184" t="str">
        <f>IF('AFNI STIM FILES'!T27="Avoid",'AFNI STIM FILES'!$F27, "")</f>
        <v/>
      </c>
      <c r="Q29" s="184" t="str">
        <f>IF('AFNI STIM FILES'!T27="Missing",'AFNI STIM FILES'!$D27, "")</f>
        <v/>
      </c>
      <c r="R29" s="184" t="str">
        <f>IF('AFNI STIM FILES'!T27="Missing",'AFNI STIM FILES'!$F27, "")</f>
        <v/>
      </c>
    </row>
    <row r="30" spans="1:42" x14ac:dyDescent="0.2">
      <c r="A30" s="7">
        <v>23</v>
      </c>
      <c r="B30" s="184">
        <f>IF('AFNI STIM FILES'!T28="Approach",'AFNI STIM FILES'!C28, "")</f>
        <v>377.95</v>
      </c>
      <c r="C30" s="184">
        <f>IF('AFNI STIM FILES'!T28="Approach",'AFNI STIM FILES'!E28, "")</f>
        <v>381.95</v>
      </c>
      <c r="D30" s="184" t="str">
        <f>IF('AFNI STIM FILES'!T28="Ambivalent",'AFNI STIM FILES'!$C28, "")</f>
        <v/>
      </c>
      <c r="E30" s="184" t="str">
        <f>IF('AFNI STIM FILES'!T28="Ambivalent",'AFNI STIM FILES'!$E28, "")</f>
        <v/>
      </c>
      <c r="F30" s="184" t="str">
        <f>IF('AFNI STIM FILES'!T28="Avoid",'AFNI STIM FILES'!$C28, "")</f>
        <v/>
      </c>
      <c r="G30" s="184" t="str">
        <f>IF('AFNI STIM FILES'!T28="Avoid",'AFNI STIM FILES'!$E28, "")</f>
        <v/>
      </c>
      <c r="H30" s="184" t="str">
        <f>IF('AFNI STIM FILES'!T28="Missing",'AFNI STIM FILES'!$C28, "")</f>
        <v/>
      </c>
      <c r="I30" s="184" t="str">
        <f>IF('AFNI STIM FILES'!T28="Missing",'AFNI STIM FILES'!$E28, "")</f>
        <v/>
      </c>
      <c r="K30" s="184">
        <f>IF('AFNI STIM FILES'!T28="Approach",'AFNI STIM FILES'!$D28, "")</f>
        <v>4</v>
      </c>
      <c r="L30" s="184">
        <f>IF('AFNI STIM FILES'!T28="Approach",'AFNI STIM FILES'!$F28, "")</f>
        <v>2.74</v>
      </c>
      <c r="M30" s="184" t="str">
        <f>IF('AFNI STIM FILES'!T28="Ambivalent",'AFNI STIM FILES'!$D28, "")</f>
        <v/>
      </c>
      <c r="N30" s="184" t="str">
        <f>IF('AFNI STIM FILES'!T28="Ambivalent",'AFNI STIM FILES'!$F28, "")</f>
        <v/>
      </c>
      <c r="O30" s="184" t="str">
        <f>IF('AFNI STIM FILES'!T28="Avoid",'AFNI STIM FILES'!$D28, "")</f>
        <v/>
      </c>
      <c r="P30" s="184" t="str">
        <f>IF('AFNI STIM FILES'!T28="Avoid",'AFNI STIM FILES'!$F28, "")</f>
        <v/>
      </c>
      <c r="Q30" s="184" t="str">
        <f>IF('AFNI STIM FILES'!T28="Missing",'AFNI STIM FILES'!$D28, "")</f>
        <v/>
      </c>
      <c r="R30" s="184" t="str">
        <f>IF('AFNI STIM FILES'!T28="Missing",'AFNI STIM FILES'!$F28, "")</f>
        <v/>
      </c>
    </row>
    <row r="31" spans="1:42" x14ac:dyDescent="0.2">
      <c r="A31" s="7">
        <v>24</v>
      </c>
      <c r="B31" s="184" t="str">
        <f>IF('AFNI STIM FILES'!T29="Approach",'AFNI STIM FILES'!C29, "")</f>
        <v/>
      </c>
      <c r="C31" s="184" t="str">
        <f>IF('AFNI STIM FILES'!T29="Approach",'AFNI STIM FILES'!E29, "")</f>
        <v/>
      </c>
      <c r="D31" s="184">
        <f>IF('AFNI STIM FILES'!T29="Ambivalent",'AFNI STIM FILES'!$C29, "")</f>
        <v>392.95</v>
      </c>
      <c r="E31" s="184">
        <f>IF('AFNI STIM FILES'!T29="Ambivalent",'AFNI STIM FILES'!$E29, "")</f>
        <v>396.95</v>
      </c>
      <c r="F31" s="184" t="str">
        <f>IF('AFNI STIM FILES'!T29="Avoid",'AFNI STIM FILES'!$C29, "")</f>
        <v/>
      </c>
      <c r="G31" s="184" t="str">
        <f>IF('AFNI STIM FILES'!T29="Avoid",'AFNI STIM FILES'!$E29, "")</f>
        <v/>
      </c>
      <c r="H31" s="184" t="str">
        <f>IF('AFNI STIM FILES'!T29="Missing",'AFNI STIM FILES'!$C29, "")</f>
        <v/>
      </c>
      <c r="I31" s="184" t="str">
        <f>IF('AFNI STIM FILES'!T29="Missing",'AFNI STIM FILES'!$E29, "")</f>
        <v/>
      </c>
      <c r="K31" s="184" t="str">
        <f>IF('AFNI STIM FILES'!T29="Approach",'AFNI STIM FILES'!$D29, "")</f>
        <v/>
      </c>
      <c r="L31" s="184" t="str">
        <f>IF('AFNI STIM FILES'!T29="Approach",'AFNI STIM FILES'!$F29, "")</f>
        <v/>
      </c>
      <c r="M31" s="184">
        <f>IF('AFNI STIM FILES'!T29="Ambivalent",'AFNI STIM FILES'!$D29, "")</f>
        <v>4</v>
      </c>
      <c r="N31" s="184">
        <f>IF('AFNI STIM FILES'!T29="Ambivalent",'AFNI STIM FILES'!$F29, "")</f>
        <v>1.97</v>
      </c>
      <c r="O31" s="184" t="str">
        <f>IF('AFNI STIM FILES'!T29="Avoid",'AFNI STIM FILES'!$D29, "")</f>
        <v/>
      </c>
      <c r="P31" s="184" t="str">
        <f>IF('AFNI STIM FILES'!T29="Avoid",'AFNI STIM FILES'!$F29, "")</f>
        <v/>
      </c>
      <c r="Q31" s="184" t="str">
        <f>IF('AFNI STIM FILES'!T29="Missing",'AFNI STIM FILES'!$D29, "")</f>
        <v/>
      </c>
      <c r="R31" s="184" t="str">
        <f>IF('AFNI STIM FILES'!T29="Missing",'AFNI STIM FILES'!$F29, "")</f>
        <v/>
      </c>
    </row>
    <row r="32" spans="1:42" x14ac:dyDescent="0.2">
      <c r="A32" s="7">
        <v>25</v>
      </c>
      <c r="B32" s="184" t="str">
        <f>IF('AFNI STIM FILES'!T30="Approach",'AFNI STIM FILES'!C30, "")</f>
        <v/>
      </c>
      <c r="C32" s="184" t="str">
        <f>IF('AFNI STIM FILES'!T30="Approach",'AFNI STIM FILES'!E30, "")</f>
        <v/>
      </c>
      <c r="D32" s="184" t="str">
        <f>IF('AFNI STIM FILES'!T30="Ambivalent",'AFNI STIM FILES'!$C30, "")</f>
        <v/>
      </c>
      <c r="E32" s="184" t="str">
        <f>IF('AFNI STIM FILES'!T30="Ambivalent",'AFNI STIM FILES'!$E30, "")</f>
        <v/>
      </c>
      <c r="F32" s="184">
        <f>IF('AFNI STIM FILES'!T30="Avoid",'AFNI STIM FILES'!$C30, "")</f>
        <v>405.96</v>
      </c>
      <c r="G32" s="184">
        <f>IF('AFNI STIM FILES'!T30="Avoid",'AFNI STIM FILES'!$E30, "")</f>
        <v>409.96</v>
      </c>
      <c r="H32" s="184" t="str">
        <f>IF('AFNI STIM FILES'!T30="Missing",'AFNI STIM FILES'!$C30, "")</f>
        <v/>
      </c>
      <c r="I32" s="184" t="str">
        <f>IF('AFNI STIM FILES'!T30="Missing",'AFNI STIM FILES'!$E30, "")</f>
        <v/>
      </c>
      <c r="K32" s="184" t="str">
        <f>IF('AFNI STIM FILES'!T30="Approach",'AFNI STIM FILES'!$D30, "")</f>
        <v/>
      </c>
      <c r="L32" s="184" t="str">
        <f>IF('AFNI STIM FILES'!T30="Approach",'AFNI STIM FILES'!$F30, "")</f>
        <v/>
      </c>
      <c r="M32" s="184" t="str">
        <f>IF('AFNI STIM FILES'!T30="Ambivalent",'AFNI STIM FILES'!$D30, "")</f>
        <v/>
      </c>
      <c r="N32" s="184" t="str">
        <f>IF('AFNI STIM FILES'!T30="Ambivalent",'AFNI STIM FILES'!$F30, "")</f>
        <v/>
      </c>
      <c r="O32" s="184">
        <f>IF('AFNI STIM FILES'!T30="Avoid",'AFNI STIM FILES'!$D30, "")</f>
        <v>4</v>
      </c>
      <c r="P32" s="184">
        <f>IF('AFNI STIM FILES'!T30="Avoid",'AFNI STIM FILES'!$F30, "")</f>
        <v>2.92</v>
      </c>
      <c r="Q32" s="184" t="str">
        <f>IF('AFNI STIM FILES'!T30="Missing",'AFNI STIM FILES'!$D30, "")</f>
        <v/>
      </c>
      <c r="R32" s="184" t="str">
        <f>IF('AFNI STIM FILES'!T30="Missing",'AFNI STIM FILES'!$F30, "")</f>
        <v/>
      </c>
    </row>
    <row r="33" spans="1:38" x14ac:dyDescent="0.2">
      <c r="A33" s="7">
        <v>26</v>
      </c>
      <c r="B33" s="184" t="str">
        <f>IF('AFNI STIM FILES'!T31="Approach",'AFNI STIM FILES'!C31, "")</f>
        <v/>
      </c>
      <c r="C33" s="184" t="str">
        <f>IF('AFNI STIM FILES'!T31="Approach",'AFNI STIM FILES'!E31, "")</f>
        <v/>
      </c>
      <c r="D33" s="184">
        <f>IF('AFNI STIM FILES'!T31="Ambivalent",'AFNI STIM FILES'!$C31, "")</f>
        <v>420.95</v>
      </c>
      <c r="E33" s="184">
        <f>IF('AFNI STIM FILES'!T31="Ambivalent",'AFNI STIM FILES'!$E31, "")</f>
        <v>424.95</v>
      </c>
      <c r="F33" s="184" t="str">
        <f>IF('AFNI STIM FILES'!T31="Avoid",'AFNI STIM FILES'!$C31, "")</f>
        <v/>
      </c>
      <c r="G33" s="184" t="str">
        <f>IF('AFNI STIM FILES'!T31="Avoid",'AFNI STIM FILES'!$E31, "")</f>
        <v/>
      </c>
      <c r="H33" s="184" t="str">
        <f>IF('AFNI STIM FILES'!T31="Missing",'AFNI STIM FILES'!$C31, "")</f>
        <v/>
      </c>
      <c r="I33" s="184" t="str">
        <f>IF('AFNI STIM FILES'!T31="Missing",'AFNI STIM FILES'!$E31, "")</f>
        <v/>
      </c>
      <c r="K33" s="184" t="str">
        <f>IF('AFNI STIM FILES'!T31="Approach",'AFNI STIM FILES'!$D31, "")</f>
        <v/>
      </c>
      <c r="L33" s="184" t="str">
        <f>IF('AFNI STIM FILES'!T31="Approach",'AFNI STIM FILES'!$F31, "")</f>
        <v/>
      </c>
      <c r="M33" s="184">
        <f>IF('AFNI STIM FILES'!T31="Ambivalent",'AFNI STIM FILES'!$D31, "")</f>
        <v>4</v>
      </c>
      <c r="N33" s="184">
        <f>IF('AFNI STIM FILES'!T31="Ambivalent",'AFNI STIM FILES'!$F31, "")</f>
        <v>2.34</v>
      </c>
      <c r="O33" s="184" t="str">
        <f>IF('AFNI STIM FILES'!T31="Avoid",'AFNI STIM FILES'!$D31, "")</f>
        <v/>
      </c>
      <c r="P33" s="184" t="str">
        <f>IF('AFNI STIM FILES'!T31="Avoid",'AFNI STIM FILES'!$F31, "")</f>
        <v/>
      </c>
      <c r="Q33" s="184" t="str">
        <f>IF('AFNI STIM FILES'!T31="Missing",'AFNI STIM FILES'!$D31, "")</f>
        <v/>
      </c>
      <c r="R33" s="184" t="str">
        <f>IF('AFNI STIM FILES'!T31="Missing",'AFNI STIM FILES'!$F31, "")</f>
        <v/>
      </c>
    </row>
    <row r="34" spans="1:38" x14ac:dyDescent="0.2">
      <c r="A34" s="7">
        <v>27</v>
      </c>
      <c r="B34" s="184" t="str">
        <f>IF('AFNI STIM FILES'!T32="Approach",'AFNI STIM FILES'!C32, "")</f>
        <v/>
      </c>
      <c r="C34" s="184" t="str">
        <f>IF('AFNI STIM FILES'!T32="Approach",'AFNI STIM FILES'!E32, "")</f>
        <v/>
      </c>
      <c r="D34" s="184" t="str">
        <f>IF('AFNI STIM FILES'!T32="Ambivalent",'AFNI STIM FILES'!$C32, "")</f>
        <v/>
      </c>
      <c r="E34" s="184" t="str">
        <f>IF('AFNI STIM FILES'!T32="Ambivalent",'AFNI STIM FILES'!$E32, "")</f>
        <v/>
      </c>
      <c r="F34" s="184">
        <f>IF('AFNI STIM FILES'!T32="Avoid",'AFNI STIM FILES'!$C32, "")</f>
        <v>437.95</v>
      </c>
      <c r="G34" s="184">
        <f>IF('AFNI STIM FILES'!T32="Avoid",'AFNI STIM FILES'!$E32, "")</f>
        <v>441.95</v>
      </c>
      <c r="H34" s="184" t="str">
        <f>IF('AFNI STIM FILES'!T32="Missing",'AFNI STIM FILES'!$C32, "")</f>
        <v/>
      </c>
      <c r="I34" s="184" t="str">
        <f>IF('AFNI STIM FILES'!T32="Missing",'AFNI STIM FILES'!$E32, "")</f>
        <v/>
      </c>
      <c r="K34" s="184" t="str">
        <f>IF('AFNI STIM FILES'!T32="Approach",'AFNI STIM FILES'!$D32, "")</f>
        <v/>
      </c>
      <c r="L34" s="184" t="str">
        <f>IF('AFNI STIM FILES'!T32="Approach",'AFNI STIM FILES'!$F32, "")</f>
        <v/>
      </c>
      <c r="M34" s="184" t="str">
        <f>IF('AFNI STIM FILES'!T32="Ambivalent",'AFNI STIM FILES'!$D32, "")</f>
        <v/>
      </c>
      <c r="N34" s="184" t="str">
        <f>IF('AFNI STIM FILES'!T32="Ambivalent",'AFNI STIM FILES'!$F32, "")</f>
        <v/>
      </c>
      <c r="O34" s="184">
        <f>IF('AFNI STIM FILES'!T32="Avoid",'AFNI STIM FILES'!$D32, "")</f>
        <v>4</v>
      </c>
      <c r="P34" s="184">
        <f>IF('AFNI STIM FILES'!T32="Avoid",'AFNI STIM FILES'!$F32, "")</f>
        <v>2.72</v>
      </c>
      <c r="Q34" s="184" t="str">
        <f>IF('AFNI STIM FILES'!T32="Missing",'AFNI STIM FILES'!$D32, "")</f>
        <v/>
      </c>
      <c r="R34" s="184" t="str">
        <f>IF('AFNI STIM FILES'!T32="Missing",'AFNI STIM FILES'!$F32, "")</f>
        <v/>
      </c>
    </row>
    <row r="35" spans="1:38" x14ac:dyDescent="0.2">
      <c r="A35" s="7">
        <v>28</v>
      </c>
      <c r="B35" s="184" t="str">
        <f>IF('AFNI STIM FILES'!T33="Approach",'AFNI STIM FILES'!C33, "")</f>
        <v/>
      </c>
      <c r="C35" s="184" t="str">
        <f>IF('AFNI STIM FILES'!T33="Approach",'AFNI STIM FILES'!E33, "")</f>
        <v/>
      </c>
      <c r="D35" s="184">
        <f>IF('AFNI STIM FILES'!T33="Ambivalent",'AFNI STIM FILES'!$C33, "")</f>
        <v>452.96</v>
      </c>
      <c r="E35" s="184">
        <f>IF('AFNI STIM FILES'!T33="Ambivalent",'AFNI STIM FILES'!$E33, "")</f>
        <v>456.94</v>
      </c>
      <c r="F35" s="184" t="str">
        <f>IF('AFNI STIM FILES'!T33="Avoid",'AFNI STIM FILES'!$C33, "")</f>
        <v/>
      </c>
      <c r="G35" s="184" t="str">
        <f>IF('AFNI STIM FILES'!T33="Avoid",'AFNI STIM FILES'!$E33, "")</f>
        <v/>
      </c>
      <c r="H35" s="184" t="str">
        <f>IF('AFNI STIM FILES'!T33="Missing",'AFNI STIM FILES'!$C33, "")</f>
        <v/>
      </c>
      <c r="I35" s="184" t="str">
        <f>IF('AFNI STIM FILES'!T33="Missing",'AFNI STIM FILES'!$E33, "")</f>
        <v/>
      </c>
      <c r="K35" s="184" t="str">
        <f>IF('AFNI STIM FILES'!T33="Approach",'AFNI STIM FILES'!$D33, "")</f>
        <v/>
      </c>
      <c r="L35" s="184" t="str">
        <f>IF('AFNI STIM FILES'!T33="Approach",'AFNI STIM FILES'!$F33, "")</f>
        <v/>
      </c>
      <c r="M35" s="184">
        <f>IF('AFNI STIM FILES'!T33="Ambivalent",'AFNI STIM FILES'!$D33, "")</f>
        <v>3.99</v>
      </c>
      <c r="N35" s="184">
        <f>IF('AFNI STIM FILES'!T33="Ambivalent",'AFNI STIM FILES'!$F33, "")</f>
        <v>2.04</v>
      </c>
      <c r="O35" s="184" t="str">
        <f>IF('AFNI STIM FILES'!T33="Avoid",'AFNI STIM FILES'!$D33, "")</f>
        <v/>
      </c>
      <c r="P35" s="184" t="str">
        <f>IF('AFNI STIM FILES'!T33="Avoid",'AFNI STIM FILES'!$F33, "")</f>
        <v/>
      </c>
      <c r="Q35" s="184" t="str">
        <f>IF('AFNI STIM FILES'!T33="Missing",'AFNI STIM FILES'!$D33, "")</f>
        <v/>
      </c>
      <c r="R35" s="184" t="str">
        <f>IF('AFNI STIM FILES'!T33="Missing",'AFNI STIM FILES'!$F33, "")</f>
        <v/>
      </c>
    </row>
    <row r="36" spans="1:38" x14ac:dyDescent="0.2">
      <c r="A36" s="7">
        <v>29</v>
      </c>
      <c r="B36" s="184" t="str">
        <f>IF('AFNI STIM FILES'!T34="Approach",'AFNI STIM FILES'!C34, "")</f>
        <v/>
      </c>
      <c r="C36" s="184" t="str">
        <f>IF('AFNI STIM FILES'!T34="Approach",'AFNI STIM FILES'!E34, "")</f>
        <v/>
      </c>
      <c r="D36" s="184" t="str">
        <f>IF('AFNI STIM FILES'!T34="Ambivalent",'AFNI STIM FILES'!$C34, "")</f>
        <v/>
      </c>
      <c r="E36" s="184" t="str">
        <f>IF('AFNI STIM FILES'!T34="Ambivalent",'AFNI STIM FILES'!$E34, "")</f>
        <v/>
      </c>
      <c r="F36" s="184">
        <f>IF('AFNI STIM FILES'!T34="Avoid",'AFNI STIM FILES'!$C34, "")</f>
        <v>475.96</v>
      </c>
      <c r="G36" s="184">
        <f>IF('AFNI STIM FILES'!T34="Avoid",'AFNI STIM FILES'!$E34, "")</f>
        <v>479.95</v>
      </c>
      <c r="H36" s="184" t="str">
        <f>IF('AFNI STIM FILES'!T34="Missing",'AFNI STIM FILES'!$C34, "")</f>
        <v/>
      </c>
      <c r="I36" s="184" t="str">
        <f>IF('AFNI STIM FILES'!T34="Missing",'AFNI STIM FILES'!$E34, "")</f>
        <v/>
      </c>
      <c r="K36" s="184" t="str">
        <f>IF('AFNI STIM FILES'!T34="Approach",'AFNI STIM FILES'!$D34, "")</f>
        <v/>
      </c>
      <c r="L36" s="184" t="str">
        <f>IF('AFNI STIM FILES'!T34="Approach",'AFNI STIM FILES'!$F34, "")</f>
        <v/>
      </c>
      <c r="M36" s="184" t="str">
        <f>IF('AFNI STIM FILES'!T34="Ambivalent",'AFNI STIM FILES'!$D34, "")</f>
        <v/>
      </c>
      <c r="N36" s="184" t="str">
        <f>IF('AFNI STIM FILES'!T34="Ambivalent",'AFNI STIM FILES'!$F34, "")</f>
        <v/>
      </c>
      <c r="O36" s="184">
        <f>IF('AFNI STIM FILES'!T34="Avoid",'AFNI STIM FILES'!$D34, "")</f>
        <v>3.99</v>
      </c>
      <c r="P36" s="184">
        <f>IF('AFNI STIM FILES'!T34="Avoid",'AFNI STIM FILES'!$F34, "")</f>
        <v>2.62</v>
      </c>
      <c r="Q36" s="184" t="str">
        <f>IF('AFNI STIM FILES'!T34="Missing",'AFNI STIM FILES'!$D34, "")</f>
        <v/>
      </c>
      <c r="R36" s="184" t="str">
        <f>IF('AFNI STIM FILES'!T34="Missing",'AFNI STIM FILES'!$F34, "")</f>
        <v/>
      </c>
    </row>
    <row r="37" spans="1:38" x14ac:dyDescent="0.2">
      <c r="A37" s="7">
        <v>30</v>
      </c>
      <c r="B37" s="184" t="str">
        <f>IF('AFNI STIM FILES'!T35="Approach",'AFNI STIM FILES'!C35, "")</f>
        <v/>
      </c>
      <c r="C37" s="184" t="str">
        <f>IF('AFNI STIM FILES'!T35="Approach",'AFNI STIM FILES'!E35, "")</f>
        <v/>
      </c>
      <c r="D37" s="184">
        <f>IF('AFNI STIM FILES'!T35="Ambivalent",'AFNI STIM FILES'!$C35, "")</f>
        <v>488.95</v>
      </c>
      <c r="E37" s="184">
        <f>IF('AFNI STIM FILES'!T35="Ambivalent",'AFNI STIM FILES'!$E35, "")</f>
        <v>492.96</v>
      </c>
      <c r="F37" s="184" t="str">
        <f>IF('AFNI STIM FILES'!T35="Avoid",'AFNI STIM FILES'!$C35, "")</f>
        <v/>
      </c>
      <c r="G37" s="184" t="str">
        <f>IF('AFNI STIM FILES'!T35="Avoid",'AFNI STIM FILES'!$E35, "")</f>
        <v/>
      </c>
      <c r="H37" s="184" t="str">
        <f>IF('AFNI STIM FILES'!T35="Missing",'AFNI STIM FILES'!$C35, "")</f>
        <v/>
      </c>
      <c r="I37" s="184" t="str">
        <f>IF('AFNI STIM FILES'!T35="Missing",'AFNI STIM FILES'!$E35, "")</f>
        <v/>
      </c>
      <c r="K37" s="184" t="str">
        <f>IF('AFNI STIM FILES'!T35="Approach",'AFNI STIM FILES'!$D35, "")</f>
        <v/>
      </c>
      <c r="L37" s="184" t="str">
        <f>IF('AFNI STIM FILES'!T35="Approach",'AFNI STIM FILES'!$F35, "")</f>
        <v/>
      </c>
      <c r="M37" s="184">
        <f>IF('AFNI STIM FILES'!T35="Ambivalent",'AFNI STIM FILES'!$D35, "")</f>
        <v>4</v>
      </c>
      <c r="N37" s="184">
        <f>IF('AFNI STIM FILES'!T35="Ambivalent",'AFNI STIM FILES'!$F35, "")</f>
        <v>4.55</v>
      </c>
      <c r="O37" s="184" t="str">
        <f>IF('AFNI STIM FILES'!T35="Avoid",'AFNI STIM FILES'!$D35, "")</f>
        <v/>
      </c>
      <c r="P37" s="184" t="str">
        <f>IF('AFNI STIM FILES'!T35="Avoid",'AFNI STIM FILES'!$F35, "")</f>
        <v/>
      </c>
      <c r="Q37" s="184" t="str">
        <f>IF('AFNI STIM FILES'!T35="Missing",'AFNI STIM FILES'!$D35, "")</f>
        <v/>
      </c>
      <c r="R37" s="184" t="str">
        <f>IF('AFNI STIM FILES'!T35="Missing",'AFNI STIM FILES'!$F35, "")</f>
        <v/>
      </c>
    </row>
    <row r="38" spans="1:38" x14ac:dyDescent="0.2">
      <c r="O38" t="str">
        <f>IF('[1]AFNI STIM FILES'!T36="Avoid",'[1]AFNI STIM FILES'!$D36, "")</f>
        <v/>
      </c>
      <c r="P38" t="str">
        <f>IF('[1]AFNI STIM FILES'!T36="Avoid",'[1]AFNI STIM FILES'!$F36, "")</f>
        <v/>
      </c>
    </row>
    <row r="40" spans="1:38" x14ac:dyDescent="0.2">
      <c r="B40" s="97"/>
      <c r="E40" s="182" t="s">
        <v>100</v>
      </c>
      <c r="F40" s="182" t="s">
        <v>149</v>
      </c>
      <c r="J40" s="182" t="s">
        <v>166</v>
      </c>
      <c r="K40" s="97"/>
      <c r="N40" s="182" t="s">
        <v>100</v>
      </c>
      <c r="O40" s="182" t="s">
        <v>151</v>
      </c>
      <c r="T40" s="182" t="s">
        <v>166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spans="1:38" x14ac:dyDescent="0.2">
      <c r="B41" s="262" t="s">
        <v>90</v>
      </c>
      <c r="C41" s="262"/>
      <c r="D41" s="262" t="s">
        <v>91</v>
      </c>
      <c r="E41" s="262"/>
      <c r="F41" s="262" t="s">
        <v>92</v>
      </c>
      <c r="G41" s="262"/>
      <c r="H41" s="262" t="s">
        <v>93</v>
      </c>
      <c r="I41" s="262"/>
      <c r="K41" s="262" t="s">
        <v>90</v>
      </c>
      <c r="L41" s="262"/>
      <c r="M41" s="262" t="s">
        <v>91</v>
      </c>
      <c r="N41" s="262"/>
      <c r="O41" s="262" t="s">
        <v>92</v>
      </c>
      <c r="P41" s="262"/>
      <c r="Q41" s="262" t="s">
        <v>93</v>
      </c>
      <c r="R41" s="262"/>
      <c r="T41" s="182" t="s">
        <v>153</v>
      </c>
      <c r="U41" s="14"/>
      <c r="V41" s="14"/>
      <c r="W41" s="14"/>
      <c r="X41" s="14"/>
      <c r="Y41" s="14"/>
      <c r="Z41" s="14"/>
      <c r="AA41" s="14"/>
      <c r="AB41" s="14"/>
      <c r="AC41" s="182" t="s">
        <v>151</v>
      </c>
      <c r="AD41" s="14"/>
      <c r="AE41" s="14"/>
      <c r="AF41" s="14"/>
      <c r="AG41" s="14"/>
      <c r="AH41" s="14"/>
      <c r="AI41" s="14"/>
      <c r="AJ41" s="14"/>
      <c r="AK41" s="14"/>
      <c r="AL41" s="14"/>
    </row>
    <row r="42" spans="1:38" x14ac:dyDescent="0.2">
      <c r="A42" s="7" t="s">
        <v>155</v>
      </c>
      <c r="B42" s="177" t="s">
        <v>156</v>
      </c>
      <c r="C42" s="177" t="s">
        <v>157</v>
      </c>
      <c r="D42" s="177" t="s">
        <v>156</v>
      </c>
      <c r="E42" s="177" t="s">
        <v>59</v>
      </c>
      <c r="F42" s="177" t="s">
        <v>156</v>
      </c>
      <c r="G42" s="177" t="s">
        <v>59</v>
      </c>
      <c r="H42" s="177" t="s">
        <v>58</v>
      </c>
      <c r="I42" s="177" t="s">
        <v>157</v>
      </c>
      <c r="K42" s="177" t="s">
        <v>156</v>
      </c>
      <c r="L42" s="177" t="s">
        <v>157</v>
      </c>
      <c r="M42" s="177" t="s">
        <v>156</v>
      </c>
      <c r="N42" s="177" t="s">
        <v>59</v>
      </c>
      <c r="O42" s="177" t="s">
        <v>156</v>
      </c>
      <c r="P42" s="177" t="s">
        <v>59</v>
      </c>
      <c r="Q42" s="177" t="s">
        <v>58</v>
      </c>
      <c r="R42" s="177" t="s">
        <v>157</v>
      </c>
      <c r="T42" s="178" t="s">
        <v>158</v>
      </c>
      <c r="U42" t="str">
        <f>CONCATENATE(B43," ",B44," ",B45," ",B46," ", B47, " ", B48, " ", B49, " ", B50, " ", B51, " ", B52, " ", B53, " ", B54, " ", B55, " ", B56, " ", B57, " ", B58, " ", B59, " ", B60, " ", B61, " ", B62, " ", B63, " ", B64, " ", B65, " ", B66, " ", B67, " ", B68, " ", B69, " ", B70, " ", B71, " ", B72)</f>
        <v xml:space="preserve">                      377.97       </v>
      </c>
      <c r="AC42" s="178" t="s">
        <v>158</v>
      </c>
      <c r="AD42" t="str">
        <f>CONCATENATE(K43," ",K44," ",K45," ",K46," ", K47, " ", K48, " ", K49, " ", K50, " ", K51, " ", K52, " ", K53, " ", K54, " ", K55, " ", K56, " ", K57, " ", K58, " ", K59, " ", K60, " ", K61, " ", K62, " ", K63, " ", K64, " ", K65, " ", K66, " ", K67, " ", K68, " ", K69, " ", K70, " ", K71, " ", K72)</f>
        <v xml:space="preserve">                      4       </v>
      </c>
    </row>
    <row r="43" spans="1:38" x14ac:dyDescent="0.2">
      <c r="A43" s="7">
        <v>1</v>
      </c>
      <c r="B43" s="184" t="str">
        <f>IF('AFNI STIM FILES'!T41="Approach",'AFNI STIM FILES'!C41, "")</f>
        <v/>
      </c>
      <c r="C43" s="184" t="str">
        <f>IF('AFNI STIM FILES'!T41="Approach",'AFNI STIM FILES'!E41, "")</f>
        <v/>
      </c>
      <c r="D43" s="184">
        <f>IF('AFNI STIM FILES'!T41="Ambivalent",'AFNI STIM FILES'!$C41, "")</f>
        <v>5.97</v>
      </c>
      <c r="E43" s="184">
        <f>IF('AFNI STIM FILES'!T41="Ambivalent",'AFNI STIM FILES'!$E41, "")</f>
        <v>9.98</v>
      </c>
      <c r="F43" s="184" t="str">
        <f>IF('AFNI STIM FILES'!T41="Avoid",'AFNI STIM FILES'!$C41, "")</f>
        <v/>
      </c>
      <c r="G43" s="184" t="str">
        <f>IF('AFNI STIM FILES'!T41="Avoid",'AFNI STIM FILES'!$E41, "")</f>
        <v/>
      </c>
      <c r="H43" s="184" t="str">
        <f>IF('AFNI STIM FILES'!T41="Missing",'AFNI STIM FILES'!$C41, "")</f>
        <v/>
      </c>
      <c r="I43" s="184" t="str">
        <f>IF('AFNI STIM FILES'!T41="Missing",'AFNI STIM FILES'!$E41, "")</f>
        <v/>
      </c>
      <c r="K43" s="184" t="str">
        <f>IF('AFNI STIM FILES'!T41="Approach",'AFNI STIM FILES'!$D41, "")</f>
        <v/>
      </c>
      <c r="L43" s="184" t="str">
        <f>IF('AFNI STIM FILES'!T41="Approach",'AFNI STIM FILES'!$F41, "")</f>
        <v/>
      </c>
      <c r="M43" s="184">
        <f>IF('AFNI STIM FILES'!T41="Ambivalent",'AFNI STIM FILES'!$D41, "")</f>
        <v>4</v>
      </c>
      <c r="N43" s="184">
        <f>IF('AFNI STIM FILES'!T41="Ambivalent",'AFNI STIM FILES'!$F41, "")</f>
        <v>2.87</v>
      </c>
      <c r="O43" s="184" t="str">
        <f>IF('AFNI STIM FILES'!T41="Avoid",'AFNI STIM FILES'!$D41, "")</f>
        <v/>
      </c>
      <c r="P43" s="184" t="str">
        <f>IF('AFNI STIM FILES'!T41="Avoid",'AFNI STIM FILES'!$F41, "")</f>
        <v/>
      </c>
      <c r="Q43" s="184" t="str">
        <f>IF('AFNI STIM FILES'!T41="Missing",'AFNI STIM FILES'!$D41, "")</f>
        <v/>
      </c>
      <c r="R43" s="184" t="str">
        <f>IF('AFNI STIM FILES'!T41="Missing",'AFNI STIM FILES'!$F41, "")</f>
        <v/>
      </c>
      <c r="T43" t="s">
        <v>159</v>
      </c>
      <c r="U43" t="str">
        <f>CONCATENATE(C43, " ", C44, " ", C45, " ", C46, " ", C47, " ", C48, " ", C49, " ", C50, " ", C51, " ", C52, " ", C53, " ", C54, " ", C55, " ", C56, " ", C57, " ", C58, " ", C59, " ", C60, " ", C61, " ", C62, " ", C63, " ", C64, " ", C65, " ", C66, " ", C67, " ", C68, " ", C69, " ", C70, " ", C71, " ", C72)</f>
        <v xml:space="preserve">                      381.97       </v>
      </c>
      <c r="AC43" t="s">
        <v>159</v>
      </c>
      <c r="AD43" t="str">
        <f>CONCATENATE(L43, " ", L44, " ", L45, " ", L46, " ", L47, " ", L48, " ", L49, " ", L50, " ", L51, " ", L52, " ", L53, " ", L54, " ", L55, " ", L56, " ", L57, " ", L58, " ", L59, " ", L60, " ", L61, " ", L62, " ", L63, " ", L64, " ", L65, " ", L66, " ", L67, " ", L68, " ", L69, " ", L70, " ", L71, " ", L72)</f>
        <v xml:space="preserve">                      2.04       </v>
      </c>
    </row>
    <row r="44" spans="1:38" x14ac:dyDescent="0.2">
      <c r="A44" s="7">
        <v>2</v>
      </c>
      <c r="B44" s="184" t="str">
        <f>IF('AFNI STIM FILES'!T42="Approach",'AFNI STIM FILES'!C42, "")</f>
        <v/>
      </c>
      <c r="C44" s="184" t="str">
        <f>IF('AFNI STIM FILES'!T42="Approach",'AFNI STIM FILES'!E42, "")</f>
        <v/>
      </c>
      <c r="D44" s="184">
        <f>IF('AFNI STIM FILES'!T42="Ambivalent",'AFNI STIM FILES'!$C42, "")</f>
        <v>22.97</v>
      </c>
      <c r="E44" s="184">
        <f>IF('AFNI STIM FILES'!T42="Ambivalent",'AFNI STIM FILES'!$E42, "")</f>
        <v>26.97</v>
      </c>
      <c r="F44" s="184" t="str">
        <f>IF('AFNI STIM FILES'!T42="Avoid",'AFNI STIM FILES'!$C42, "")</f>
        <v/>
      </c>
      <c r="G44" s="184" t="str">
        <f>IF('AFNI STIM FILES'!T42="Avoid",'AFNI STIM FILES'!$E42, "")</f>
        <v/>
      </c>
      <c r="H44" s="184" t="str">
        <f>IF('AFNI STIM FILES'!T42="Missing",'AFNI STIM FILES'!$C42, "")</f>
        <v/>
      </c>
      <c r="I44" s="184" t="str">
        <f>IF('AFNI STIM FILES'!T42="Missing",'AFNI STIM FILES'!$E42, "")</f>
        <v/>
      </c>
      <c r="K44" s="184" t="str">
        <f>IF('AFNI STIM FILES'!T42="Approach",'AFNI STIM FILES'!$D42, "")</f>
        <v/>
      </c>
      <c r="L44" s="184" t="str">
        <f>IF('AFNI STIM FILES'!T42="Approach",'AFNI STIM FILES'!$F42, "")</f>
        <v/>
      </c>
      <c r="M44" s="184">
        <f>IF('AFNI STIM FILES'!T42="Ambivalent",'AFNI STIM FILES'!$D42, "")</f>
        <v>4</v>
      </c>
      <c r="N44" s="184">
        <f>IF('AFNI STIM FILES'!T42="Ambivalent",'AFNI STIM FILES'!$F42, "")</f>
        <v>2.35</v>
      </c>
      <c r="O44" s="184" t="str">
        <f>IF('AFNI STIM FILES'!T42="Avoid",'AFNI STIM FILES'!$D42, "")</f>
        <v/>
      </c>
      <c r="P44" s="184" t="str">
        <f>IF('AFNI STIM FILES'!T42="Avoid",'AFNI STIM FILES'!$F42, "")</f>
        <v/>
      </c>
      <c r="Q44" s="184" t="str">
        <f>IF('AFNI STIM FILES'!T42="Missing",'AFNI STIM FILES'!$D42, "")</f>
        <v/>
      </c>
      <c r="R44" s="184" t="str">
        <f>IF('AFNI STIM FILES'!T42="Missing",'AFNI STIM FILES'!$F42, "")</f>
        <v/>
      </c>
      <c r="T44" t="s">
        <v>160</v>
      </c>
      <c r="U44" t="str">
        <f xml:space="preserve"> CONCATENATE(D43, " ", D44, " ", D45, " ", D46, " ", D47, " ", D48, " ", D49, " ", D50, " ", D51, " ", D52, " ", D53, " ", D54, " ", D55, " ", D56, " ", D57, " ", D58, " ", D59, " ", D60, " ", D61, " ", D62, " ", D63, " ", D64, " ", D65, " ", D66, " ", D67, " ", D68, " ", D69, " ", D70, " ", D71, " ", D72)</f>
        <v>5.97 22.97  64.97 79.96 94.97  126.96  166.96  196.97 209.98 232.96  264.97 279.96 300.96  328.97  356.97  392.96  420.97  452.98  488.97</v>
      </c>
      <c r="AC44" t="s">
        <v>160</v>
      </c>
      <c r="AD44" t="str">
        <f xml:space="preserve"> CONCATENATE(M43, " ", M44, " ", M45, " ", M46, " ", M47, " ", M48, " ", M49, " ", M50, " ", M51, " ", M52, " ", M53, " ", M54, " ", M55, " ", M56, " ", M57, " ", M58, " ", M59, " ", M60, " ", M61, " ", M62, " ", M63, " ", M64, " ", M65, " ", M66, " ", M67, " ", M68, " ", M69, " ", M70, " ", M71, " ", M72)</f>
        <v>4 4  4 4 4  4  4  4 3.99 4  4 4 4  4  4  4  4  3.99  4</v>
      </c>
    </row>
    <row r="45" spans="1:38" x14ac:dyDescent="0.2">
      <c r="A45" s="7">
        <v>3</v>
      </c>
      <c r="B45" s="184" t="str">
        <f>IF('AFNI STIM FILES'!T43="Approach",'AFNI STIM FILES'!C43, "")</f>
        <v/>
      </c>
      <c r="C45" s="184" t="str">
        <f>IF('AFNI STIM FILES'!T43="Approach",'AFNI STIM FILES'!E43, "")</f>
        <v/>
      </c>
      <c r="D45" s="184" t="str">
        <f>IF('AFNI STIM FILES'!T43="Ambivalent",'AFNI STIM FILES'!$C43, "")</f>
        <v/>
      </c>
      <c r="E45" s="184" t="str">
        <f>IF('AFNI STIM FILES'!T43="Ambivalent",'AFNI STIM FILES'!$E43, "")</f>
        <v/>
      </c>
      <c r="F45" s="184">
        <f>IF('AFNI STIM FILES'!T43="Avoid",'AFNI STIM FILES'!$C43, "")</f>
        <v>45.97</v>
      </c>
      <c r="G45" s="184">
        <f>IF('AFNI STIM FILES'!T43="Avoid",'AFNI STIM FILES'!$E43, "")</f>
        <v>49.97</v>
      </c>
      <c r="H45" s="184" t="str">
        <f>IF('AFNI STIM FILES'!T43="Missing",'AFNI STIM FILES'!$C43, "")</f>
        <v/>
      </c>
      <c r="I45" s="184" t="str">
        <f>IF('AFNI STIM FILES'!T43="Missing",'AFNI STIM FILES'!$E43, "")</f>
        <v/>
      </c>
      <c r="K45" s="184" t="str">
        <f>IF('AFNI STIM FILES'!T43="Approach",'AFNI STIM FILES'!$D43, "")</f>
        <v/>
      </c>
      <c r="L45" s="184" t="str">
        <f>IF('AFNI STIM FILES'!T43="Approach",'AFNI STIM FILES'!$F43, "")</f>
        <v/>
      </c>
      <c r="M45" s="184" t="str">
        <f>IF('AFNI STIM FILES'!T43="Ambivalent",'AFNI STIM FILES'!$D43, "")</f>
        <v/>
      </c>
      <c r="N45" s="184" t="str">
        <f>IF('AFNI STIM FILES'!T43="Ambivalent",'AFNI STIM FILES'!$F43, "")</f>
        <v/>
      </c>
      <c r="O45" s="184">
        <f>IF('AFNI STIM FILES'!T43="Avoid",'AFNI STIM FILES'!$D43, "")</f>
        <v>4</v>
      </c>
      <c r="P45" s="184">
        <f>IF('AFNI STIM FILES'!T43="Avoid",'AFNI STIM FILES'!$F43, "")</f>
        <v>2.57</v>
      </c>
      <c r="Q45" s="184" t="str">
        <f>IF('AFNI STIM FILES'!T43="Missing",'AFNI STIM FILES'!$D43, "")</f>
        <v/>
      </c>
      <c r="R45" s="184" t="str">
        <f>IF('AFNI STIM FILES'!T43="Missing",'AFNI STIM FILES'!$F43, "")</f>
        <v/>
      </c>
      <c r="T45" t="s">
        <v>161</v>
      </c>
      <c r="U45" t="str">
        <f>CONCATENATE(E43, " ", E44, " ", E45, " ", E46, " ", E47, " ", E48, " ", E49, " ", E50, " ", E51, " ", E52, " ", E53, " ", E54, " ", E55, " ", E56, " ", E57, " ", E58, " ", E59, " ", E60, " ", E61, " ", E62, " ", E63, " ", E64, " ", E65, " ", E66, " ", E67, " ", E68, " ", E69, " ", E70, " ", E71, " ", E72)</f>
        <v>9.98 26.97  68.97 83.96 98.98  130.97  170.96  200.97 213.96 236.96  268.97 283.96 304.96  332.97  360.97  396.97  424.97  456.96  492.97</v>
      </c>
      <c r="AC45" t="s">
        <v>161</v>
      </c>
      <c r="AD45" t="str">
        <f>CONCATENATE(N43, " ", N44, " ", N45, " ", N46, " ", N47, " ", N48, " ", N49, " ", N50, " ", N51, " ", N52, " ", N53, " ", N54, " ", N55, " ", N56, " ", N57, " ", N58, " ", N59, " ", N60, " ", N61, " ", N62, " ", N63, " ", N64, " ", N65, " ", N66, " ", N67, " ", N68, " ", N69, " ", N70, " ", N71, " ", N72)</f>
        <v>2.87 2.35  2.58 1.67 1.87  2.09  1.82  1.87 3.74 2.3  2.78 1.74 3.82  1.18  1.9  1.4  2.02  1.63  2.8</v>
      </c>
    </row>
    <row r="46" spans="1:38" x14ac:dyDescent="0.2">
      <c r="A46" s="7">
        <v>4</v>
      </c>
      <c r="B46" s="184" t="str">
        <f>IF('AFNI STIM FILES'!T44="Approach",'AFNI STIM FILES'!C44, "")</f>
        <v/>
      </c>
      <c r="C46" s="184" t="str">
        <f>IF('AFNI STIM FILES'!T44="Approach",'AFNI STIM FILES'!E44, "")</f>
        <v/>
      </c>
      <c r="D46" s="184">
        <f>IF('AFNI STIM FILES'!T44="Ambivalent",'AFNI STIM FILES'!$C44, "")</f>
        <v>64.97</v>
      </c>
      <c r="E46" s="184">
        <f>IF('AFNI STIM FILES'!T44="Ambivalent",'AFNI STIM FILES'!$E44, "")</f>
        <v>68.97</v>
      </c>
      <c r="F46" s="184" t="str">
        <f>IF('AFNI STIM FILES'!T44="Avoid",'AFNI STIM FILES'!$C44, "")</f>
        <v/>
      </c>
      <c r="G46" s="184" t="str">
        <f>IF('AFNI STIM FILES'!T44="Avoid",'AFNI STIM FILES'!$E44, "")</f>
        <v/>
      </c>
      <c r="H46" s="184" t="str">
        <f>IF('AFNI STIM FILES'!T44="Missing",'AFNI STIM FILES'!$C44, "")</f>
        <v/>
      </c>
      <c r="I46" s="184" t="str">
        <f>IF('AFNI STIM FILES'!T44="Missing",'AFNI STIM FILES'!$E44, "")</f>
        <v/>
      </c>
      <c r="K46" s="184" t="str">
        <f>IF('AFNI STIM FILES'!T44="Approach",'AFNI STIM FILES'!$D44, "")</f>
        <v/>
      </c>
      <c r="L46" s="184" t="str">
        <f>IF('AFNI STIM FILES'!T44="Approach",'AFNI STIM FILES'!$F44, "")</f>
        <v/>
      </c>
      <c r="M46" s="184">
        <f>IF('AFNI STIM FILES'!T44="Ambivalent",'AFNI STIM FILES'!$D44, "")</f>
        <v>4</v>
      </c>
      <c r="N46" s="184">
        <f>IF('AFNI STIM FILES'!T44="Ambivalent",'AFNI STIM FILES'!$F44, "")</f>
        <v>2.58</v>
      </c>
      <c r="O46" s="184" t="str">
        <f>IF('AFNI STIM FILES'!T44="Avoid",'AFNI STIM FILES'!$D44, "")</f>
        <v/>
      </c>
      <c r="P46" s="184" t="str">
        <f>IF('AFNI STIM FILES'!T44="Avoid",'AFNI STIM FILES'!$F44, "")</f>
        <v/>
      </c>
      <c r="Q46" s="184" t="str">
        <f>IF('AFNI STIM FILES'!T44="Missing",'AFNI STIM FILES'!$D44, "")</f>
        <v/>
      </c>
      <c r="R46" s="184" t="str">
        <f>IF('AFNI STIM FILES'!T44="Missing",'AFNI STIM FILES'!$F44, "")</f>
        <v/>
      </c>
      <c r="T46" t="s">
        <v>162</v>
      </c>
      <c r="U46" t="str">
        <f>CONCATENATE(F43, " ", F44, " ", F45, " ", F46, " ", F47, " ", F48, " ", F49, " ", F50, " ", F51, " ", F52, " ", F53, " ", F54, " ", F55, " ", F56, " ", F57, " ", F58, " ", F59, " ", F60, " ", F61, " ", F62, " ", F63, " ", F64, " ", F65, " ", F66, " ", F67, " ", F68, " ", F69, " ", F70, " ", F71, " ", F72)</f>
        <v xml:space="preserve">  45.97    107.97  145.96  181.97    247.97    313.97  343.96    405.97  437.96  475.96 </v>
      </c>
      <c r="AC46" t="s">
        <v>162</v>
      </c>
      <c r="AD46" t="str">
        <f>CONCATENATE(O43, " ", O44, " ", O45, " ", O46, " ", O47, " ", O48, " ", O49, " ", O50, " ", O51, " ", O52, " ", O53, " ", O54, " ", O55, " ", O56, " ", O57, " ", O58, " ", O59, " ", O60, " ", O61, " ", O62, " ", O63, " ", O64, " ", O65, " ", O66, " ", O67, " ", O68, " ", O69, " ", O70, " ", O71, " ", O72)</f>
        <v xml:space="preserve">  4    4  4  4    4    4  4    3.99  4  4 </v>
      </c>
    </row>
    <row r="47" spans="1:38" x14ac:dyDescent="0.2">
      <c r="A47" s="7">
        <v>5</v>
      </c>
      <c r="B47" s="184" t="str">
        <f>IF('AFNI STIM FILES'!T45="Approach",'AFNI STIM FILES'!C45, "")</f>
        <v/>
      </c>
      <c r="C47" s="184" t="str">
        <f>IF('AFNI STIM FILES'!T45="Approach",'AFNI STIM FILES'!E45, "")</f>
        <v/>
      </c>
      <c r="D47" s="184">
        <f>IF('AFNI STIM FILES'!T45="Ambivalent",'AFNI STIM FILES'!$C45, "")</f>
        <v>79.959999999999994</v>
      </c>
      <c r="E47" s="184">
        <f>IF('AFNI STIM FILES'!T45="Ambivalent",'AFNI STIM FILES'!$E45, "")</f>
        <v>83.96</v>
      </c>
      <c r="F47" s="184" t="str">
        <f>IF('AFNI STIM FILES'!T45="Avoid",'AFNI STIM FILES'!$C45, "")</f>
        <v/>
      </c>
      <c r="G47" s="184" t="str">
        <f>IF('AFNI STIM FILES'!T45="Avoid",'AFNI STIM FILES'!$E45, "")</f>
        <v/>
      </c>
      <c r="H47" s="184" t="str">
        <f>IF('AFNI STIM FILES'!T45="Missing",'AFNI STIM FILES'!$C45, "")</f>
        <v/>
      </c>
      <c r="I47" s="184" t="str">
        <f>IF('AFNI STIM FILES'!T45="Missing",'AFNI STIM FILES'!$E45, "")</f>
        <v/>
      </c>
      <c r="K47" s="184" t="str">
        <f>IF('AFNI STIM FILES'!T45="Approach",'AFNI STIM FILES'!$D45, "")</f>
        <v/>
      </c>
      <c r="L47" s="184" t="str">
        <f>IF('AFNI STIM FILES'!T45="Approach",'AFNI STIM FILES'!$F45, "")</f>
        <v/>
      </c>
      <c r="M47" s="184">
        <f>IF('AFNI STIM FILES'!T45="Ambivalent",'AFNI STIM FILES'!$D45, "")</f>
        <v>4</v>
      </c>
      <c r="N47" s="184">
        <f>IF('AFNI STIM FILES'!T45="Ambivalent",'AFNI STIM FILES'!$F45, "")</f>
        <v>1.67</v>
      </c>
      <c r="O47" s="184" t="str">
        <f>IF('AFNI STIM FILES'!T45="Avoid",'AFNI STIM FILES'!$D45, "")</f>
        <v/>
      </c>
      <c r="P47" s="184" t="str">
        <f>IF('AFNI STIM FILES'!T45="Avoid",'AFNI STIM FILES'!$F45, "")</f>
        <v/>
      </c>
      <c r="Q47" s="184" t="str">
        <f>IF('AFNI STIM FILES'!T45="Missing",'AFNI STIM FILES'!$D45, "")</f>
        <v/>
      </c>
      <c r="R47" s="184" t="str">
        <f>IF('AFNI STIM FILES'!T45="Missing",'AFNI STIM FILES'!$F45, "")</f>
        <v/>
      </c>
      <c r="T47" t="s">
        <v>163</v>
      </c>
      <c r="U47" t="str">
        <f>CONCATENATE(G43, " ", G44, " ", G45, " ", G46, " ", G47, " ", G48, " ", G49, " ", G50, " ", G51, " ", G52, " ", G53, " ", G54, " ", G55, " ", G56, " ", G57, " ", G58, " ", G59, " ", G60, " ", G61, " ", G62, " ", G63, " ", G64, " ", G65, " ", G66, " ", G67, " ", G68, " ", G69, " ", G70, " ", G71, " ", G72)</f>
        <v xml:space="preserve">  49.97    111.97  149.96  185.97    251.97    317.97  347.96    409.96  441.97  479.96 </v>
      </c>
      <c r="AC47" t="s">
        <v>163</v>
      </c>
      <c r="AD47" t="str">
        <f>CONCATENATE(P43, " ", P44, " ", P45, " ", P46, " ", P47, " ", P48, " ", P49, " ", P50, " ", P51, " ", P52, " ", P53, " ", P54, " ", P55, " ", P56, " ", P57, " ", P58, " ", P59, " ", P60, " ", P61, " ", P62, " ", P63, " ", P64, " ", P65, " ", P66, " ", P67, " ", P68, " ", P69, " ", P70, " ", P71, " ", P72)</f>
        <v xml:space="preserve">  2.57    3.94  2.32  2.29    2.2    2.49  2.15    2.13  2.22  1.97 </v>
      </c>
    </row>
    <row r="48" spans="1:38" x14ac:dyDescent="0.2">
      <c r="A48" s="7">
        <v>6</v>
      </c>
      <c r="B48" s="184" t="str">
        <f>IF('AFNI STIM FILES'!T46="Approach",'AFNI STIM FILES'!C46, "")</f>
        <v/>
      </c>
      <c r="C48" s="184" t="str">
        <f>IF('AFNI STIM FILES'!T46="Approach",'AFNI STIM FILES'!E46, "")</f>
        <v/>
      </c>
      <c r="D48" s="184">
        <f>IF('AFNI STIM FILES'!T46="Ambivalent",'AFNI STIM FILES'!$C46, "")</f>
        <v>94.97</v>
      </c>
      <c r="E48" s="184">
        <f>IF('AFNI STIM FILES'!T46="Ambivalent",'AFNI STIM FILES'!$E46, "")</f>
        <v>98.98</v>
      </c>
      <c r="F48" s="184" t="str">
        <f>IF('AFNI STIM FILES'!T46="Avoid",'AFNI STIM FILES'!$C46, "")</f>
        <v/>
      </c>
      <c r="G48" s="184" t="str">
        <f>IF('AFNI STIM FILES'!T46="Avoid",'AFNI STIM FILES'!$E46, "")</f>
        <v/>
      </c>
      <c r="H48" s="184" t="str">
        <f>IF('AFNI STIM FILES'!T46="Missing",'AFNI STIM FILES'!$C46, "")</f>
        <v/>
      </c>
      <c r="I48" s="184" t="str">
        <f>IF('AFNI STIM FILES'!T46="Missing",'AFNI STIM FILES'!$E46, "")</f>
        <v/>
      </c>
      <c r="K48" s="184" t="str">
        <f>IF('AFNI STIM FILES'!T46="Approach",'AFNI STIM FILES'!$D46, "")</f>
        <v/>
      </c>
      <c r="L48" s="184" t="str">
        <f>IF('AFNI STIM FILES'!T46="Approach",'AFNI STIM FILES'!$F46, "")</f>
        <v/>
      </c>
      <c r="M48" s="184">
        <f>IF('AFNI STIM FILES'!T46="Ambivalent",'AFNI STIM FILES'!$D46, "")</f>
        <v>4</v>
      </c>
      <c r="N48" s="184">
        <f>IF('AFNI STIM FILES'!T46="Ambivalent",'AFNI STIM FILES'!$F46, "")</f>
        <v>1.87</v>
      </c>
      <c r="O48" s="184" t="str">
        <f>IF('AFNI STIM FILES'!T46="Avoid",'AFNI STIM FILES'!$D46, "")</f>
        <v/>
      </c>
      <c r="P48" s="184" t="str">
        <f>IF('AFNI STIM FILES'!T46="Avoid",'AFNI STIM FILES'!$F46, "")</f>
        <v/>
      </c>
      <c r="Q48" s="184" t="str">
        <f>IF('AFNI STIM FILES'!T46="Missing",'AFNI STIM FILES'!$D46, "")</f>
        <v/>
      </c>
      <c r="R48" s="184" t="str">
        <f>IF('AFNI STIM FILES'!T46="Missing",'AFNI STIM FILES'!$F46, "")</f>
        <v/>
      </c>
      <c r="T48" t="s">
        <v>164</v>
      </c>
      <c r="U48" t="str">
        <f>CONCATENATE(H43, " ", H44, " ", H45, " ", H46, " ", H47, " ", H48, " ", H49, " ", H50, " ", H51, " ", H52, " ", H53, " ", H54, " ", H55, " ", H56, " ", H57, " ", H58, " ", H59, " ", H60, " ", H61, " ", H62, " ", H63, " ", H64, " ", H65, " ", H66, " ", H67, " ", H68, " ", H69, " ", H70, " ", H71, " ", H72)</f>
        <v xml:space="preserve">                             </v>
      </c>
      <c r="AC48" t="s">
        <v>164</v>
      </c>
      <c r="AD48" t="str">
        <f>CONCATENATE(Q43, " ", Q44, " ", Q45, " ", Q46, " ", Q47, " ", Q48, " ", Q49, " ", Q50, " ", Q51, " ", Q52, " ", Q53, " ", Q54, " ", Q55, " ", Q56, " ", Q57, " ", Q58, " ", Q59, " ", Q60, " ", Q61, " ", Q62, " ", Q63, " ", Q64, " ", Q65, " ", Q66, " ", Q67, " ", Q68, " ", Q69, " ", Q70, " ", Q71, " ", Q72)</f>
        <v xml:space="preserve">                             </v>
      </c>
    </row>
    <row r="49" spans="1:30" x14ac:dyDescent="0.2">
      <c r="A49" s="7">
        <v>7</v>
      </c>
      <c r="B49" s="184" t="str">
        <f>IF('AFNI STIM FILES'!T47="Approach",'AFNI STIM FILES'!C47, "")</f>
        <v/>
      </c>
      <c r="C49" s="184" t="str">
        <f>IF('AFNI STIM FILES'!T47="Approach",'AFNI STIM FILES'!E47, "")</f>
        <v/>
      </c>
      <c r="D49" s="184" t="str">
        <f>IF('AFNI STIM FILES'!T47="Ambivalent",'AFNI STIM FILES'!$C47, "")</f>
        <v/>
      </c>
      <c r="E49" s="184" t="str">
        <f>IF('AFNI STIM FILES'!T47="Ambivalent",'AFNI STIM FILES'!$E47, "")</f>
        <v/>
      </c>
      <c r="F49" s="184">
        <f>IF('AFNI STIM FILES'!T47="Avoid",'AFNI STIM FILES'!$C47, "")</f>
        <v>107.97</v>
      </c>
      <c r="G49" s="184">
        <f>IF('AFNI STIM FILES'!T47="Avoid",'AFNI STIM FILES'!$E47, "")</f>
        <v>111.97</v>
      </c>
      <c r="H49" s="184" t="str">
        <f>IF('AFNI STIM FILES'!T47="Missing",'AFNI STIM FILES'!$C47, "")</f>
        <v/>
      </c>
      <c r="I49" s="184" t="str">
        <f>IF('AFNI STIM FILES'!T47="Missing",'AFNI STIM FILES'!$E47, "")</f>
        <v/>
      </c>
      <c r="K49" s="184" t="str">
        <f>IF('AFNI STIM FILES'!T47="Approach",'AFNI STIM FILES'!$D47, "")</f>
        <v/>
      </c>
      <c r="L49" s="184" t="str">
        <f>IF('AFNI STIM FILES'!T47="Approach",'AFNI STIM FILES'!$F47, "")</f>
        <v/>
      </c>
      <c r="M49" s="184" t="str">
        <f>IF('AFNI STIM FILES'!T47="Ambivalent",'AFNI STIM FILES'!$D47, "")</f>
        <v/>
      </c>
      <c r="N49" s="184" t="str">
        <f>IF('AFNI STIM FILES'!T47="Ambivalent",'AFNI STIM FILES'!$F47, "")</f>
        <v/>
      </c>
      <c r="O49" s="184">
        <f>IF('AFNI STIM FILES'!T47="Avoid",'AFNI STIM FILES'!$D47, "")</f>
        <v>4</v>
      </c>
      <c r="P49" s="184">
        <f>IF('AFNI STIM FILES'!T47="Avoid",'AFNI STIM FILES'!$F47, "")</f>
        <v>3.94</v>
      </c>
      <c r="Q49" s="184" t="str">
        <f>IF('AFNI STIM FILES'!T47="Missing",'AFNI STIM FILES'!$D47, "")</f>
        <v/>
      </c>
      <c r="R49" s="184" t="str">
        <f>IF('AFNI STIM FILES'!T47="Missing",'AFNI STIM FILES'!$F47, "")</f>
        <v/>
      </c>
      <c r="T49" t="s">
        <v>165</v>
      </c>
      <c r="U49" t="str">
        <f>CONCATENATE(I43, " ", I44, " ", I45, " ", I46, " ", I47, " ", I48, " ", I49, " ", I50, " ", I51, " ", I52, " ", I53, " ",  I54, " ", I55, " ", I56, " ", I57, " ", I58,  " ", I59, " ", I60, " ", I61, " ", I62, " ", I63, " ", I64, " ", I65, " ", I66, " ", I67, " ", I68, " ", I69, " ", I70, " ", I71, " ", I72)</f>
        <v xml:space="preserve">                             </v>
      </c>
      <c r="AC49" t="s">
        <v>165</v>
      </c>
      <c r="AD49" t="str">
        <f>CONCATENATE(R43, " ", R44, " ", R45, " ", R46, " ", R47, " ", R48, " ", R49, " ", R50, " ", R51, " ", R52, " ", R53, " ",  R54, " ", R55, " ", R56, " ", R57, " ", R58,  " ", R59, " ", R60, " ", R61, " ", R62, " ", R63, " ", R64, " ", R65, " ", R66, " ", R67, " ", R68, " ", R69, " ", R70, " ", R71, " ", R72)</f>
        <v xml:space="preserve">                             </v>
      </c>
    </row>
    <row r="50" spans="1:30" x14ac:dyDescent="0.2">
      <c r="A50" s="7">
        <v>8</v>
      </c>
      <c r="B50" s="184" t="str">
        <f>IF('AFNI STIM FILES'!T48="Approach",'AFNI STIM FILES'!C48, "")</f>
        <v/>
      </c>
      <c r="C50" s="184" t="str">
        <f>IF('AFNI STIM FILES'!T48="Approach",'AFNI STIM FILES'!E48, "")</f>
        <v/>
      </c>
      <c r="D50" s="184">
        <f>IF('AFNI STIM FILES'!T48="Ambivalent",'AFNI STIM FILES'!$C48, "")</f>
        <v>126.96</v>
      </c>
      <c r="E50" s="184">
        <f>IF('AFNI STIM FILES'!T48="Ambivalent",'AFNI STIM FILES'!$E48, "")</f>
        <v>130.97</v>
      </c>
      <c r="F50" s="184" t="str">
        <f>IF('AFNI STIM FILES'!T48="Avoid",'AFNI STIM FILES'!$C48, "")</f>
        <v/>
      </c>
      <c r="G50" s="184" t="str">
        <f>IF('AFNI STIM FILES'!T48="Avoid",'AFNI STIM FILES'!$E48, "")</f>
        <v/>
      </c>
      <c r="H50" s="184" t="str">
        <f>IF('AFNI STIM FILES'!T48="Missing",'AFNI STIM FILES'!$C48, "")</f>
        <v/>
      </c>
      <c r="I50" s="184" t="str">
        <f>IF('AFNI STIM FILES'!T48="Missing",'AFNI STIM FILES'!$E48, "")</f>
        <v/>
      </c>
      <c r="K50" s="184" t="str">
        <f>IF('AFNI STIM FILES'!T48="Approach",'AFNI STIM FILES'!$D48, "")</f>
        <v/>
      </c>
      <c r="L50" s="184" t="str">
        <f>IF('AFNI STIM FILES'!T48="Approach",'AFNI STIM FILES'!$F48, "")</f>
        <v/>
      </c>
      <c r="M50" s="184">
        <f>IF('AFNI STIM FILES'!T48="Ambivalent",'AFNI STIM FILES'!$D48, "")</f>
        <v>4</v>
      </c>
      <c r="N50" s="184">
        <f>IF('AFNI STIM FILES'!T48="Ambivalent",'AFNI STIM FILES'!$F48, "")</f>
        <v>2.09</v>
      </c>
      <c r="O50" s="184" t="str">
        <f>IF('AFNI STIM FILES'!T48="Avoid",'AFNI STIM FILES'!$D48, "")</f>
        <v/>
      </c>
      <c r="P50" s="184" t="str">
        <f>IF('AFNI STIM FILES'!T48="Avoid",'AFNI STIM FILES'!$F48, "")</f>
        <v/>
      </c>
      <c r="Q50" s="184" t="str">
        <f>IF('AFNI STIM FILES'!T48="Missing",'AFNI STIM FILES'!$D48, "")</f>
        <v/>
      </c>
      <c r="R50" s="184" t="str">
        <f>IF('AFNI STIM FILES'!T48="Missing",'AFNI STIM FILES'!$F48, "")</f>
        <v/>
      </c>
    </row>
    <row r="51" spans="1:30" x14ac:dyDescent="0.2">
      <c r="A51" s="7">
        <v>9</v>
      </c>
      <c r="B51" s="184" t="str">
        <f>IF('AFNI STIM FILES'!T49="Approach",'AFNI STIM FILES'!C49, "")</f>
        <v/>
      </c>
      <c r="C51" s="184" t="str">
        <f>IF('AFNI STIM FILES'!T49="Approach",'AFNI STIM FILES'!E49, "")</f>
        <v/>
      </c>
      <c r="D51" s="184" t="str">
        <f>IF('AFNI STIM FILES'!T49="Ambivalent",'AFNI STIM FILES'!$C49, "")</f>
        <v/>
      </c>
      <c r="E51" s="184" t="str">
        <f>IF('AFNI STIM FILES'!T49="Ambivalent",'AFNI STIM FILES'!$E49, "")</f>
        <v/>
      </c>
      <c r="F51" s="184">
        <f>IF('AFNI STIM FILES'!T49="Avoid",'AFNI STIM FILES'!$C49, "")</f>
        <v>145.96</v>
      </c>
      <c r="G51" s="184">
        <f>IF('AFNI STIM FILES'!T49="Avoid",'AFNI STIM FILES'!$E49, "")</f>
        <v>149.96</v>
      </c>
      <c r="H51" s="184" t="str">
        <f>IF('AFNI STIM FILES'!T49="Missing",'AFNI STIM FILES'!$C49, "")</f>
        <v/>
      </c>
      <c r="I51" s="184" t="str">
        <f>IF('AFNI STIM FILES'!T49="Missing",'AFNI STIM FILES'!$E49, "")</f>
        <v/>
      </c>
      <c r="K51" s="184" t="str">
        <f>IF('AFNI STIM FILES'!T49="Approach",'AFNI STIM FILES'!$D49, "")</f>
        <v/>
      </c>
      <c r="L51" s="184" t="str">
        <f>IF('AFNI STIM FILES'!T49="Approach",'AFNI STIM FILES'!$F49, "")</f>
        <v/>
      </c>
      <c r="M51" s="184" t="str">
        <f>IF('AFNI STIM FILES'!T49="Ambivalent",'AFNI STIM FILES'!$D49, "")</f>
        <v/>
      </c>
      <c r="N51" s="184" t="str">
        <f>IF('AFNI STIM FILES'!T49="Ambivalent",'AFNI STIM FILES'!$F49, "")</f>
        <v/>
      </c>
      <c r="O51" s="184">
        <f>IF('AFNI STIM FILES'!T49="Avoid",'AFNI STIM FILES'!$D49, "")</f>
        <v>4</v>
      </c>
      <c r="P51" s="184">
        <f>IF('AFNI STIM FILES'!T49="Avoid",'AFNI STIM FILES'!$F49, "")</f>
        <v>2.3199999999999998</v>
      </c>
      <c r="Q51" s="184" t="str">
        <f>IF('AFNI STIM FILES'!T49="Missing",'AFNI STIM FILES'!$D49, "")</f>
        <v/>
      </c>
      <c r="R51" s="184" t="str">
        <f>IF('AFNI STIM FILES'!T49="Missing",'AFNI STIM FILES'!$F49, "")</f>
        <v/>
      </c>
    </row>
    <row r="52" spans="1:30" x14ac:dyDescent="0.2">
      <c r="A52" s="7">
        <v>10</v>
      </c>
      <c r="B52" s="184" t="str">
        <f>IF('AFNI STIM FILES'!T50="Approach",'AFNI STIM FILES'!C50, "")</f>
        <v/>
      </c>
      <c r="C52" s="184" t="str">
        <f>IF('AFNI STIM FILES'!T50="Approach",'AFNI STIM FILES'!E50, "")</f>
        <v/>
      </c>
      <c r="D52" s="184">
        <f>IF('AFNI STIM FILES'!T50="Ambivalent",'AFNI STIM FILES'!$C50, "")</f>
        <v>166.96</v>
      </c>
      <c r="E52" s="184">
        <f>IF('AFNI STIM FILES'!T50="Ambivalent",'AFNI STIM FILES'!$E50, "")</f>
        <v>170.96</v>
      </c>
      <c r="F52" s="184" t="str">
        <f>IF('AFNI STIM FILES'!T50="Avoid",'AFNI STIM FILES'!$C50, "")</f>
        <v/>
      </c>
      <c r="G52" s="184" t="str">
        <f>IF('AFNI STIM FILES'!T50="Avoid",'AFNI STIM FILES'!$E50, "")</f>
        <v/>
      </c>
      <c r="H52" s="184" t="str">
        <f>IF('AFNI STIM FILES'!T50="Missing",'AFNI STIM FILES'!$C50, "")</f>
        <v/>
      </c>
      <c r="I52" s="184" t="str">
        <f>IF('AFNI STIM FILES'!T50="Missing",'AFNI STIM FILES'!$E50, "")</f>
        <v/>
      </c>
      <c r="K52" s="184" t="str">
        <f>IF('AFNI STIM FILES'!T50="Approach",'AFNI STIM FILES'!$D50, "")</f>
        <v/>
      </c>
      <c r="L52" s="184" t="str">
        <f>IF('AFNI STIM FILES'!T50="Approach",'AFNI STIM FILES'!$F50, "")</f>
        <v/>
      </c>
      <c r="M52" s="184">
        <f>IF('AFNI STIM FILES'!T50="Ambivalent",'AFNI STIM FILES'!$D50, "")</f>
        <v>4</v>
      </c>
      <c r="N52" s="184">
        <f>IF('AFNI STIM FILES'!T50="Ambivalent",'AFNI STIM FILES'!$F50, "")</f>
        <v>1.82</v>
      </c>
      <c r="O52" s="184" t="str">
        <f>IF('AFNI STIM FILES'!T50="Avoid",'AFNI STIM FILES'!$D50, "")</f>
        <v/>
      </c>
      <c r="P52" s="184" t="str">
        <f>IF('AFNI STIM FILES'!T50="Avoid",'AFNI STIM FILES'!$F50, "")</f>
        <v/>
      </c>
      <c r="Q52" s="184" t="str">
        <f>IF('AFNI STIM FILES'!T50="Missing",'AFNI STIM FILES'!$D50, "")</f>
        <v/>
      </c>
      <c r="R52" s="184" t="str">
        <f>IF('AFNI STIM FILES'!T50="Missing",'AFNI STIM FILES'!$F50, "")</f>
        <v/>
      </c>
    </row>
    <row r="53" spans="1:30" x14ac:dyDescent="0.2">
      <c r="A53" s="7">
        <v>11</v>
      </c>
      <c r="B53" s="184" t="str">
        <f>IF('AFNI STIM FILES'!T51="Approach",'AFNI STIM FILES'!C51, "")</f>
        <v/>
      </c>
      <c r="C53" s="184" t="str">
        <f>IF('AFNI STIM FILES'!T51="Approach",'AFNI STIM FILES'!E51, "")</f>
        <v/>
      </c>
      <c r="D53" s="184" t="str">
        <f>IF('AFNI STIM FILES'!T51="Ambivalent",'AFNI STIM FILES'!$C51, "")</f>
        <v/>
      </c>
      <c r="E53" s="184" t="str">
        <f>IF('AFNI STIM FILES'!T51="Ambivalent",'AFNI STIM FILES'!$E51, "")</f>
        <v/>
      </c>
      <c r="F53" s="184">
        <f>IF('AFNI STIM FILES'!T51="Avoid",'AFNI STIM FILES'!$C51, "")</f>
        <v>181.97</v>
      </c>
      <c r="G53" s="184">
        <f>IF('AFNI STIM FILES'!T51="Avoid",'AFNI STIM FILES'!$E51, "")</f>
        <v>185.97</v>
      </c>
      <c r="H53" s="184" t="str">
        <f>IF('AFNI STIM FILES'!T51="Missing",'AFNI STIM FILES'!$C51, "")</f>
        <v/>
      </c>
      <c r="I53" s="184" t="str">
        <f>IF('AFNI STIM FILES'!T51="Missing",'AFNI STIM FILES'!$E51, "")</f>
        <v/>
      </c>
      <c r="K53" s="184" t="str">
        <f>IF('AFNI STIM FILES'!T51="Approach",'AFNI STIM FILES'!$D51, "")</f>
        <v/>
      </c>
      <c r="L53" s="184" t="str">
        <f>IF('AFNI STIM FILES'!T51="Approach",'AFNI STIM FILES'!$F51, "")</f>
        <v/>
      </c>
      <c r="M53" s="184" t="str">
        <f>IF('AFNI STIM FILES'!T51="Ambivalent",'AFNI STIM FILES'!$D51, "")</f>
        <v/>
      </c>
      <c r="N53" s="184" t="str">
        <f>IF('AFNI STIM FILES'!T51="Ambivalent",'AFNI STIM FILES'!$F51, "")</f>
        <v/>
      </c>
      <c r="O53" s="184">
        <f>IF('AFNI STIM FILES'!T51="Avoid",'AFNI STIM FILES'!$D51, "")</f>
        <v>4</v>
      </c>
      <c r="P53" s="184">
        <f>IF('AFNI STIM FILES'!T51="Avoid",'AFNI STIM FILES'!$F51, "")</f>
        <v>2.29</v>
      </c>
      <c r="Q53" s="184" t="str">
        <f>IF('AFNI STIM FILES'!T51="Missing",'AFNI STIM FILES'!$D51, "")</f>
        <v/>
      </c>
      <c r="R53" s="184" t="str">
        <f>IF('AFNI STIM FILES'!T51="Missing",'AFNI STIM FILES'!$F51, "")</f>
        <v/>
      </c>
    </row>
    <row r="54" spans="1:30" x14ac:dyDescent="0.2">
      <c r="A54" s="7">
        <v>12</v>
      </c>
      <c r="B54" s="184" t="str">
        <f>IF('AFNI STIM FILES'!T52="Approach",'AFNI STIM FILES'!C52, "")</f>
        <v/>
      </c>
      <c r="C54" s="184" t="str">
        <f>IF('AFNI STIM FILES'!T52="Approach",'AFNI STIM FILES'!E52, "")</f>
        <v/>
      </c>
      <c r="D54" s="184">
        <f>IF('AFNI STIM FILES'!T52="Ambivalent",'AFNI STIM FILES'!$C52, "")</f>
        <v>196.97</v>
      </c>
      <c r="E54" s="184">
        <f>IF('AFNI STIM FILES'!T52="Ambivalent",'AFNI STIM FILES'!$E52, "")</f>
        <v>200.97</v>
      </c>
      <c r="F54" s="184" t="str">
        <f>IF('AFNI STIM FILES'!T52="Avoid",'AFNI STIM FILES'!$C52, "")</f>
        <v/>
      </c>
      <c r="G54" s="184" t="str">
        <f>IF('AFNI STIM FILES'!T52="Avoid",'AFNI STIM FILES'!$E52, "")</f>
        <v/>
      </c>
      <c r="H54" s="184" t="str">
        <f>IF('AFNI STIM FILES'!T52="Missing",'AFNI STIM FILES'!$C52, "")</f>
        <v/>
      </c>
      <c r="I54" s="184" t="str">
        <f>IF('AFNI STIM FILES'!T52="Missing",'AFNI STIM FILES'!$E52, "")</f>
        <v/>
      </c>
      <c r="K54" s="184" t="str">
        <f>IF('AFNI STIM FILES'!T52="Approach",'AFNI STIM FILES'!$D52, "")</f>
        <v/>
      </c>
      <c r="L54" s="184" t="str">
        <f>IF('AFNI STIM FILES'!T52="Approach",'AFNI STIM FILES'!$F52, "")</f>
        <v/>
      </c>
      <c r="M54" s="184">
        <f>IF('AFNI STIM FILES'!T52="Ambivalent",'AFNI STIM FILES'!$D52, "")</f>
        <v>4</v>
      </c>
      <c r="N54" s="184">
        <f>IF('AFNI STIM FILES'!T52="Ambivalent",'AFNI STIM FILES'!$F52, "")</f>
        <v>1.87</v>
      </c>
      <c r="O54" s="184" t="str">
        <f>IF('AFNI STIM FILES'!T52="Avoid",'AFNI STIM FILES'!$D52, "")</f>
        <v/>
      </c>
      <c r="P54" s="184" t="str">
        <f>IF('AFNI STIM FILES'!T52="Avoid",'AFNI STIM FILES'!$F52, "")</f>
        <v/>
      </c>
      <c r="Q54" s="184" t="str">
        <f>IF('AFNI STIM FILES'!T52="Missing",'AFNI STIM FILES'!$D52, "")</f>
        <v/>
      </c>
      <c r="R54" s="184" t="str">
        <f>IF('AFNI STIM FILES'!T52="Missing",'AFNI STIM FILES'!$F52, "")</f>
        <v/>
      </c>
    </row>
    <row r="55" spans="1:30" x14ac:dyDescent="0.2">
      <c r="A55" s="7">
        <v>13</v>
      </c>
      <c r="B55" s="184" t="str">
        <f>IF('AFNI STIM FILES'!T53="Approach",'AFNI STIM FILES'!C53, "")</f>
        <v/>
      </c>
      <c r="C55" s="184" t="str">
        <f>IF('AFNI STIM FILES'!T53="Approach",'AFNI STIM FILES'!E53, "")</f>
        <v/>
      </c>
      <c r="D55" s="184">
        <f>IF('AFNI STIM FILES'!T53="Ambivalent",'AFNI STIM FILES'!$C53, "")</f>
        <v>209.98</v>
      </c>
      <c r="E55" s="184">
        <f>IF('AFNI STIM FILES'!T53="Ambivalent",'AFNI STIM FILES'!$E53, "")</f>
        <v>213.96</v>
      </c>
      <c r="F55" s="184" t="str">
        <f>IF('AFNI STIM FILES'!T53="Avoid",'AFNI STIM FILES'!$C53, "")</f>
        <v/>
      </c>
      <c r="G55" s="184" t="str">
        <f>IF('AFNI STIM FILES'!T53="Avoid",'AFNI STIM FILES'!$E53, "")</f>
        <v/>
      </c>
      <c r="H55" s="184" t="str">
        <f>IF('AFNI STIM FILES'!T53="Missing",'AFNI STIM FILES'!$C53, "")</f>
        <v/>
      </c>
      <c r="I55" s="184" t="str">
        <f>IF('AFNI STIM FILES'!T53="Missing",'AFNI STIM FILES'!$E53, "")</f>
        <v/>
      </c>
      <c r="K55" s="184" t="str">
        <f>IF('AFNI STIM FILES'!T53="Approach",'AFNI STIM FILES'!$D53, "")</f>
        <v/>
      </c>
      <c r="L55" s="184" t="str">
        <f>IF('AFNI STIM FILES'!T53="Approach",'AFNI STIM FILES'!$F53, "")</f>
        <v/>
      </c>
      <c r="M55" s="184">
        <f>IF('AFNI STIM FILES'!T53="Ambivalent",'AFNI STIM FILES'!$D53, "")</f>
        <v>3.99</v>
      </c>
      <c r="N55" s="184">
        <f>IF('AFNI STIM FILES'!T53="Ambivalent",'AFNI STIM FILES'!$F53, "")</f>
        <v>3.74</v>
      </c>
      <c r="O55" s="184" t="str">
        <f>IF('AFNI STIM FILES'!T53="Avoid",'AFNI STIM FILES'!$D53, "")</f>
        <v/>
      </c>
      <c r="P55" s="184" t="str">
        <f>IF('AFNI STIM FILES'!T53="Avoid",'AFNI STIM FILES'!$F53, "")</f>
        <v/>
      </c>
      <c r="Q55" s="184" t="str">
        <f>IF('AFNI STIM FILES'!T53="Missing",'AFNI STIM FILES'!$D53, "")</f>
        <v/>
      </c>
      <c r="R55" s="184" t="str">
        <f>IF('AFNI STIM FILES'!T53="Missing",'AFNI STIM FILES'!$F53, "")</f>
        <v/>
      </c>
    </row>
    <row r="56" spans="1:30" x14ac:dyDescent="0.2">
      <c r="A56" s="7">
        <v>14</v>
      </c>
      <c r="B56" s="184" t="str">
        <f>IF('AFNI STIM FILES'!T54="Approach",'AFNI STIM FILES'!C54, "")</f>
        <v/>
      </c>
      <c r="C56" s="184" t="str">
        <f>IF('AFNI STIM FILES'!T54="Approach",'AFNI STIM FILES'!E54, "")</f>
        <v/>
      </c>
      <c r="D56" s="184">
        <f>IF('AFNI STIM FILES'!T54="Ambivalent",'AFNI STIM FILES'!$C54, "")</f>
        <v>232.96</v>
      </c>
      <c r="E56" s="184">
        <f>IF('AFNI STIM FILES'!T54="Ambivalent",'AFNI STIM FILES'!$E54, "")</f>
        <v>236.96</v>
      </c>
      <c r="F56" s="184" t="str">
        <f>IF('AFNI STIM FILES'!T54="Avoid",'AFNI STIM FILES'!$C54, "")</f>
        <v/>
      </c>
      <c r="G56" s="184" t="str">
        <f>IF('AFNI STIM FILES'!T54="Avoid",'AFNI STIM FILES'!$E54, "")</f>
        <v/>
      </c>
      <c r="H56" s="184" t="str">
        <f>IF('AFNI STIM FILES'!T54="Missing",'AFNI STIM FILES'!$C54, "")</f>
        <v/>
      </c>
      <c r="I56" s="184" t="str">
        <f>IF('AFNI STIM FILES'!T54="Missing",'AFNI STIM FILES'!$E54, "")</f>
        <v/>
      </c>
      <c r="K56" s="184" t="str">
        <f>IF('AFNI STIM FILES'!T54="Approach",'AFNI STIM FILES'!$D54, "")</f>
        <v/>
      </c>
      <c r="L56" s="184" t="str">
        <f>IF('AFNI STIM FILES'!T54="Approach",'AFNI STIM FILES'!$F54, "")</f>
        <v/>
      </c>
      <c r="M56" s="184">
        <f>IF('AFNI STIM FILES'!T54="Ambivalent",'AFNI STIM FILES'!$D54, "")</f>
        <v>4</v>
      </c>
      <c r="N56" s="184">
        <f>IF('AFNI STIM FILES'!T54="Ambivalent",'AFNI STIM FILES'!$F54, "")</f>
        <v>2.2999999999999998</v>
      </c>
      <c r="O56" s="184" t="str">
        <f>IF('AFNI STIM FILES'!T54="Avoid",'AFNI STIM FILES'!$D54, "")</f>
        <v/>
      </c>
      <c r="P56" s="184" t="str">
        <f>IF('AFNI STIM FILES'!T54="Avoid",'AFNI STIM FILES'!$F54, "")</f>
        <v/>
      </c>
      <c r="Q56" s="184" t="str">
        <f>IF('AFNI STIM FILES'!T54="Missing",'AFNI STIM FILES'!$D54, "")</f>
        <v/>
      </c>
      <c r="R56" s="184" t="str">
        <f>IF('AFNI STIM FILES'!T54="Missing",'AFNI STIM FILES'!$F54, "")</f>
        <v/>
      </c>
    </row>
    <row r="57" spans="1:30" x14ac:dyDescent="0.2">
      <c r="A57" s="7">
        <v>15</v>
      </c>
      <c r="B57" s="184" t="str">
        <f>IF('AFNI STIM FILES'!T55="Approach",'AFNI STIM FILES'!C55, "")</f>
        <v/>
      </c>
      <c r="C57" s="184" t="str">
        <f>IF('AFNI STIM FILES'!T55="Approach",'AFNI STIM FILES'!E55, "")</f>
        <v/>
      </c>
      <c r="D57" s="184" t="str">
        <f>IF('AFNI STIM FILES'!T55="Ambivalent",'AFNI STIM FILES'!$C55, "")</f>
        <v/>
      </c>
      <c r="E57" s="184" t="str">
        <f>IF('AFNI STIM FILES'!T55="Ambivalent",'AFNI STIM FILES'!$E55, "")</f>
        <v/>
      </c>
      <c r="F57" s="184">
        <f>IF('AFNI STIM FILES'!T55="Avoid",'AFNI STIM FILES'!$C55, "")</f>
        <v>247.97</v>
      </c>
      <c r="G57" s="184">
        <f>IF('AFNI STIM FILES'!T55="Avoid",'AFNI STIM FILES'!$E55, "")</f>
        <v>251.97</v>
      </c>
      <c r="H57" s="184" t="str">
        <f>IF('AFNI STIM FILES'!T55="Missing",'AFNI STIM FILES'!$C55, "")</f>
        <v/>
      </c>
      <c r="I57" s="184" t="str">
        <f>IF('AFNI STIM FILES'!T55="Missing",'AFNI STIM FILES'!$E55, "")</f>
        <v/>
      </c>
      <c r="K57" s="184" t="str">
        <f>IF('AFNI STIM FILES'!T55="Approach",'AFNI STIM FILES'!$D55, "")</f>
        <v/>
      </c>
      <c r="L57" s="184" t="str">
        <f>IF('AFNI STIM FILES'!T55="Approach",'AFNI STIM FILES'!$F55, "")</f>
        <v/>
      </c>
      <c r="M57" s="184" t="str">
        <f>IF('AFNI STIM FILES'!T55="Ambivalent",'AFNI STIM FILES'!$D55, "")</f>
        <v/>
      </c>
      <c r="N57" s="184" t="str">
        <f>IF('AFNI STIM FILES'!T55="Ambivalent",'AFNI STIM FILES'!$F55, "")</f>
        <v/>
      </c>
      <c r="O57" s="184">
        <f>IF('AFNI STIM FILES'!T55="Avoid",'AFNI STIM FILES'!$D55, "")</f>
        <v>4</v>
      </c>
      <c r="P57" s="184">
        <f>IF('AFNI STIM FILES'!T55="Avoid",'AFNI STIM FILES'!$F55, "")</f>
        <v>2.2000000000000002</v>
      </c>
      <c r="Q57" s="184" t="str">
        <f>IF('AFNI STIM FILES'!T55="Missing",'AFNI STIM FILES'!$D55, "")</f>
        <v/>
      </c>
      <c r="R57" s="184" t="str">
        <f>IF('AFNI STIM FILES'!T55="Missing",'AFNI STIM FILES'!$F55, "")</f>
        <v/>
      </c>
    </row>
    <row r="58" spans="1:30" x14ac:dyDescent="0.2">
      <c r="A58" s="7">
        <v>16</v>
      </c>
      <c r="B58" s="184" t="str">
        <f>IF('AFNI STIM FILES'!T56="Approach",'AFNI STIM FILES'!C56, "")</f>
        <v/>
      </c>
      <c r="C58" s="184" t="str">
        <f>IF('AFNI STIM FILES'!T56="Approach",'AFNI STIM FILES'!E56, "")</f>
        <v/>
      </c>
      <c r="D58" s="184">
        <f>IF('AFNI STIM FILES'!T56="Ambivalent",'AFNI STIM FILES'!$C56, "")</f>
        <v>264.97000000000003</v>
      </c>
      <c r="E58" s="184">
        <f>IF('AFNI STIM FILES'!T56="Ambivalent",'AFNI STIM FILES'!$E56, "")</f>
        <v>268.97000000000003</v>
      </c>
      <c r="F58" s="184" t="str">
        <f>IF('AFNI STIM FILES'!T56="Avoid",'AFNI STIM FILES'!$C56, "")</f>
        <v/>
      </c>
      <c r="G58" s="184" t="str">
        <f>IF('AFNI STIM FILES'!T56="Avoid",'AFNI STIM FILES'!$E56, "")</f>
        <v/>
      </c>
      <c r="H58" s="184" t="str">
        <f>IF('AFNI STIM FILES'!T56="Missing",'AFNI STIM FILES'!$C56, "")</f>
        <v/>
      </c>
      <c r="I58" s="184" t="str">
        <f>IF('AFNI STIM FILES'!T56="Missing",'AFNI STIM FILES'!$E56, "")</f>
        <v/>
      </c>
      <c r="K58" s="184" t="str">
        <f>IF('AFNI STIM FILES'!T56="Approach",'AFNI STIM FILES'!$D56, "")</f>
        <v/>
      </c>
      <c r="L58" s="184" t="str">
        <f>IF('AFNI STIM FILES'!T56="Approach",'AFNI STIM FILES'!$F56, "")</f>
        <v/>
      </c>
      <c r="M58" s="184">
        <f>IF('AFNI STIM FILES'!T56="Ambivalent",'AFNI STIM FILES'!$D56, "")</f>
        <v>4</v>
      </c>
      <c r="N58" s="184">
        <f>IF('AFNI STIM FILES'!T56="Ambivalent",'AFNI STIM FILES'!$F56, "")</f>
        <v>2.78</v>
      </c>
      <c r="O58" s="184" t="str">
        <f>IF('AFNI STIM FILES'!T56="Avoid",'AFNI STIM FILES'!$D56, "")</f>
        <v/>
      </c>
      <c r="P58" s="184" t="str">
        <f>IF('AFNI STIM FILES'!T56="Avoid",'AFNI STIM FILES'!$F56, "")</f>
        <v/>
      </c>
      <c r="Q58" s="184" t="str">
        <f>IF('AFNI STIM FILES'!T56="Missing",'AFNI STIM FILES'!$D56, "")</f>
        <v/>
      </c>
      <c r="R58" s="184" t="str">
        <f>IF('AFNI STIM FILES'!T56="Missing",'AFNI STIM FILES'!$F56, "")</f>
        <v/>
      </c>
    </row>
    <row r="59" spans="1:30" x14ac:dyDescent="0.2">
      <c r="A59" s="7">
        <v>17</v>
      </c>
      <c r="B59" s="184" t="str">
        <f>IF('AFNI STIM FILES'!T57="Approach",'AFNI STIM FILES'!C57, "")</f>
        <v/>
      </c>
      <c r="C59" s="184" t="str">
        <f>IF('AFNI STIM FILES'!T57="Approach",'AFNI STIM FILES'!E57, "")</f>
        <v/>
      </c>
      <c r="D59" s="184">
        <f>IF('AFNI STIM FILES'!T57="Ambivalent",'AFNI STIM FILES'!$C57, "")</f>
        <v>279.95999999999998</v>
      </c>
      <c r="E59" s="184">
        <f>IF('AFNI STIM FILES'!T57="Ambivalent",'AFNI STIM FILES'!$E57, "")</f>
        <v>283.95999999999998</v>
      </c>
      <c r="F59" s="184" t="str">
        <f>IF('AFNI STIM FILES'!T57="Avoid",'AFNI STIM FILES'!$C57, "")</f>
        <v/>
      </c>
      <c r="G59" s="184" t="str">
        <f>IF('AFNI STIM FILES'!T57="Avoid",'AFNI STIM FILES'!$E57, "")</f>
        <v/>
      </c>
      <c r="H59" s="184" t="str">
        <f>IF('AFNI STIM FILES'!T57="Missing",'AFNI STIM FILES'!$C57, "")</f>
        <v/>
      </c>
      <c r="I59" s="184" t="str">
        <f>IF('AFNI STIM FILES'!T57="Missing",'AFNI STIM FILES'!$E57, "")</f>
        <v/>
      </c>
      <c r="K59" s="184" t="str">
        <f>IF('AFNI STIM FILES'!T57="Approach",'AFNI STIM FILES'!$D57, "")</f>
        <v/>
      </c>
      <c r="L59" s="184" t="str">
        <f>IF('AFNI STIM FILES'!T57="Approach",'AFNI STIM FILES'!$F57, "")</f>
        <v/>
      </c>
      <c r="M59" s="184">
        <f>IF('AFNI STIM FILES'!T57="Ambivalent",'AFNI STIM FILES'!$D57, "")</f>
        <v>4</v>
      </c>
      <c r="N59" s="184">
        <f>IF('AFNI STIM FILES'!T57="Ambivalent",'AFNI STIM FILES'!$F57, "")</f>
        <v>1.74</v>
      </c>
      <c r="O59" s="184" t="str">
        <f>IF('AFNI STIM FILES'!T57="Avoid",'AFNI STIM FILES'!$D57, "")</f>
        <v/>
      </c>
      <c r="P59" s="184" t="str">
        <f>IF('AFNI STIM FILES'!T57="Avoid",'AFNI STIM FILES'!$F57, "")</f>
        <v/>
      </c>
      <c r="Q59" s="184" t="str">
        <f>IF('AFNI STIM FILES'!T57="Missing",'AFNI STIM FILES'!$D57, "")</f>
        <v/>
      </c>
      <c r="R59" s="184" t="str">
        <f>IF('AFNI STIM FILES'!T57="Missing",'AFNI STIM FILES'!$F57, "")</f>
        <v/>
      </c>
    </row>
    <row r="60" spans="1:30" x14ac:dyDescent="0.2">
      <c r="A60" s="7">
        <v>18</v>
      </c>
      <c r="B60" s="184" t="str">
        <f>IF('AFNI STIM FILES'!T58="Approach",'AFNI STIM FILES'!C58, "")</f>
        <v/>
      </c>
      <c r="C60" s="184" t="str">
        <f>IF('AFNI STIM FILES'!T58="Approach",'AFNI STIM FILES'!E58, "")</f>
        <v/>
      </c>
      <c r="D60" s="184">
        <f>IF('AFNI STIM FILES'!T58="Ambivalent",'AFNI STIM FILES'!$C58, "")</f>
        <v>300.95999999999998</v>
      </c>
      <c r="E60" s="184">
        <f>IF('AFNI STIM FILES'!T58="Ambivalent",'AFNI STIM FILES'!$E58, "")</f>
        <v>304.95999999999998</v>
      </c>
      <c r="F60" s="184" t="str">
        <f>IF('AFNI STIM FILES'!T58="Avoid",'AFNI STIM FILES'!$C58, "")</f>
        <v/>
      </c>
      <c r="G60" s="184" t="str">
        <f>IF('AFNI STIM FILES'!T58="Avoid",'AFNI STIM FILES'!$E58, "")</f>
        <v/>
      </c>
      <c r="H60" s="184" t="str">
        <f>IF('AFNI STIM FILES'!T58="Missing",'AFNI STIM FILES'!$C58, "")</f>
        <v/>
      </c>
      <c r="I60" s="184" t="str">
        <f>IF('AFNI STIM FILES'!T58="Missing",'AFNI STIM FILES'!$E58, "")</f>
        <v/>
      </c>
      <c r="K60" s="184" t="str">
        <f>IF('AFNI STIM FILES'!T58="Approach",'AFNI STIM FILES'!$D58, "")</f>
        <v/>
      </c>
      <c r="L60" s="184" t="str">
        <f>IF('AFNI STIM FILES'!T58="Approach",'AFNI STIM FILES'!$F58, "")</f>
        <v/>
      </c>
      <c r="M60" s="184">
        <f>IF('AFNI STIM FILES'!T58="Ambivalent",'AFNI STIM FILES'!$D58, "")</f>
        <v>4</v>
      </c>
      <c r="N60" s="184">
        <f>IF('AFNI STIM FILES'!T58="Ambivalent",'AFNI STIM FILES'!$F58, "")</f>
        <v>3.82</v>
      </c>
      <c r="O60" s="184" t="str">
        <f>IF('AFNI STIM FILES'!T58="Avoid",'AFNI STIM FILES'!$D58, "")</f>
        <v/>
      </c>
      <c r="P60" s="184" t="str">
        <f>IF('AFNI STIM FILES'!T58="Avoid",'AFNI STIM FILES'!$F58, "")</f>
        <v/>
      </c>
      <c r="Q60" s="184" t="str">
        <f>IF('AFNI STIM FILES'!T58="Missing",'AFNI STIM FILES'!$D58, "")</f>
        <v/>
      </c>
      <c r="R60" s="184" t="str">
        <f>IF('AFNI STIM FILES'!T58="Missing",'AFNI STIM FILES'!$F58, "")</f>
        <v/>
      </c>
    </row>
    <row r="61" spans="1:30" x14ac:dyDescent="0.2">
      <c r="A61" s="7">
        <v>19</v>
      </c>
      <c r="B61" s="184" t="str">
        <f>IF('AFNI STIM FILES'!T59="Approach",'AFNI STIM FILES'!C59, "")</f>
        <v/>
      </c>
      <c r="C61" s="184" t="str">
        <f>IF('AFNI STIM FILES'!T59="Approach",'AFNI STIM FILES'!E59, "")</f>
        <v/>
      </c>
      <c r="D61" s="184" t="str">
        <f>IF('AFNI STIM FILES'!T59="Ambivalent",'AFNI STIM FILES'!$C59, "")</f>
        <v/>
      </c>
      <c r="E61" s="184" t="str">
        <f>IF('AFNI STIM FILES'!T59="Ambivalent",'AFNI STIM FILES'!$E59, "")</f>
        <v/>
      </c>
      <c r="F61" s="184">
        <f>IF('AFNI STIM FILES'!T59="Avoid",'AFNI STIM FILES'!$C59, "")</f>
        <v>313.97000000000003</v>
      </c>
      <c r="G61" s="184">
        <f>IF('AFNI STIM FILES'!T59="Avoid",'AFNI STIM FILES'!$E59, "")</f>
        <v>317.97000000000003</v>
      </c>
      <c r="H61" s="184" t="str">
        <f>IF('AFNI STIM FILES'!T59="Missing",'AFNI STIM FILES'!$C59, "")</f>
        <v/>
      </c>
      <c r="I61" s="184" t="str">
        <f>IF('AFNI STIM FILES'!T59="Missing",'AFNI STIM FILES'!$E59, "")</f>
        <v/>
      </c>
      <c r="K61" s="184" t="str">
        <f>IF('AFNI STIM FILES'!T59="Approach",'AFNI STIM FILES'!$D59, "")</f>
        <v/>
      </c>
      <c r="L61" s="184" t="str">
        <f>IF('AFNI STIM FILES'!T59="Approach",'AFNI STIM FILES'!$F59, "")</f>
        <v/>
      </c>
      <c r="M61" s="184" t="str">
        <f>IF('AFNI STIM FILES'!T59="Ambivalent",'AFNI STIM FILES'!$D59, "")</f>
        <v/>
      </c>
      <c r="N61" s="184" t="str">
        <f>IF('AFNI STIM FILES'!T59="Ambivalent",'AFNI STIM FILES'!$F59, "")</f>
        <v/>
      </c>
      <c r="O61" s="184">
        <f>IF('AFNI STIM FILES'!T59="Avoid",'AFNI STIM FILES'!$D59, "")</f>
        <v>4</v>
      </c>
      <c r="P61" s="184">
        <f>IF('AFNI STIM FILES'!T59="Avoid",'AFNI STIM FILES'!$F59, "")</f>
        <v>2.4900000000000002</v>
      </c>
      <c r="Q61" s="184" t="str">
        <f>IF('AFNI STIM FILES'!T59="Missing",'AFNI STIM FILES'!$D59, "")</f>
        <v/>
      </c>
      <c r="R61" s="184" t="str">
        <f>IF('AFNI STIM FILES'!T59="Missing",'AFNI STIM FILES'!$F59, "")</f>
        <v/>
      </c>
    </row>
    <row r="62" spans="1:30" x14ac:dyDescent="0.2">
      <c r="A62" s="7">
        <v>20</v>
      </c>
      <c r="B62" s="184" t="str">
        <f>IF('AFNI STIM FILES'!T60="Approach",'AFNI STIM FILES'!C60, "")</f>
        <v/>
      </c>
      <c r="C62" s="184" t="str">
        <f>IF('AFNI STIM FILES'!T60="Approach",'AFNI STIM FILES'!E60, "")</f>
        <v/>
      </c>
      <c r="D62" s="184">
        <f>IF('AFNI STIM FILES'!T60="Ambivalent",'AFNI STIM FILES'!$C60, "")</f>
        <v>328.97</v>
      </c>
      <c r="E62" s="184">
        <f>IF('AFNI STIM FILES'!T60="Ambivalent",'AFNI STIM FILES'!$E60, "")</f>
        <v>332.97</v>
      </c>
      <c r="F62" s="184" t="str">
        <f>IF('AFNI STIM FILES'!T60="Avoid",'AFNI STIM FILES'!$C60, "")</f>
        <v/>
      </c>
      <c r="G62" s="184" t="str">
        <f>IF('AFNI STIM FILES'!T60="Avoid",'AFNI STIM FILES'!$E60, "")</f>
        <v/>
      </c>
      <c r="H62" s="184" t="str">
        <f>IF('AFNI STIM FILES'!T60="Missing",'AFNI STIM FILES'!$C60, "")</f>
        <v/>
      </c>
      <c r="I62" s="184" t="str">
        <f>IF('AFNI STIM FILES'!T60="Missing",'AFNI STIM FILES'!$E60, "")</f>
        <v/>
      </c>
      <c r="K62" s="184" t="str">
        <f>IF('AFNI STIM FILES'!T60="Approach",'AFNI STIM FILES'!$D60, "")</f>
        <v/>
      </c>
      <c r="L62" s="184" t="str">
        <f>IF('AFNI STIM FILES'!T60="Approach",'AFNI STIM FILES'!$F60, "")</f>
        <v/>
      </c>
      <c r="M62" s="184">
        <f>IF('AFNI STIM FILES'!T60="Ambivalent",'AFNI STIM FILES'!$D60, "")</f>
        <v>4</v>
      </c>
      <c r="N62" s="184">
        <f>IF('AFNI STIM FILES'!T60="Ambivalent",'AFNI STIM FILES'!$F60, "")</f>
        <v>1.18</v>
      </c>
      <c r="O62" s="184" t="str">
        <f>IF('AFNI STIM FILES'!T60="Avoid",'AFNI STIM FILES'!$D60, "")</f>
        <v/>
      </c>
      <c r="P62" s="184" t="str">
        <f>IF('AFNI STIM FILES'!T60="Avoid",'AFNI STIM FILES'!$F60, "")</f>
        <v/>
      </c>
      <c r="Q62" s="184" t="str">
        <f>IF('AFNI STIM FILES'!T60="Missing",'AFNI STIM FILES'!$D60, "")</f>
        <v/>
      </c>
      <c r="R62" s="184" t="str">
        <f>IF('AFNI STIM FILES'!T60="Missing",'AFNI STIM FILES'!$F60, "")</f>
        <v/>
      </c>
    </row>
    <row r="63" spans="1:30" x14ac:dyDescent="0.2">
      <c r="A63" s="7">
        <v>21</v>
      </c>
      <c r="B63" s="184" t="str">
        <f>IF('AFNI STIM FILES'!T61="Approach",'AFNI STIM FILES'!C61, "")</f>
        <v/>
      </c>
      <c r="C63" s="184" t="str">
        <f>IF('AFNI STIM FILES'!T61="Approach",'AFNI STIM FILES'!E61, "")</f>
        <v/>
      </c>
      <c r="D63" s="184" t="str">
        <f>IF('AFNI STIM FILES'!T61="Ambivalent",'AFNI STIM FILES'!$C61, "")</f>
        <v/>
      </c>
      <c r="E63" s="184" t="str">
        <f>IF('AFNI STIM FILES'!T61="Ambivalent",'AFNI STIM FILES'!$E61, "")</f>
        <v/>
      </c>
      <c r="F63" s="184">
        <f>IF('AFNI STIM FILES'!T61="Avoid",'AFNI STIM FILES'!$C61, "")</f>
        <v>343.96</v>
      </c>
      <c r="G63" s="184">
        <f>IF('AFNI STIM FILES'!T61="Avoid",'AFNI STIM FILES'!$E61, "")</f>
        <v>347.96</v>
      </c>
      <c r="H63" s="184" t="str">
        <f>IF('AFNI STIM FILES'!T61="Missing",'AFNI STIM FILES'!$C61, "")</f>
        <v/>
      </c>
      <c r="I63" s="184" t="str">
        <f>IF('AFNI STIM FILES'!T61="Missing",'AFNI STIM FILES'!$E61, "")</f>
        <v/>
      </c>
      <c r="K63" s="184" t="str">
        <f>IF('AFNI STIM FILES'!T61="Approach",'AFNI STIM FILES'!$D61, "")</f>
        <v/>
      </c>
      <c r="L63" s="184" t="str">
        <f>IF('AFNI STIM FILES'!T61="Approach",'AFNI STIM FILES'!$F61, "")</f>
        <v/>
      </c>
      <c r="M63" s="184" t="str">
        <f>IF('AFNI STIM FILES'!T61="Ambivalent",'AFNI STIM FILES'!$D61, "")</f>
        <v/>
      </c>
      <c r="N63" s="184" t="str">
        <f>IF('AFNI STIM FILES'!T61="Ambivalent",'AFNI STIM FILES'!$F61, "")</f>
        <v/>
      </c>
      <c r="O63" s="184">
        <f>IF('AFNI STIM FILES'!T61="Avoid",'AFNI STIM FILES'!$D61, "")</f>
        <v>4</v>
      </c>
      <c r="P63" s="184">
        <f>IF('AFNI STIM FILES'!T61="Avoid",'AFNI STIM FILES'!$F61, "")</f>
        <v>2.15</v>
      </c>
      <c r="Q63" s="184" t="str">
        <f>IF('AFNI STIM FILES'!T61="Missing",'AFNI STIM FILES'!$D61, "")</f>
        <v/>
      </c>
      <c r="R63" s="184" t="str">
        <f>IF('AFNI STIM FILES'!T61="Missing",'AFNI STIM FILES'!$F61, "")</f>
        <v/>
      </c>
    </row>
    <row r="64" spans="1:30" x14ac:dyDescent="0.2">
      <c r="A64" s="7">
        <v>22</v>
      </c>
      <c r="B64" s="184" t="str">
        <f>IF('AFNI STIM FILES'!T62="Approach",'AFNI STIM FILES'!C62, "")</f>
        <v/>
      </c>
      <c r="C64" s="184" t="str">
        <f>IF('AFNI STIM FILES'!T62="Approach",'AFNI STIM FILES'!E62, "")</f>
        <v/>
      </c>
      <c r="D64" s="184">
        <f>IF('AFNI STIM FILES'!T62="Ambivalent",'AFNI STIM FILES'!$C62, "")</f>
        <v>356.97</v>
      </c>
      <c r="E64" s="184">
        <f>IF('AFNI STIM FILES'!T62="Ambivalent",'AFNI STIM FILES'!$E62, "")</f>
        <v>360.97</v>
      </c>
      <c r="F64" s="184" t="str">
        <f>IF('AFNI STIM FILES'!T62="Avoid",'AFNI STIM FILES'!$C62, "")</f>
        <v/>
      </c>
      <c r="G64" s="184" t="str">
        <f>IF('AFNI STIM FILES'!T62="Avoid",'AFNI STIM FILES'!$E62, "")</f>
        <v/>
      </c>
      <c r="H64" s="184" t="str">
        <f>IF('AFNI STIM FILES'!T62="Missing",'AFNI STIM FILES'!$C62, "")</f>
        <v/>
      </c>
      <c r="I64" s="184" t="str">
        <f>IF('AFNI STIM FILES'!T62="Missing",'AFNI STIM FILES'!$E62, "")</f>
        <v/>
      </c>
      <c r="K64" s="184" t="str">
        <f>IF('AFNI STIM FILES'!T62="Approach",'AFNI STIM FILES'!$D62, "")</f>
        <v/>
      </c>
      <c r="L64" s="184" t="str">
        <f>IF('AFNI STIM FILES'!T62="Approach",'AFNI STIM FILES'!$F62, "")</f>
        <v/>
      </c>
      <c r="M64" s="184">
        <f>IF('AFNI STIM FILES'!T62="Ambivalent",'AFNI STIM FILES'!$D62, "")</f>
        <v>4</v>
      </c>
      <c r="N64" s="184">
        <f>IF('AFNI STIM FILES'!T62="Ambivalent",'AFNI STIM FILES'!$F62, "")</f>
        <v>1.9</v>
      </c>
      <c r="O64" s="184" t="str">
        <f>IF('AFNI STIM FILES'!T62="Avoid",'AFNI STIM FILES'!$D62, "")</f>
        <v/>
      </c>
      <c r="P64" s="184" t="str">
        <f>IF('AFNI STIM FILES'!T62="Avoid",'AFNI STIM FILES'!$F62, "")</f>
        <v/>
      </c>
      <c r="Q64" s="184" t="str">
        <f>IF('AFNI STIM FILES'!T62="Missing",'AFNI STIM FILES'!$D62, "")</f>
        <v/>
      </c>
      <c r="R64" s="184" t="str">
        <f>IF('AFNI STIM FILES'!T62="Missing",'AFNI STIM FILES'!$F62, "")</f>
        <v/>
      </c>
    </row>
    <row r="65" spans="1:38" x14ac:dyDescent="0.2">
      <c r="A65" s="7">
        <v>23</v>
      </c>
      <c r="B65" s="184">
        <f>IF('AFNI STIM FILES'!T63="Approach",'AFNI STIM FILES'!C63, "")</f>
        <v>377.97</v>
      </c>
      <c r="C65" s="184">
        <f>IF('AFNI STIM FILES'!T63="Approach",'AFNI STIM FILES'!E63, "")</f>
        <v>381.97</v>
      </c>
      <c r="D65" s="184" t="str">
        <f>IF('AFNI STIM FILES'!T63="Ambivalent",'AFNI STIM FILES'!$C63, "")</f>
        <v/>
      </c>
      <c r="E65" s="184" t="str">
        <f>IF('AFNI STIM FILES'!T63="Ambivalent",'AFNI STIM FILES'!$E63, "")</f>
        <v/>
      </c>
      <c r="F65" s="184" t="str">
        <f>IF('AFNI STIM FILES'!T63="Avoid",'AFNI STIM FILES'!$C63, "")</f>
        <v/>
      </c>
      <c r="G65" s="184" t="str">
        <f>IF('AFNI STIM FILES'!T63="Avoid",'AFNI STIM FILES'!$E63, "")</f>
        <v/>
      </c>
      <c r="H65" s="184" t="str">
        <f>IF('AFNI STIM FILES'!T63="Missing",'AFNI STIM FILES'!$C63, "")</f>
        <v/>
      </c>
      <c r="I65" s="184" t="str">
        <f>IF('AFNI STIM FILES'!T63="Missing",'AFNI STIM FILES'!$E63, "")</f>
        <v/>
      </c>
      <c r="K65" s="184">
        <f>IF('AFNI STIM FILES'!T63="Approach",'AFNI STIM FILES'!$D63, "")</f>
        <v>4</v>
      </c>
      <c r="L65" s="184">
        <f>IF('AFNI STIM FILES'!T63="Approach",'AFNI STIM FILES'!$F63, "")</f>
        <v>2.04</v>
      </c>
      <c r="M65" s="184" t="str">
        <f>IF('AFNI STIM FILES'!T63="Ambivalent",'AFNI STIM FILES'!$D63, "")</f>
        <v/>
      </c>
      <c r="N65" s="184" t="str">
        <f>IF('AFNI STIM FILES'!T63="Ambivalent",'AFNI STIM FILES'!$F63, "")</f>
        <v/>
      </c>
      <c r="O65" s="184" t="str">
        <f>IF('AFNI STIM FILES'!T63="Avoid",'AFNI STIM FILES'!$D63, "")</f>
        <v/>
      </c>
      <c r="P65" s="184" t="str">
        <f>IF('AFNI STIM FILES'!T63="Avoid",'AFNI STIM FILES'!$F63, "")</f>
        <v/>
      </c>
      <c r="Q65" s="184" t="str">
        <f>IF('AFNI STIM FILES'!T63="Missing",'AFNI STIM FILES'!$D63, "")</f>
        <v/>
      </c>
      <c r="R65" s="184" t="str">
        <f>IF('AFNI STIM FILES'!T63="Missing",'AFNI STIM FILES'!$F63, "")</f>
        <v/>
      </c>
    </row>
    <row r="66" spans="1:38" x14ac:dyDescent="0.2">
      <c r="A66" s="7">
        <v>24</v>
      </c>
      <c r="B66" s="184" t="str">
        <f>IF('AFNI STIM FILES'!T64="Approach",'AFNI STIM FILES'!C64, "")</f>
        <v/>
      </c>
      <c r="C66" s="184" t="str">
        <f>IF('AFNI STIM FILES'!T64="Approach",'AFNI STIM FILES'!E64, "")</f>
        <v/>
      </c>
      <c r="D66" s="184">
        <f>IF('AFNI STIM FILES'!T64="Ambivalent",'AFNI STIM FILES'!$C64, "")</f>
        <v>392.96</v>
      </c>
      <c r="E66" s="184">
        <f>IF('AFNI STIM FILES'!T64="Ambivalent",'AFNI STIM FILES'!$E64, "")</f>
        <v>396.97</v>
      </c>
      <c r="F66" s="184" t="str">
        <f>IF('AFNI STIM FILES'!T64="Avoid",'AFNI STIM FILES'!$C64, "")</f>
        <v/>
      </c>
      <c r="G66" s="184" t="str">
        <f>IF('AFNI STIM FILES'!T64="Avoid",'AFNI STIM FILES'!$E64, "")</f>
        <v/>
      </c>
      <c r="H66" s="184" t="str">
        <f>IF('AFNI STIM FILES'!T64="Missing",'AFNI STIM FILES'!$C64, "")</f>
        <v/>
      </c>
      <c r="I66" s="184" t="str">
        <f>IF('AFNI STIM FILES'!T64="Missing",'AFNI STIM FILES'!$E64, "")</f>
        <v/>
      </c>
      <c r="K66" s="184" t="str">
        <f>IF('AFNI STIM FILES'!T64="Approach",'AFNI STIM FILES'!$D64, "")</f>
        <v/>
      </c>
      <c r="L66" s="184" t="str">
        <f>IF('AFNI STIM FILES'!T64="Approach",'AFNI STIM FILES'!$F64, "")</f>
        <v/>
      </c>
      <c r="M66" s="184">
        <f>IF('AFNI STIM FILES'!T64="Ambivalent",'AFNI STIM FILES'!$D64, "")</f>
        <v>4</v>
      </c>
      <c r="N66" s="184">
        <f>IF('AFNI STIM FILES'!T64="Ambivalent",'AFNI STIM FILES'!$F64, "")</f>
        <v>1.4</v>
      </c>
      <c r="O66" s="184" t="str">
        <f>IF('AFNI STIM FILES'!T64="Avoid",'AFNI STIM FILES'!$D64, "")</f>
        <v/>
      </c>
      <c r="P66" s="184" t="str">
        <f>IF('AFNI STIM FILES'!T64="Avoid",'AFNI STIM FILES'!$F64, "")</f>
        <v/>
      </c>
      <c r="Q66" s="184" t="str">
        <f>IF('AFNI STIM FILES'!T64="Missing",'AFNI STIM FILES'!$D64, "")</f>
        <v/>
      </c>
      <c r="R66" s="184" t="str">
        <f>IF('AFNI STIM FILES'!T64="Missing",'AFNI STIM FILES'!$F64, "")</f>
        <v/>
      </c>
    </row>
    <row r="67" spans="1:38" x14ac:dyDescent="0.2">
      <c r="A67" s="7">
        <v>25</v>
      </c>
      <c r="B67" s="184" t="str">
        <f>IF('AFNI STIM FILES'!T65="Approach",'AFNI STIM FILES'!C65, "")</f>
        <v/>
      </c>
      <c r="C67" s="184" t="str">
        <f>IF('AFNI STIM FILES'!T65="Approach",'AFNI STIM FILES'!E65, "")</f>
        <v/>
      </c>
      <c r="D67" s="184" t="str">
        <f>IF('AFNI STIM FILES'!T65="Ambivalent",'AFNI STIM FILES'!$C65, "")</f>
        <v/>
      </c>
      <c r="E67" s="184" t="str">
        <f>IF('AFNI STIM FILES'!T65="Ambivalent",'AFNI STIM FILES'!$E65, "")</f>
        <v/>
      </c>
      <c r="F67" s="184">
        <f>IF('AFNI STIM FILES'!T65="Avoid",'AFNI STIM FILES'!$C65, "")</f>
        <v>405.97</v>
      </c>
      <c r="G67" s="184">
        <f>IF('AFNI STIM FILES'!T65="Avoid",'AFNI STIM FILES'!$E65, "")</f>
        <v>409.96</v>
      </c>
      <c r="H67" s="184" t="str">
        <f>IF('AFNI STIM FILES'!T65="Missing",'AFNI STIM FILES'!$C65, "")</f>
        <v/>
      </c>
      <c r="I67" s="184" t="str">
        <f>IF('AFNI STIM FILES'!T65="Missing",'AFNI STIM FILES'!$E65, "")</f>
        <v/>
      </c>
      <c r="K67" s="184" t="str">
        <f>IF('AFNI STIM FILES'!T65="Approach",'AFNI STIM FILES'!$D65, "")</f>
        <v/>
      </c>
      <c r="L67" s="184" t="str">
        <f>IF('AFNI STIM FILES'!T65="Approach",'AFNI STIM FILES'!$F65, "")</f>
        <v/>
      </c>
      <c r="M67" s="184" t="str">
        <f>IF('AFNI STIM FILES'!T65="Ambivalent",'AFNI STIM FILES'!$D65, "")</f>
        <v/>
      </c>
      <c r="N67" s="184" t="str">
        <f>IF('AFNI STIM FILES'!T65="Ambivalent",'AFNI STIM FILES'!$F65, "")</f>
        <v/>
      </c>
      <c r="O67" s="184">
        <f>IF('AFNI STIM FILES'!T65="Avoid",'AFNI STIM FILES'!$D65, "")</f>
        <v>3.99</v>
      </c>
      <c r="P67" s="184">
        <f>IF('AFNI STIM FILES'!T65="Avoid",'AFNI STIM FILES'!$F65, "")</f>
        <v>2.13</v>
      </c>
      <c r="Q67" s="184" t="str">
        <f>IF('AFNI STIM FILES'!T65="Missing",'AFNI STIM FILES'!$D65, "")</f>
        <v/>
      </c>
      <c r="R67" s="184" t="str">
        <f>IF('AFNI STIM FILES'!T65="Missing",'AFNI STIM FILES'!$F65, "")</f>
        <v/>
      </c>
    </row>
    <row r="68" spans="1:38" x14ac:dyDescent="0.2">
      <c r="A68" s="7">
        <v>26</v>
      </c>
      <c r="B68" s="184" t="str">
        <f>IF('AFNI STIM FILES'!T66="Approach",'AFNI STIM FILES'!C66, "")</f>
        <v/>
      </c>
      <c r="C68" s="184" t="str">
        <f>IF('AFNI STIM FILES'!T66="Approach",'AFNI STIM FILES'!E66, "")</f>
        <v/>
      </c>
      <c r="D68" s="184">
        <f>IF('AFNI STIM FILES'!T66="Ambivalent",'AFNI STIM FILES'!$C66, "")</f>
        <v>420.97</v>
      </c>
      <c r="E68" s="184">
        <f>IF('AFNI STIM FILES'!T66="Ambivalent",'AFNI STIM FILES'!$E66, "")</f>
        <v>424.97</v>
      </c>
      <c r="F68" s="184" t="str">
        <f>IF('AFNI STIM FILES'!T66="Avoid",'AFNI STIM FILES'!$C66, "")</f>
        <v/>
      </c>
      <c r="G68" s="184" t="str">
        <f>IF('AFNI STIM FILES'!T66="Avoid",'AFNI STIM FILES'!$E66, "")</f>
        <v/>
      </c>
      <c r="H68" s="184" t="str">
        <f>IF('AFNI STIM FILES'!T66="Missing",'AFNI STIM FILES'!$C66, "")</f>
        <v/>
      </c>
      <c r="I68" s="184" t="str">
        <f>IF('AFNI STIM FILES'!T66="Missing",'AFNI STIM FILES'!$E66, "")</f>
        <v/>
      </c>
      <c r="K68" s="184" t="str">
        <f>IF('AFNI STIM FILES'!T66="Approach",'AFNI STIM FILES'!$D66, "")</f>
        <v/>
      </c>
      <c r="L68" s="184" t="str">
        <f>IF('AFNI STIM FILES'!T66="Approach",'AFNI STIM FILES'!$F66, "")</f>
        <v/>
      </c>
      <c r="M68" s="184">
        <f>IF('AFNI STIM FILES'!T66="Ambivalent",'AFNI STIM FILES'!$D66, "")</f>
        <v>4</v>
      </c>
      <c r="N68" s="184">
        <f>IF('AFNI STIM FILES'!T66="Ambivalent",'AFNI STIM FILES'!$F66, "")</f>
        <v>2.02</v>
      </c>
      <c r="O68" s="184" t="str">
        <f>IF('AFNI STIM FILES'!T66="Avoid",'AFNI STIM FILES'!$D66, "")</f>
        <v/>
      </c>
      <c r="P68" s="184" t="str">
        <f>IF('AFNI STIM FILES'!T66="Avoid",'AFNI STIM FILES'!$F66, "")</f>
        <v/>
      </c>
      <c r="Q68" s="184" t="str">
        <f>IF('AFNI STIM FILES'!T66="Missing",'AFNI STIM FILES'!$D66, "")</f>
        <v/>
      </c>
      <c r="R68" s="184" t="str">
        <f>IF('AFNI STIM FILES'!T66="Missing",'AFNI STIM FILES'!$F66, "")</f>
        <v/>
      </c>
    </row>
    <row r="69" spans="1:38" x14ac:dyDescent="0.2">
      <c r="A69" s="7">
        <v>27</v>
      </c>
      <c r="B69" s="184" t="str">
        <f>IF('AFNI STIM FILES'!T67="Approach",'AFNI STIM FILES'!C67, "")</f>
        <v/>
      </c>
      <c r="C69" s="184" t="str">
        <f>IF('AFNI STIM FILES'!T67="Approach",'AFNI STIM FILES'!E67, "")</f>
        <v/>
      </c>
      <c r="D69" s="184" t="str">
        <f>IF('AFNI STIM FILES'!T67="Ambivalent",'AFNI STIM FILES'!$C67, "")</f>
        <v/>
      </c>
      <c r="E69" s="184" t="str">
        <f>IF('AFNI STIM FILES'!T67="Ambivalent",'AFNI STIM FILES'!$E67, "")</f>
        <v/>
      </c>
      <c r="F69" s="184">
        <f>IF('AFNI STIM FILES'!T67="Avoid",'AFNI STIM FILES'!$C67, "")</f>
        <v>437.96</v>
      </c>
      <c r="G69" s="184">
        <f>IF('AFNI STIM FILES'!T67="Avoid",'AFNI STIM FILES'!$E67, "")</f>
        <v>441.97</v>
      </c>
      <c r="H69" s="184" t="str">
        <f>IF('AFNI STIM FILES'!T67="Missing",'AFNI STIM FILES'!$C67, "")</f>
        <v/>
      </c>
      <c r="I69" s="184" t="str">
        <f>IF('AFNI STIM FILES'!T67="Missing",'AFNI STIM FILES'!$E67, "")</f>
        <v/>
      </c>
      <c r="K69" s="184" t="str">
        <f>IF('AFNI STIM FILES'!T67="Approach",'AFNI STIM FILES'!$D67, "")</f>
        <v/>
      </c>
      <c r="L69" s="184" t="str">
        <f>IF('AFNI STIM FILES'!T67="Approach",'AFNI STIM FILES'!$F67, "")</f>
        <v/>
      </c>
      <c r="M69" s="184" t="str">
        <f>IF('AFNI STIM FILES'!T67="Ambivalent",'AFNI STIM FILES'!$D67, "")</f>
        <v/>
      </c>
      <c r="N69" s="184" t="str">
        <f>IF('AFNI STIM FILES'!T67="Ambivalent",'AFNI STIM FILES'!$F67, "")</f>
        <v/>
      </c>
      <c r="O69" s="184">
        <f>IF('AFNI STIM FILES'!T67="Avoid",'AFNI STIM FILES'!$D67, "")</f>
        <v>4</v>
      </c>
      <c r="P69" s="184">
        <f>IF('AFNI STIM FILES'!T67="Avoid",'AFNI STIM FILES'!$F67, "")</f>
        <v>2.2200000000000002</v>
      </c>
      <c r="Q69" s="184" t="str">
        <f>IF('AFNI STIM FILES'!T67="Missing",'AFNI STIM FILES'!$D67, "")</f>
        <v/>
      </c>
      <c r="R69" s="184" t="str">
        <f>IF('AFNI STIM FILES'!T67="Missing",'AFNI STIM FILES'!$F67, "")</f>
        <v/>
      </c>
    </row>
    <row r="70" spans="1:38" x14ac:dyDescent="0.2">
      <c r="A70" s="7">
        <v>28</v>
      </c>
      <c r="B70" s="184" t="str">
        <f>IF('AFNI STIM FILES'!T68="Approach",'AFNI STIM FILES'!C68, "")</f>
        <v/>
      </c>
      <c r="C70" s="184" t="str">
        <f>IF('AFNI STIM FILES'!T68="Approach",'AFNI STIM FILES'!E68, "")</f>
        <v/>
      </c>
      <c r="D70" s="184">
        <f>IF('AFNI STIM FILES'!T68="Ambivalent",'AFNI STIM FILES'!$C68, "")</f>
        <v>452.98</v>
      </c>
      <c r="E70" s="184">
        <f>IF('AFNI STIM FILES'!T68="Ambivalent",'AFNI STIM FILES'!$E68, "")</f>
        <v>456.96</v>
      </c>
      <c r="F70" s="184" t="str">
        <f>IF('AFNI STIM FILES'!T68="Avoid",'AFNI STIM FILES'!$C68, "")</f>
        <v/>
      </c>
      <c r="G70" s="184" t="str">
        <f>IF('AFNI STIM FILES'!T68="Avoid",'AFNI STIM FILES'!$E68, "")</f>
        <v/>
      </c>
      <c r="H70" s="184" t="str">
        <f>IF('AFNI STIM FILES'!T68="Missing",'AFNI STIM FILES'!$C68, "")</f>
        <v/>
      </c>
      <c r="I70" s="184" t="str">
        <f>IF('AFNI STIM FILES'!T68="Missing",'AFNI STIM FILES'!$E68, "")</f>
        <v/>
      </c>
      <c r="K70" s="184" t="str">
        <f>IF('AFNI STIM FILES'!T68="Approach",'AFNI STIM FILES'!$D68, "")</f>
        <v/>
      </c>
      <c r="L70" s="184" t="str">
        <f>IF('AFNI STIM FILES'!T68="Approach",'AFNI STIM FILES'!$F68, "")</f>
        <v/>
      </c>
      <c r="M70" s="184">
        <f>IF('AFNI STIM FILES'!T68="Ambivalent",'AFNI STIM FILES'!$D68, "")</f>
        <v>3.99</v>
      </c>
      <c r="N70" s="184">
        <f>IF('AFNI STIM FILES'!T68="Ambivalent",'AFNI STIM FILES'!$F68, "")</f>
        <v>1.63</v>
      </c>
      <c r="O70" s="184" t="str">
        <f>IF('AFNI STIM FILES'!T68="Avoid",'AFNI STIM FILES'!$D68, "")</f>
        <v/>
      </c>
      <c r="P70" s="184" t="str">
        <f>IF('AFNI STIM FILES'!T68="Avoid",'AFNI STIM FILES'!$F68, "")</f>
        <v/>
      </c>
      <c r="Q70" s="184" t="str">
        <f>IF('AFNI STIM FILES'!T68="Missing",'AFNI STIM FILES'!$D68, "")</f>
        <v/>
      </c>
      <c r="R70" s="184" t="str">
        <f>IF('AFNI STIM FILES'!T68="Missing",'AFNI STIM FILES'!$F68, "")</f>
        <v/>
      </c>
    </row>
    <row r="71" spans="1:38" x14ac:dyDescent="0.2">
      <c r="A71" s="7">
        <v>29</v>
      </c>
      <c r="B71" s="184" t="str">
        <f>IF('AFNI STIM FILES'!T69="Approach",'AFNI STIM FILES'!C69, "")</f>
        <v/>
      </c>
      <c r="C71" s="184" t="str">
        <f>IF('AFNI STIM FILES'!T69="Approach",'AFNI STIM FILES'!E69, "")</f>
        <v/>
      </c>
      <c r="D71" s="184" t="str">
        <f>IF('AFNI STIM FILES'!T69="Ambivalent",'AFNI STIM FILES'!$C69, "")</f>
        <v/>
      </c>
      <c r="E71" s="184" t="str">
        <f>IF('AFNI STIM FILES'!T69="Ambivalent",'AFNI STIM FILES'!$E69, "")</f>
        <v/>
      </c>
      <c r="F71" s="184">
        <f>IF('AFNI STIM FILES'!T69="Avoid",'AFNI STIM FILES'!$C69, "")</f>
        <v>475.96</v>
      </c>
      <c r="G71" s="184">
        <f>IF('AFNI STIM FILES'!T69="Avoid",'AFNI STIM FILES'!$E69, "")</f>
        <v>479.96</v>
      </c>
      <c r="H71" s="184" t="str">
        <f>IF('AFNI STIM FILES'!T69="Missing",'AFNI STIM FILES'!$C69, "")</f>
        <v/>
      </c>
      <c r="I71" s="184" t="str">
        <f>IF('AFNI STIM FILES'!T69="Missing",'AFNI STIM FILES'!$E69, "")</f>
        <v/>
      </c>
      <c r="K71" s="184" t="str">
        <f>IF('AFNI STIM FILES'!T69="Approach",'AFNI STIM FILES'!$D69, "")</f>
        <v/>
      </c>
      <c r="L71" s="184" t="str">
        <f>IF('AFNI STIM FILES'!T69="Approach",'AFNI STIM FILES'!$F69, "")</f>
        <v/>
      </c>
      <c r="M71" s="184" t="str">
        <f>IF('AFNI STIM FILES'!T69="Ambivalent",'AFNI STIM FILES'!$D69, "")</f>
        <v/>
      </c>
      <c r="N71" s="184" t="str">
        <f>IF('AFNI STIM FILES'!T69="Ambivalent",'AFNI STIM FILES'!$F69, "")</f>
        <v/>
      </c>
      <c r="O71" s="184">
        <f>IF('AFNI STIM FILES'!T69="Avoid",'AFNI STIM FILES'!$D69, "")</f>
        <v>4</v>
      </c>
      <c r="P71" s="184">
        <f>IF('AFNI STIM FILES'!T69="Avoid",'AFNI STIM FILES'!$F69, "")</f>
        <v>1.97</v>
      </c>
      <c r="Q71" s="184" t="str">
        <f>IF('AFNI STIM FILES'!T69="Missing",'AFNI STIM FILES'!$D69, "")</f>
        <v/>
      </c>
      <c r="R71" s="184" t="str">
        <f>IF('AFNI STIM FILES'!T69="Missing",'AFNI STIM FILES'!$F69, "")</f>
        <v/>
      </c>
    </row>
    <row r="72" spans="1:38" x14ac:dyDescent="0.2">
      <c r="A72" s="7">
        <v>30</v>
      </c>
      <c r="B72" s="184" t="str">
        <f>IF('AFNI STIM FILES'!T70="Approach",'AFNI STIM FILES'!C70, "")</f>
        <v/>
      </c>
      <c r="C72" s="184" t="str">
        <f>IF('AFNI STIM FILES'!T70="Approach",'AFNI STIM FILES'!E70, "")</f>
        <v/>
      </c>
      <c r="D72" s="184">
        <f>IF('AFNI STIM FILES'!T70="Ambivalent",'AFNI STIM FILES'!$C70, "")</f>
        <v>488.97</v>
      </c>
      <c r="E72" s="184">
        <f>IF('AFNI STIM FILES'!T70="Ambivalent",'AFNI STIM FILES'!$E70, "")</f>
        <v>492.97</v>
      </c>
      <c r="F72" s="184" t="str">
        <f>IF('AFNI STIM FILES'!T70="Avoid",'AFNI STIM FILES'!$C70, "")</f>
        <v/>
      </c>
      <c r="G72" s="184" t="str">
        <f>IF('AFNI STIM FILES'!T70="Avoid",'AFNI STIM FILES'!$E70, "")</f>
        <v/>
      </c>
      <c r="H72" s="184" t="str">
        <f>IF('AFNI STIM FILES'!T70="Missing",'AFNI STIM FILES'!$C70, "")</f>
        <v/>
      </c>
      <c r="I72" s="184" t="str">
        <f>IF('AFNI STIM FILES'!T70="Missing",'AFNI STIM FILES'!$E70, "")</f>
        <v/>
      </c>
      <c r="K72" s="184" t="str">
        <f>IF('AFNI STIM FILES'!T70="Approach",'AFNI STIM FILES'!$D70, "")</f>
        <v/>
      </c>
      <c r="L72" s="184" t="str">
        <f>IF('AFNI STIM FILES'!T70="Approach",'AFNI STIM FILES'!$F70, "")</f>
        <v/>
      </c>
      <c r="M72" s="184">
        <f>IF('AFNI STIM FILES'!T70="Ambivalent",'AFNI STIM FILES'!$D70, "")</f>
        <v>4</v>
      </c>
      <c r="N72" s="184">
        <f>IF('AFNI STIM FILES'!T70="Ambivalent",'AFNI STIM FILES'!$F70, "")</f>
        <v>2.8</v>
      </c>
      <c r="O72" s="184" t="str">
        <f>IF('AFNI STIM FILES'!T70="Avoid",'AFNI STIM FILES'!$D70, "")</f>
        <v/>
      </c>
      <c r="P72" s="184" t="str">
        <f>IF('AFNI STIM FILES'!T70="Avoid",'AFNI STIM FILES'!$F70, "")</f>
        <v/>
      </c>
      <c r="Q72" s="184" t="str">
        <f>IF('AFNI STIM FILES'!T70="Missing",'AFNI STIM FILES'!$D70, "")</f>
        <v/>
      </c>
      <c r="R72" s="184" t="str">
        <f>IF('AFNI STIM FILES'!T70="Missing",'AFNI STIM FILES'!$F70, "")</f>
        <v/>
      </c>
    </row>
    <row r="73" spans="1:38" x14ac:dyDescent="0.2">
      <c r="O73" t="str">
        <f>IF('[1]AFNI STIM FILES'!T71="Avoid",'[1]AFNI STIM FILES'!$D71, "")</f>
        <v/>
      </c>
      <c r="P73" t="str">
        <f>IF('[1]AFNI STIM FILES'!T71="Avoid",'[1]AFNI STIM FILES'!$F71, "")</f>
        <v/>
      </c>
    </row>
    <row r="75" spans="1:38" x14ac:dyDescent="0.2">
      <c r="B75" s="97"/>
      <c r="E75" s="182" t="s">
        <v>100</v>
      </c>
      <c r="F75" s="182" t="s">
        <v>149</v>
      </c>
      <c r="J75" s="182" t="s">
        <v>167</v>
      </c>
      <c r="K75" s="97"/>
      <c r="N75" s="182" t="s">
        <v>100</v>
      </c>
      <c r="O75" s="182" t="s">
        <v>151</v>
      </c>
      <c r="T75" s="182" t="s">
        <v>167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x14ac:dyDescent="0.2">
      <c r="B76" s="262" t="s">
        <v>90</v>
      </c>
      <c r="C76" s="262"/>
      <c r="D76" s="262" t="s">
        <v>91</v>
      </c>
      <c r="E76" s="262"/>
      <c r="F76" s="262" t="s">
        <v>92</v>
      </c>
      <c r="G76" s="262"/>
      <c r="H76" s="262" t="s">
        <v>93</v>
      </c>
      <c r="I76" s="262"/>
      <c r="K76" s="262" t="s">
        <v>90</v>
      </c>
      <c r="L76" s="262"/>
      <c r="M76" s="262" t="s">
        <v>91</v>
      </c>
      <c r="N76" s="262"/>
      <c r="O76" s="262" t="s">
        <v>92</v>
      </c>
      <c r="P76" s="262"/>
      <c r="Q76" s="262" t="s">
        <v>93</v>
      </c>
      <c r="R76" s="262"/>
      <c r="T76" s="182" t="s">
        <v>153</v>
      </c>
      <c r="U76" s="14"/>
      <c r="V76" s="14"/>
      <c r="W76" s="14"/>
      <c r="X76" s="14"/>
      <c r="Y76" s="14"/>
      <c r="Z76" s="14"/>
      <c r="AA76" s="14"/>
      <c r="AB76" s="14"/>
      <c r="AC76" s="182" t="s">
        <v>151</v>
      </c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x14ac:dyDescent="0.2">
      <c r="A77" s="7" t="s">
        <v>155</v>
      </c>
      <c r="B77" s="177" t="s">
        <v>156</v>
      </c>
      <c r="C77" s="177" t="s">
        <v>157</v>
      </c>
      <c r="D77" s="177" t="s">
        <v>156</v>
      </c>
      <c r="E77" s="177" t="s">
        <v>59</v>
      </c>
      <c r="F77" s="177" t="s">
        <v>156</v>
      </c>
      <c r="G77" s="177" t="s">
        <v>59</v>
      </c>
      <c r="H77" s="177" t="s">
        <v>58</v>
      </c>
      <c r="I77" s="177" t="s">
        <v>157</v>
      </c>
      <c r="K77" s="177" t="s">
        <v>156</v>
      </c>
      <c r="L77" s="177" t="s">
        <v>157</v>
      </c>
      <c r="M77" s="177" t="s">
        <v>156</v>
      </c>
      <c r="N77" s="177" t="s">
        <v>59</v>
      </c>
      <c r="O77" s="177" t="s">
        <v>156</v>
      </c>
      <c r="P77" s="177" t="s">
        <v>59</v>
      </c>
      <c r="Q77" s="177" t="s">
        <v>58</v>
      </c>
      <c r="R77" s="177" t="s">
        <v>157</v>
      </c>
      <c r="T77" s="178" t="s">
        <v>158</v>
      </c>
      <c r="U77" t="str">
        <f>CONCATENATE(B78," ",B79," ",B80," ",B81," ", B82, " ", B83, " ", B84, " ", B85, " ", B86, " ", B87, " ", B88, " ", B89, " ", B90, " ", B91, " ", B92, " ", B93, " ", B94, " ", B95, " ", B96, " ", B97, " ", B98, " ", B99, " ", B100, " ", B101, " ", B102, " ", B103, " ", B104, " ", B105, " ", B106, " ", B107)</f>
        <v xml:space="preserve">5.97      107.98     196.98                  </v>
      </c>
      <c r="AC77" s="178" t="s">
        <v>158</v>
      </c>
      <c r="AD77" t="str">
        <f>CONCATENATE(K78," ",K79," ",K80," ",K81," ", K82, " ", K83, " ", K84, " ", K85, " ", K86, " ", K87, " ", K88, " ", K89, " ", K90, " ", K91, " ", K92, " ", K93, " ", K94, " ", K95, " ", K96, " ", K97, " ", K98, " ", K99, " ", K100, " ", K101, " ", K102, " ", K103, " ", K104, " ", K105, " ", K106, " ", K107)</f>
        <v xml:space="preserve">4      3.99     3.99                  </v>
      </c>
    </row>
    <row r="78" spans="1:38" x14ac:dyDescent="0.2">
      <c r="A78" s="7">
        <v>1</v>
      </c>
      <c r="B78" s="184">
        <f>IF('AFNI STIM FILES'!T76="Approach",'AFNI STIM FILES'!C76, "")</f>
        <v>5.97</v>
      </c>
      <c r="C78" s="184">
        <f>IF('AFNI STIM FILES'!T76="Approach",'AFNI STIM FILES'!E76, "")</f>
        <v>9.98</v>
      </c>
      <c r="D78" s="184" t="str">
        <f>IF('AFNI STIM FILES'!T76="Ambivalent",'AFNI STIM FILES'!$C76, "")</f>
        <v/>
      </c>
      <c r="E78" s="184" t="str">
        <f>IF('AFNI STIM FILES'!T76="Ambivalent",'AFNI STIM FILES'!$E76, "")</f>
        <v/>
      </c>
      <c r="F78" s="184" t="str">
        <f>IF('AFNI STIM FILES'!T76="Avoid",'AFNI STIM FILES'!$C76, "")</f>
        <v/>
      </c>
      <c r="G78" s="184" t="str">
        <f>IF('AFNI STIM FILES'!T76="Avoid",'AFNI STIM FILES'!$E76, "")</f>
        <v/>
      </c>
      <c r="H78" s="184" t="str">
        <f>IF('AFNI STIM FILES'!T76="Missing",'AFNI STIM FILES'!$C76, "")</f>
        <v/>
      </c>
      <c r="I78" s="184" t="str">
        <f>IF('AFNI STIM FILES'!T76="Missing",'AFNI STIM FILES'!$E76, "")</f>
        <v/>
      </c>
      <c r="K78" s="184">
        <f>IF('AFNI STIM FILES'!T76="Approach",'AFNI STIM FILES'!$D76, "")</f>
        <v>4</v>
      </c>
      <c r="L78" s="184">
        <f>IF('AFNI STIM FILES'!T76="Approach",'AFNI STIM FILES'!$F76, "")</f>
        <v>2.72</v>
      </c>
      <c r="M78" s="184" t="str">
        <f>IF('AFNI STIM FILES'!T76="Ambivalent",'AFNI STIM FILES'!$D76, "")</f>
        <v/>
      </c>
      <c r="N78" s="184" t="str">
        <f>IF('AFNI STIM FILES'!T76="Ambivalent",'AFNI STIM FILES'!$F76, "")</f>
        <v/>
      </c>
      <c r="O78" s="184" t="str">
        <f>IF('AFNI STIM FILES'!T76="Avoid",'AFNI STIM FILES'!$D76, "")</f>
        <v/>
      </c>
      <c r="P78" s="184" t="str">
        <f>IF('AFNI STIM FILES'!T76="Avoid",'AFNI STIM FILES'!$F76, "")</f>
        <v/>
      </c>
      <c r="Q78" s="184" t="str">
        <f>IF('AFNI STIM FILES'!T76="Missing",'AFNI STIM FILES'!$D76, "")</f>
        <v/>
      </c>
      <c r="R78" s="184" t="str">
        <f>IF('AFNI STIM FILES'!T76="Missing",'AFNI STIM FILES'!$F76, "")</f>
        <v/>
      </c>
      <c r="T78" t="s">
        <v>159</v>
      </c>
      <c r="U78" t="str">
        <f>CONCATENATE(C78, " ", C79, " ", C80, " ", C81, " ", C82, " ", C83, " ", C84, " ", C85, " ", C86, " ", C87, " ", C88, " ", C89, " ", C90, " ", C91, " ", C92, " ", C93, " ", C94, " ", C95, " ", C96, " ", C97, " ", C98, " ", C99, " ", C100, " ", C101, " ", C102, " ", C103, " ", C104, " ", C105, " ", C106, " ", C107)</f>
        <v xml:space="preserve">9.98      111.97     200.97                  </v>
      </c>
      <c r="AC78" t="s">
        <v>159</v>
      </c>
      <c r="AD78" t="str">
        <f>CONCATENATE(L78, " ", L79, " ", L80, " ", L81, " ", L82, " ", L83, " ", L84, " ", L85, " ", L86, " ", L87, " ", L88, " ", L89, " ", L90, " ", L91, " ", L92, " ", L93, " ", L94, " ", L95, " ", L96, " ", L97, " ", L98, " ", L99, " ", L100, " ", L101, " ", L102, " ", L103, " ", L104, " ", L105, " ", L106, " ", L107)</f>
        <v xml:space="preserve">2.72      2.84     2.84                  </v>
      </c>
    </row>
    <row r="79" spans="1:38" x14ac:dyDescent="0.2">
      <c r="A79" s="7">
        <v>2</v>
      </c>
      <c r="B79" s="184" t="str">
        <f>IF('AFNI STIM FILES'!T77="Approach",'AFNI STIM FILES'!C77, "")</f>
        <v/>
      </c>
      <c r="C79" s="184" t="str">
        <f>IF('AFNI STIM FILES'!T77="Approach",'AFNI STIM FILES'!E77, "")</f>
        <v/>
      </c>
      <c r="D79" s="184">
        <f>IF('AFNI STIM FILES'!T77="Ambivalent",'AFNI STIM FILES'!$C77, "")</f>
        <v>22.97</v>
      </c>
      <c r="E79" s="184">
        <f>IF('AFNI STIM FILES'!T77="Ambivalent",'AFNI STIM FILES'!$E77, "")</f>
        <v>26.97</v>
      </c>
      <c r="F79" s="184" t="str">
        <f>IF('AFNI STIM FILES'!T77="Avoid",'AFNI STIM FILES'!$C77, "")</f>
        <v/>
      </c>
      <c r="G79" s="184" t="str">
        <f>IF('AFNI STIM FILES'!T77="Avoid",'AFNI STIM FILES'!$E77, "")</f>
        <v/>
      </c>
      <c r="H79" s="184" t="str">
        <f>IF('AFNI STIM FILES'!T77="Missing",'AFNI STIM FILES'!$C77, "")</f>
        <v/>
      </c>
      <c r="I79" s="184" t="str">
        <f>IF('AFNI STIM FILES'!T77="Missing",'AFNI STIM FILES'!$E77, "")</f>
        <v/>
      </c>
      <c r="K79" s="184" t="str">
        <f>IF('AFNI STIM FILES'!T77="Approach",'AFNI STIM FILES'!$D77, "")</f>
        <v/>
      </c>
      <c r="L79" s="184" t="str">
        <f>IF('AFNI STIM FILES'!T77="Approach",'AFNI STIM FILES'!$F77, "")</f>
        <v/>
      </c>
      <c r="M79" s="184">
        <f>IF('AFNI STIM FILES'!T77="Ambivalent",'AFNI STIM FILES'!$D77, "")</f>
        <v>4</v>
      </c>
      <c r="N79" s="184">
        <f>IF('AFNI STIM FILES'!T77="Ambivalent",'AFNI STIM FILES'!$F77, "")</f>
        <v>1.1499999999999999</v>
      </c>
      <c r="O79" s="184" t="str">
        <f>IF('AFNI STIM FILES'!T77="Avoid",'AFNI STIM FILES'!$D77, "")</f>
        <v/>
      </c>
      <c r="P79" s="184" t="str">
        <f>IF('AFNI STIM FILES'!T77="Avoid",'AFNI STIM FILES'!$F77, "")</f>
        <v/>
      </c>
      <c r="Q79" s="184" t="str">
        <f>IF('AFNI STIM FILES'!T77="Missing",'AFNI STIM FILES'!$D77, "")</f>
        <v/>
      </c>
      <c r="R79" s="184" t="str">
        <f>IF('AFNI STIM FILES'!T77="Missing",'AFNI STIM FILES'!$F77, "")</f>
        <v/>
      </c>
      <c r="T79" t="s">
        <v>160</v>
      </c>
      <c r="U79" t="str">
        <f xml:space="preserve"> CONCATENATE(D78, " ", D79, " ", D80, " ", D81, " ", D82, " ", D83, " ", D84, " ", D85, " ", D86, " ", D87, " ", D88, " ", D89, " ", D90, " ", D91, " ", D92, " ", D93, " ", D94, " ", D95, " ", D96, " ", D97, " ", D98, " ", D99, " ", D100, " ", D101, " ", D102, " ", D103, " ", D104, " ", D105, " ", D106, " ", D107)</f>
        <v xml:space="preserve"> 22.97  64.98 79.98 94.97  126.98  166.98   209.98 232.98  264.98 279.98 300.98 313.97 328.98 343.98 356.97 377.97 392.98 405.97 420.98  452.98  488.97</v>
      </c>
      <c r="AC79" t="s">
        <v>160</v>
      </c>
      <c r="AD79" t="str">
        <f xml:space="preserve"> CONCATENATE(M78, " ", M79, " ", M80, " ", M81, " ", M82, " ", M83, " ", M84, " ", M85, " ", M86, " ", M87, " ", M88, " ", M89, " ", M90, " ", M91, " ", M92, " ", M93, " ", M94, " ", M95, " ", M96, " ", M97, " ", M98, " ", M99, " ", M100, " ", M101, " ", M102, " ", M103, " ", M104, " ", M105, " ", M106, " ", M107)</f>
        <v xml:space="preserve"> 4  3.99 4 4  4  4   4 4  3.99 4 4 4 3.99 4 4 4 4 4 3.99  4  4</v>
      </c>
    </row>
    <row r="80" spans="1:38" x14ac:dyDescent="0.2">
      <c r="A80" s="7">
        <v>3</v>
      </c>
      <c r="B80" s="184" t="str">
        <f>IF('AFNI STIM FILES'!T78="Approach",'AFNI STIM FILES'!C78, "")</f>
        <v/>
      </c>
      <c r="C80" s="184" t="str">
        <f>IF('AFNI STIM FILES'!T78="Approach",'AFNI STIM FILES'!E78, "")</f>
        <v/>
      </c>
      <c r="D80" s="184" t="str">
        <f>IF('AFNI STIM FILES'!T78="Ambivalent",'AFNI STIM FILES'!$C78, "")</f>
        <v/>
      </c>
      <c r="E80" s="184" t="str">
        <f>IF('AFNI STIM FILES'!T78="Ambivalent",'AFNI STIM FILES'!$E78, "")</f>
        <v/>
      </c>
      <c r="F80" s="184">
        <f>IF('AFNI STIM FILES'!T78="Avoid",'AFNI STIM FILES'!$C78, "")</f>
        <v>45.97</v>
      </c>
      <c r="G80" s="184">
        <f>IF('AFNI STIM FILES'!T78="Avoid",'AFNI STIM FILES'!$E78, "")</f>
        <v>49.97</v>
      </c>
      <c r="H80" s="184" t="str">
        <f>IF('AFNI STIM FILES'!T78="Missing",'AFNI STIM FILES'!$C78, "")</f>
        <v/>
      </c>
      <c r="I80" s="184" t="str">
        <f>IF('AFNI STIM FILES'!T78="Missing",'AFNI STIM FILES'!$E78, "")</f>
        <v/>
      </c>
      <c r="K80" s="184" t="str">
        <f>IF('AFNI STIM FILES'!T78="Approach",'AFNI STIM FILES'!$D78, "")</f>
        <v/>
      </c>
      <c r="L80" s="184" t="str">
        <f>IF('AFNI STIM FILES'!T78="Approach",'AFNI STIM FILES'!$F78, "")</f>
        <v/>
      </c>
      <c r="M80" s="184" t="str">
        <f>IF('AFNI STIM FILES'!T78="Ambivalent",'AFNI STIM FILES'!$D78, "")</f>
        <v/>
      </c>
      <c r="N80" s="184" t="str">
        <f>IF('AFNI STIM FILES'!T78="Ambivalent",'AFNI STIM FILES'!$F78, "")</f>
        <v/>
      </c>
      <c r="O80" s="184">
        <f>IF('AFNI STIM FILES'!T78="Avoid",'AFNI STIM FILES'!$D78, "")</f>
        <v>4</v>
      </c>
      <c r="P80" s="184">
        <f>IF('AFNI STIM FILES'!T78="Avoid",'AFNI STIM FILES'!$F78, "")</f>
        <v>2.27</v>
      </c>
      <c r="Q80" s="184" t="str">
        <f>IF('AFNI STIM FILES'!T78="Missing",'AFNI STIM FILES'!$D78, "")</f>
        <v/>
      </c>
      <c r="R80" s="184" t="str">
        <f>IF('AFNI STIM FILES'!T78="Missing",'AFNI STIM FILES'!$F78, "")</f>
        <v/>
      </c>
      <c r="T80" t="s">
        <v>161</v>
      </c>
      <c r="U80" t="str">
        <f>CONCATENATE(E78, " ", E79, " ", E80, " ", E81, " ", E82, " ", E83, " ", E84, " ", E85, " ", E86, " ", E87, " ", E88, " ", E89, " ", E90, " ", E91, " ", E92, " ", E93, " ", E94, " ", E95, " ", E96, " ", E97, " ", E98, " ", E99, " ", E100, " ", E101, " ", E102, " ", E103, " ", E104, " ", E105, " ", E106, " ", E107)</f>
        <v xml:space="preserve"> 26.97  68.97 83.98 98.98  130.98  170.98   213.98 236.98  268.97 283.98 304.98 317.97 332.97 347.98 360.97 381.97 396.98 409.98 424.97  456.98  492.97</v>
      </c>
      <c r="AC80" t="s">
        <v>161</v>
      </c>
      <c r="AD80" t="str">
        <f>CONCATENATE(N78, " ", N79, " ", N80, " ", N81, " ", N82, " ", N83, " ", N84, " ", N85, " ", N86, " ", N87, " ", N88, " ", N89, " ", N90, " ", N91, " ", N92, " ", N93, " ", N94, " ", N95, " ", N96, " ", N97, " ", N98, " ", N99, " ", N100, " ", N101, " ", N102, " ", N103, " ", N104, " ", N105, " ", N106, " ", N107)</f>
        <v xml:space="preserve"> 1.15  1.97 2.52 1.79  2.89  2.6   1.75 2.4  1.48 2.25 1.77 1.85 2.74 1.83 3.54 1.58 2.48 1.77 1.78  5.34  1.67</v>
      </c>
    </row>
    <row r="81" spans="1:30" x14ac:dyDescent="0.2">
      <c r="A81" s="7">
        <v>4</v>
      </c>
      <c r="B81" s="184" t="str">
        <f>IF('AFNI STIM FILES'!T79="Approach",'AFNI STIM FILES'!C79, "")</f>
        <v/>
      </c>
      <c r="C81" s="184" t="str">
        <f>IF('AFNI STIM FILES'!T79="Approach",'AFNI STIM FILES'!E79, "")</f>
        <v/>
      </c>
      <c r="D81" s="184">
        <f>IF('AFNI STIM FILES'!T79="Ambivalent",'AFNI STIM FILES'!$C79, "")</f>
        <v>64.98</v>
      </c>
      <c r="E81" s="184">
        <f>IF('AFNI STIM FILES'!T79="Ambivalent",'AFNI STIM FILES'!$E79, "")</f>
        <v>68.97</v>
      </c>
      <c r="F81" s="184" t="str">
        <f>IF('AFNI STIM FILES'!T79="Avoid",'AFNI STIM FILES'!$C79, "")</f>
        <v/>
      </c>
      <c r="G81" s="184" t="str">
        <f>IF('AFNI STIM FILES'!T79="Avoid",'AFNI STIM FILES'!$E79, "")</f>
        <v/>
      </c>
      <c r="H81" s="184" t="str">
        <f>IF('AFNI STIM FILES'!T79="Missing",'AFNI STIM FILES'!$C79, "")</f>
        <v/>
      </c>
      <c r="I81" s="184" t="str">
        <f>IF('AFNI STIM FILES'!T79="Missing",'AFNI STIM FILES'!$E79, "")</f>
        <v/>
      </c>
      <c r="K81" s="184" t="str">
        <f>IF('AFNI STIM FILES'!T79="Approach",'AFNI STIM FILES'!$D79, "")</f>
        <v/>
      </c>
      <c r="L81" s="184" t="str">
        <f>IF('AFNI STIM FILES'!T79="Approach",'AFNI STIM FILES'!$F79, "")</f>
        <v/>
      </c>
      <c r="M81" s="184">
        <f>IF('AFNI STIM FILES'!T79="Ambivalent",'AFNI STIM FILES'!$D79, "")</f>
        <v>3.99</v>
      </c>
      <c r="N81" s="184">
        <f>IF('AFNI STIM FILES'!T79="Ambivalent",'AFNI STIM FILES'!$F79, "")</f>
        <v>1.97</v>
      </c>
      <c r="O81" s="184" t="str">
        <f>IF('AFNI STIM FILES'!T79="Avoid",'AFNI STIM FILES'!$D79, "")</f>
        <v/>
      </c>
      <c r="P81" s="184" t="str">
        <f>IF('AFNI STIM FILES'!T79="Avoid",'AFNI STIM FILES'!$F79, "")</f>
        <v/>
      </c>
      <c r="Q81" s="184" t="str">
        <f>IF('AFNI STIM FILES'!T79="Missing",'AFNI STIM FILES'!$D79, "")</f>
        <v/>
      </c>
      <c r="R81" s="184" t="str">
        <f>IF('AFNI STIM FILES'!T79="Missing",'AFNI STIM FILES'!$F79, "")</f>
        <v/>
      </c>
      <c r="T81" t="s">
        <v>162</v>
      </c>
      <c r="U81" t="str">
        <f>CONCATENATE(F78, " ", F79, " ", F80, " ", F81, " ", F82, " ", F83, " ", F84, " ", F85, " ", F86, " ", F87, " ", F88, " ", F89, " ", F90, " ", F91, " ", F92, " ", F93, " ", F94, " ", F95, " ", F96, " ", F97, " ", F98, " ", F99, " ", F100, " ", F101, " ", F102, " ", F103, " ", F104, " ", F105, " ", F106, " ", F107)</f>
        <v xml:space="preserve">  45.97      145.98  181.97    247.97            437.98  475.98 </v>
      </c>
      <c r="AC81" t="s">
        <v>162</v>
      </c>
      <c r="AD81" t="str">
        <f>CONCATENATE(O78, " ", O79, " ", O80, " ", O81, " ", O82, " ", O83, " ", O84, " ", O85, " ", O86, " ", O87, " ", O88, " ", O89, " ", O90, " ", O91, " ", O92, " ", O93, " ", O94, " ", O95, " ", O96, " ", O97, " ", O98, " ", O99, " ", O100, " ", O101, " ", O102, " ", O103, " ", O104, " ", O105, " ", O106, " ", O107)</f>
        <v xml:space="preserve">  4      4  4    4            4  4 </v>
      </c>
    </row>
    <row r="82" spans="1:30" x14ac:dyDescent="0.2">
      <c r="A82" s="7">
        <v>5</v>
      </c>
      <c r="B82" s="184" t="str">
        <f>IF('AFNI STIM FILES'!T80="Approach",'AFNI STIM FILES'!C80, "")</f>
        <v/>
      </c>
      <c r="C82" s="184" t="str">
        <f>IF('AFNI STIM FILES'!T80="Approach",'AFNI STIM FILES'!E80, "")</f>
        <v/>
      </c>
      <c r="D82" s="184">
        <f>IF('AFNI STIM FILES'!T80="Ambivalent",'AFNI STIM FILES'!$C80, "")</f>
        <v>79.98</v>
      </c>
      <c r="E82" s="184">
        <f>IF('AFNI STIM FILES'!T80="Ambivalent",'AFNI STIM FILES'!$E80, "")</f>
        <v>83.98</v>
      </c>
      <c r="F82" s="184" t="str">
        <f>IF('AFNI STIM FILES'!T80="Avoid",'AFNI STIM FILES'!$C80, "")</f>
        <v/>
      </c>
      <c r="G82" s="184" t="str">
        <f>IF('AFNI STIM FILES'!T80="Avoid",'AFNI STIM FILES'!$E80, "")</f>
        <v/>
      </c>
      <c r="H82" s="184" t="str">
        <f>IF('AFNI STIM FILES'!T80="Missing",'AFNI STIM FILES'!$C80, "")</f>
        <v/>
      </c>
      <c r="I82" s="184" t="str">
        <f>IF('AFNI STIM FILES'!T80="Missing",'AFNI STIM FILES'!$E80, "")</f>
        <v/>
      </c>
      <c r="K82" s="184" t="str">
        <f>IF('AFNI STIM FILES'!T80="Approach",'AFNI STIM FILES'!$D80, "")</f>
        <v/>
      </c>
      <c r="L82" s="184" t="str">
        <f>IF('AFNI STIM FILES'!T80="Approach",'AFNI STIM FILES'!$F80, "")</f>
        <v/>
      </c>
      <c r="M82" s="184">
        <f>IF('AFNI STIM FILES'!T80="Ambivalent",'AFNI STIM FILES'!$D80, "")</f>
        <v>4</v>
      </c>
      <c r="N82" s="184">
        <f>IF('AFNI STIM FILES'!T80="Ambivalent",'AFNI STIM FILES'!$F80, "")</f>
        <v>2.52</v>
      </c>
      <c r="O82" s="184" t="str">
        <f>IF('AFNI STIM FILES'!T80="Avoid",'AFNI STIM FILES'!$D80, "")</f>
        <v/>
      </c>
      <c r="P82" s="184" t="str">
        <f>IF('AFNI STIM FILES'!T80="Avoid",'AFNI STIM FILES'!$F80, "")</f>
        <v/>
      </c>
      <c r="Q82" s="184" t="str">
        <f>IF('AFNI STIM FILES'!T80="Missing",'AFNI STIM FILES'!$D80, "")</f>
        <v/>
      </c>
      <c r="R82" s="184" t="str">
        <f>IF('AFNI STIM FILES'!T80="Missing",'AFNI STIM FILES'!$F80, "")</f>
        <v/>
      </c>
      <c r="T82" t="s">
        <v>163</v>
      </c>
      <c r="U82" t="str">
        <f>CONCATENATE(G78, " ", G79, " ", G80, " ", G81, " ", G82, " ", G83, " ", G84, " ", G85, " ", G86, " ", G87, " ", G88, " ", G89, " ", G90, " ", G91, " ", G92, " ", G93, " ", G94, " ", G95, " ", G96, " ", G97, " ", G98, " ", G99, " ", G100, " ", G101, " ", G102, " ", G103, " ", G104, " ", G105, " ", G106, " ", G107)</f>
        <v xml:space="preserve">  49.97      149.98  185.97    251.97            441.98  479.98 </v>
      </c>
      <c r="AC82" t="s">
        <v>163</v>
      </c>
      <c r="AD82" t="str">
        <f>CONCATENATE(P78, " ", P79, " ", P80, " ", P81, " ", P82, " ", P83, " ", P84, " ", P85, " ", P86, " ", P87, " ", P88, " ", P89, " ", P90, " ", P91, " ", P92, " ", P93, " ", P94, " ", P95, " ", P96, " ", P97, " ", P98, " ", P99, " ", P100, " ", P101, " ", P102, " ", P103, " ", P104, " ", P105, " ", P106, " ", P107)</f>
        <v xml:space="preserve">  2.27      2.33  2.48    2.07            2.3  2.4 </v>
      </c>
    </row>
    <row r="83" spans="1:30" x14ac:dyDescent="0.2">
      <c r="A83" s="7">
        <v>6</v>
      </c>
      <c r="B83" s="184" t="str">
        <f>IF('AFNI STIM FILES'!T81="Approach",'AFNI STIM FILES'!C81, "")</f>
        <v/>
      </c>
      <c r="C83" s="184" t="str">
        <f>IF('AFNI STIM FILES'!T81="Approach",'AFNI STIM FILES'!E81, "")</f>
        <v/>
      </c>
      <c r="D83" s="184">
        <f>IF('AFNI STIM FILES'!T81="Ambivalent",'AFNI STIM FILES'!$C81, "")</f>
        <v>94.97</v>
      </c>
      <c r="E83" s="184">
        <f>IF('AFNI STIM FILES'!T81="Ambivalent",'AFNI STIM FILES'!$E81, "")</f>
        <v>98.98</v>
      </c>
      <c r="F83" s="184" t="str">
        <f>IF('AFNI STIM FILES'!T81="Avoid",'AFNI STIM FILES'!$C81, "")</f>
        <v/>
      </c>
      <c r="G83" s="184" t="str">
        <f>IF('AFNI STIM FILES'!T81="Avoid",'AFNI STIM FILES'!$E81, "")</f>
        <v/>
      </c>
      <c r="H83" s="184" t="str">
        <f>IF('AFNI STIM FILES'!T81="Missing",'AFNI STIM FILES'!$C81, "")</f>
        <v/>
      </c>
      <c r="I83" s="184" t="str">
        <f>IF('AFNI STIM FILES'!T81="Missing",'AFNI STIM FILES'!$E81, "")</f>
        <v/>
      </c>
      <c r="K83" s="184" t="str">
        <f>IF('AFNI STIM FILES'!T81="Approach",'AFNI STIM FILES'!$D81, "")</f>
        <v/>
      </c>
      <c r="L83" s="184" t="str">
        <f>IF('AFNI STIM FILES'!T81="Approach",'AFNI STIM FILES'!$F81, "")</f>
        <v/>
      </c>
      <c r="M83" s="184">
        <f>IF('AFNI STIM FILES'!T81="Ambivalent",'AFNI STIM FILES'!$D81, "")</f>
        <v>4</v>
      </c>
      <c r="N83" s="184">
        <f>IF('AFNI STIM FILES'!T81="Ambivalent",'AFNI STIM FILES'!$F81, "")</f>
        <v>1.79</v>
      </c>
      <c r="O83" s="184" t="str">
        <f>IF('AFNI STIM FILES'!T81="Avoid",'AFNI STIM FILES'!$D81, "")</f>
        <v/>
      </c>
      <c r="P83" s="184" t="str">
        <f>IF('AFNI STIM FILES'!T81="Avoid",'AFNI STIM FILES'!$F81, "")</f>
        <v/>
      </c>
      <c r="Q83" s="184" t="str">
        <f>IF('AFNI STIM FILES'!T81="Missing",'AFNI STIM FILES'!$D81, "")</f>
        <v/>
      </c>
      <c r="R83" s="184" t="str">
        <f>IF('AFNI STIM FILES'!T81="Missing",'AFNI STIM FILES'!$F81, "")</f>
        <v/>
      </c>
      <c r="T83" t="s">
        <v>164</v>
      </c>
      <c r="U83" t="str">
        <f>CONCATENATE(H78, " ", H79, " ", H80, " ", H81, " ", H82, " ", H83, " ", H84, " ", H85, " ", H86, " ", H87, " ", H88, " ", H89, " ", H90, " ", H91, " ", H92, " ", H93, " ", H94, " ", H95, " ", H96, " ", H97, " ", H98, " ", H99, " ", H100, " ", H101, " ", H102, " ", H103, " ", H104, " ", H105, " ", H106, " ", H107)</f>
        <v xml:space="preserve">                             </v>
      </c>
      <c r="AC83" t="s">
        <v>164</v>
      </c>
      <c r="AD83" t="str">
        <f>CONCATENATE(Q78, " ", Q79, " ", Q80, " ", Q81, " ", Q82, " ", Q83, " ", Q84, " ", Q85, " ", Q86, " ", Q87, " ", Q88, " ", Q89, " ", Q90, " ", Q91, " ", Q92, " ", Q93, " ", Q94, " ", Q95, " ", Q96, " ", Q97, " ", Q98, " ", Q99, " ", Q100, " ", Q101, " ", Q102, " ", Q103, " ", Q104, " ", Q105, " ", Q106, " ", Q107)</f>
        <v xml:space="preserve">                             </v>
      </c>
    </row>
    <row r="84" spans="1:30" x14ac:dyDescent="0.2">
      <c r="A84" s="7">
        <v>7</v>
      </c>
      <c r="B84" s="184">
        <f>IF('AFNI STIM FILES'!T82="Approach",'AFNI STIM FILES'!C82, "")</f>
        <v>107.98</v>
      </c>
      <c r="C84" s="184">
        <f>IF('AFNI STIM FILES'!T82="Approach",'AFNI STIM FILES'!E82, "")</f>
        <v>111.97</v>
      </c>
      <c r="D84" s="184" t="str">
        <f>IF('AFNI STIM FILES'!T82="Ambivalent",'AFNI STIM FILES'!$C82, "")</f>
        <v/>
      </c>
      <c r="E84" s="184" t="str">
        <f>IF('AFNI STIM FILES'!T82="Ambivalent",'AFNI STIM FILES'!$E82, "")</f>
        <v/>
      </c>
      <c r="F84" s="184" t="str">
        <f>IF('AFNI STIM FILES'!T82="Avoid",'AFNI STIM FILES'!$C82, "")</f>
        <v/>
      </c>
      <c r="G84" s="184" t="str">
        <f>IF('AFNI STIM FILES'!T82="Avoid",'AFNI STIM FILES'!$E82, "")</f>
        <v/>
      </c>
      <c r="H84" s="184" t="str">
        <f>IF('AFNI STIM FILES'!T82="Missing",'AFNI STIM FILES'!$C82, "")</f>
        <v/>
      </c>
      <c r="I84" s="184" t="str">
        <f>IF('AFNI STIM FILES'!T82="Missing",'AFNI STIM FILES'!$E82, "")</f>
        <v/>
      </c>
      <c r="K84" s="184">
        <f>IF('AFNI STIM FILES'!T82="Approach",'AFNI STIM FILES'!$D82, "")</f>
        <v>3.99</v>
      </c>
      <c r="L84" s="184">
        <f>IF('AFNI STIM FILES'!T82="Approach",'AFNI STIM FILES'!$F82, "")</f>
        <v>2.84</v>
      </c>
      <c r="M84" s="184" t="str">
        <f>IF('AFNI STIM FILES'!T82="Ambivalent",'AFNI STIM FILES'!$D82, "")</f>
        <v/>
      </c>
      <c r="N84" s="184" t="str">
        <f>IF('AFNI STIM FILES'!T82="Ambivalent",'AFNI STIM FILES'!$F82, "")</f>
        <v/>
      </c>
      <c r="O84" s="184" t="str">
        <f>IF('AFNI STIM FILES'!T82="Avoid",'AFNI STIM FILES'!$D82, "")</f>
        <v/>
      </c>
      <c r="P84" s="184" t="str">
        <f>IF('AFNI STIM FILES'!T82="Avoid",'AFNI STIM FILES'!$F82, "")</f>
        <v/>
      </c>
      <c r="Q84" s="184" t="str">
        <f>IF('AFNI STIM FILES'!T82="Missing",'AFNI STIM FILES'!$D82, "")</f>
        <v/>
      </c>
      <c r="R84" s="184" t="str">
        <f>IF('AFNI STIM FILES'!T82="Missing",'AFNI STIM FILES'!$F82, "")</f>
        <v/>
      </c>
      <c r="T84" t="s">
        <v>165</v>
      </c>
      <c r="U84" t="str">
        <f>CONCATENATE(I78, " ", I79, " ", I80, " ", I81, " ", I82, " ", I83, " ", I84, " ", I85, " ", I86, " ", I87, " ", I88, " ",  I89, " ", I90, " ", I91, " ", I92, " ", I93,  " ", I94, " ", I95, " ", I96, " ", I97, " ", I98, " ", I99, " ", I100, " ", I101, " ", I102, " ", I103, " ", I104, " ", I105, " ", I106, " ", I107)</f>
        <v xml:space="preserve">                             </v>
      </c>
      <c r="AC84" t="s">
        <v>165</v>
      </c>
      <c r="AD84" t="str">
        <f>CONCATENATE(R78, " ", R79, " ", R80, " ", R81, " ", R82, " ", R83, " ", R84, " ", R85, " ", R86, " ", R87, " ", R88, " ",  R89, " ", R90, " ", R91, " ", R92, " ", R93,  " ", R94, " ", R95, " ", R96, " ", R97, " ", R98, " ", R99, " ", R100, " ", R101, " ", R102, " ", R103, " ", R104, " ", R105, " ", R106, " ", R107)</f>
        <v xml:space="preserve">                             </v>
      </c>
    </row>
    <row r="85" spans="1:30" x14ac:dyDescent="0.2">
      <c r="A85" s="7">
        <v>8</v>
      </c>
      <c r="B85" s="184" t="str">
        <f>IF('AFNI STIM FILES'!T83="Approach",'AFNI STIM FILES'!C83, "")</f>
        <v/>
      </c>
      <c r="C85" s="184" t="str">
        <f>IF('AFNI STIM FILES'!T83="Approach",'AFNI STIM FILES'!E83, "")</f>
        <v/>
      </c>
      <c r="D85" s="184">
        <f>IF('AFNI STIM FILES'!T83="Ambivalent",'AFNI STIM FILES'!$C83, "")</f>
        <v>126.98</v>
      </c>
      <c r="E85" s="184">
        <f>IF('AFNI STIM FILES'!T83="Ambivalent",'AFNI STIM FILES'!$E83, "")</f>
        <v>130.97999999999999</v>
      </c>
      <c r="F85" s="184" t="str">
        <f>IF('AFNI STIM FILES'!T83="Avoid",'AFNI STIM FILES'!$C83, "")</f>
        <v/>
      </c>
      <c r="G85" s="184" t="str">
        <f>IF('AFNI STIM FILES'!T83="Avoid",'AFNI STIM FILES'!$E83, "")</f>
        <v/>
      </c>
      <c r="H85" s="184" t="str">
        <f>IF('AFNI STIM FILES'!T83="Missing",'AFNI STIM FILES'!$C83, "")</f>
        <v/>
      </c>
      <c r="I85" s="184" t="str">
        <f>IF('AFNI STIM FILES'!T83="Missing",'AFNI STIM FILES'!$E83, "")</f>
        <v/>
      </c>
      <c r="K85" s="184" t="str">
        <f>IF('AFNI STIM FILES'!T83="Approach",'AFNI STIM FILES'!$D83, "")</f>
        <v/>
      </c>
      <c r="L85" s="184" t="str">
        <f>IF('AFNI STIM FILES'!T83="Approach",'AFNI STIM FILES'!$F83, "")</f>
        <v/>
      </c>
      <c r="M85" s="184">
        <f>IF('AFNI STIM FILES'!T83="Ambivalent",'AFNI STIM FILES'!$D83, "")</f>
        <v>4</v>
      </c>
      <c r="N85" s="184">
        <f>IF('AFNI STIM FILES'!T83="Ambivalent",'AFNI STIM FILES'!$F83, "")</f>
        <v>2.89</v>
      </c>
      <c r="O85" s="184" t="str">
        <f>IF('AFNI STIM FILES'!T83="Avoid",'AFNI STIM FILES'!$D83, "")</f>
        <v/>
      </c>
      <c r="P85" s="184" t="str">
        <f>IF('AFNI STIM FILES'!T83="Avoid",'AFNI STIM FILES'!$F83, "")</f>
        <v/>
      </c>
      <c r="Q85" s="184" t="str">
        <f>IF('AFNI STIM FILES'!T83="Missing",'AFNI STIM FILES'!$D83, "")</f>
        <v/>
      </c>
      <c r="R85" s="184" t="str">
        <f>IF('AFNI STIM FILES'!T83="Missing",'AFNI STIM FILES'!$F83, "")</f>
        <v/>
      </c>
    </row>
    <row r="86" spans="1:30" x14ac:dyDescent="0.2">
      <c r="A86" s="7">
        <v>9</v>
      </c>
      <c r="B86" s="184" t="str">
        <f>IF('AFNI STIM FILES'!T84="Approach",'AFNI STIM FILES'!C84, "")</f>
        <v/>
      </c>
      <c r="C86" s="184" t="str">
        <f>IF('AFNI STIM FILES'!T84="Approach",'AFNI STIM FILES'!E84, "")</f>
        <v/>
      </c>
      <c r="D86" s="184" t="str">
        <f>IF('AFNI STIM FILES'!T84="Ambivalent",'AFNI STIM FILES'!$C84, "")</f>
        <v/>
      </c>
      <c r="E86" s="184" t="str">
        <f>IF('AFNI STIM FILES'!T84="Ambivalent",'AFNI STIM FILES'!$E84, "")</f>
        <v/>
      </c>
      <c r="F86" s="184">
        <f>IF('AFNI STIM FILES'!T84="Avoid",'AFNI STIM FILES'!$C84, "")</f>
        <v>145.97999999999999</v>
      </c>
      <c r="G86" s="184">
        <f>IF('AFNI STIM FILES'!T84="Avoid",'AFNI STIM FILES'!$E84, "")</f>
        <v>149.97999999999999</v>
      </c>
      <c r="H86" s="184" t="str">
        <f>IF('AFNI STIM FILES'!T84="Missing",'AFNI STIM FILES'!$C84, "")</f>
        <v/>
      </c>
      <c r="I86" s="184" t="str">
        <f>IF('AFNI STIM FILES'!T84="Missing",'AFNI STIM FILES'!$E84, "")</f>
        <v/>
      </c>
      <c r="K86" s="184" t="str">
        <f>IF('AFNI STIM FILES'!T84="Approach",'AFNI STIM FILES'!$D84, "")</f>
        <v/>
      </c>
      <c r="L86" s="184" t="str">
        <f>IF('AFNI STIM FILES'!T84="Approach",'AFNI STIM FILES'!$F84, "")</f>
        <v/>
      </c>
      <c r="M86" s="184" t="str">
        <f>IF('AFNI STIM FILES'!T84="Ambivalent",'AFNI STIM FILES'!$D84, "")</f>
        <v/>
      </c>
      <c r="N86" s="184" t="str">
        <f>IF('AFNI STIM FILES'!T84="Ambivalent",'AFNI STIM FILES'!$F84, "")</f>
        <v/>
      </c>
      <c r="O86" s="184">
        <f>IF('AFNI STIM FILES'!T84="Avoid",'AFNI STIM FILES'!$D84, "")</f>
        <v>4</v>
      </c>
      <c r="P86" s="184">
        <f>IF('AFNI STIM FILES'!T84="Avoid",'AFNI STIM FILES'!$F84, "")</f>
        <v>2.33</v>
      </c>
      <c r="Q86" s="184" t="str">
        <f>IF('AFNI STIM FILES'!T84="Missing",'AFNI STIM FILES'!$D84, "")</f>
        <v/>
      </c>
      <c r="R86" s="184" t="str">
        <f>IF('AFNI STIM FILES'!T84="Missing",'AFNI STIM FILES'!$F84, "")</f>
        <v/>
      </c>
    </row>
    <row r="87" spans="1:30" x14ac:dyDescent="0.2">
      <c r="A87" s="7">
        <v>10</v>
      </c>
      <c r="B87" s="184" t="str">
        <f>IF('AFNI STIM FILES'!T85="Approach",'AFNI STIM FILES'!C85, "")</f>
        <v/>
      </c>
      <c r="C87" s="184" t="str">
        <f>IF('AFNI STIM FILES'!T85="Approach",'AFNI STIM FILES'!E85, "")</f>
        <v/>
      </c>
      <c r="D87" s="184">
        <f>IF('AFNI STIM FILES'!T85="Ambivalent",'AFNI STIM FILES'!$C85, "")</f>
        <v>166.98</v>
      </c>
      <c r="E87" s="184">
        <f>IF('AFNI STIM FILES'!T85="Ambivalent",'AFNI STIM FILES'!$E85, "")</f>
        <v>170.98</v>
      </c>
      <c r="F87" s="184" t="str">
        <f>IF('AFNI STIM FILES'!T85="Avoid",'AFNI STIM FILES'!$C85, "")</f>
        <v/>
      </c>
      <c r="G87" s="184" t="str">
        <f>IF('AFNI STIM FILES'!T85="Avoid",'AFNI STIM FILES'!$E85, "")</f>
        <v/>
      </c>
      <c r="H87" s="184" t="str">
        <f>IF('AFNI STIM FILES'!T85="Missing",'AFNI STIM FILES'!$C85, "")</f>
        <v/>
      </c>
      <c r="I87" s="184" t="str">
        <f>IF('AFNI STIM FILES'!T85="Missing",'AFNI STIM FILES'!$E85, "")</f>
        <v/>
      </c>
      <c r="K87" s="184" t="str">
        <f>IF('AFNI STIM FILES'!T85="Approach",'AFNI STIM FILES'!$D85, "")</f>
        <v/>
      </c>
      <c r="L87" s="184" t="str">
        <f>IF('AFNI STIM FILES'!T85="Approach",'AFNI STIM FILES'!$F85, "")</f>
        <v/>
      </c>
      <c r="M87" s="184">
        <f>IF('AFNI STIM FILES'!T85="Ambivalent",'AFNI STIM FILES'!$D85, "")</f>
        <v>4</v>
      </c>
      <c r="N87" s="184">
        <f>IF('AFNI STIM FILES'!T85="Ambivalent",'AFNI STIM FILES'!$F85, "")</f>
        <v>2.6</v>
      </c>
      <c r="O87" s="184" t="str">
        <f>IF('AFNI STIM FILES'!T85="Avoid",'AFNI STIM FILES'!$D85, "")</f>
        <v/>
      </c>
      <c r="P87" s="184" t="str">
        <f>IF('AFNI STIM FILES'!T85="Avoid",'AFNI STIM FILES'!$F85, "")</f>
        <v/>
      </c>
      <c r="Q87" s="184" t="str">
        <f>IF('AFNI STIM FILES'!T85="Missing",'AFNI STIM FILES'!$D85, "")</f>
        <v/>
      </c>
      <c r="R87" s="184" t="str">
        <f>IF('AFNI STIM FILES'!T85="Missing",'AFNI STIM FILES'!$F85, "")</f>
        <v/>
      </c>
    </row>
    <row r="88" spans="1:30" x14ac:dyDescent="0.2">
      <c r="A88" s="7">
        <v>11</v>
      </c>
      <c r="B88" s="184" t="str">
        <f>IF('AFNI STIM FILES'!T86="Approach",'AFNI STIM FILES'!C86, "")</f>
        <v/>
      </c>
      <c r="C88" s="184" t="str">
        <f>IF('AFNI STIM FILES'!T86="Approach",'AFNI STIM FILES'!E86, "")</f>
        <v/>
      </c>
      <c r="D88" s="184" t="str">
        <f>IF('AFNI STIM FILES'!T86="Ambivalent",'AFNI STIM FILES'!$C86, "")</f>
        <v/>
      </c>
      <c r="E88" s="184" t="str">
        <f>IF('AFNI STIM FILES'!T86="Ambivalent",'AFNI STIM FILES'!$E86, "")</f>
        <v/>
      </c>
      <c r="F88" s="184">
        <f>IF('AFNI STIM FILES'!T86="Avoid",'AFNI STIM FILES'!$C86, "")</f>
        <v>181.97</v>
      </c>
      <c r="G88" s="184">
        <f>IF('AFNI STIM FILES'!T86="Avoid",'AFNI STIM FILES'!$E86, "")</f>
        <v>185.97</v>
      </c>
      <c r="H88" s="184" t="str">
        <f>IF('AFNI STIM FILES'!T86="Missing",'AFNI STIM FILES'!$C86, "")</f>
        <v/>
      </c>
      <c r="I88" s="184" t="str">
        <f>IF('AFNI STIM FILES'!T86="Missing",'AFNI STIM FILES'!$E86, "")</f>
        <v/>
      </c>
      <c r="K88" s="184" t="str">
        <f>IF('AFNI STIM FILES'!T86="Approach",'AFNI STIM FILES'!$D86, "")</f>
        <v/>
      </c>
      <c r="L88" s="184" t="str">
        <f>IF('AFNI STIM FILES'!T86="Approach",'AFNI STIM FILES'!$F86, "")</f>
        <v/>
      </c>
      <c r="M88" s="184" t="str">
        <f>IF('AFNI STIM FILES'!T86="Ambivalent",'AFNI STIM FILES'!$D86, "")</f>
        <v/>
      </c>
      <c r="N88" s="184" t="str">
        <f>IF('AFNI STIM FILES'!T86="Ambivalent",'AFNI STIM FILES'!$F86, "")</f>
        <v/>
      </c>
      <c r="O88" s="184">
        <f>IF('AFNI STIM FILES'!T86="Avoid",'AFNI STIM FILES'!$D86, "")</f>
        <v>4</v>
      </c>
      <c r="P88" s="184">
        <f>IF('AFNI STIM FILES'!T86="Avoid",'AFNI STIM FILES'!$F86, "")</f>
        <v>2.48</v>
      </c>
      <c r="Q88" s="184" t="str">
        <f>IF('AFNI STIM FILES'!T86="Missing",'AFNI STIM FILES'!$D86, "")</f>
        <v/>
      </c>
      <c r="R88" s="184" t="str">
        <f>IF('AFNI STIM FILES'!T86="Missing",'AFNI STIM FILES'!$F86, "")</f>
        <v/>
      </c>
    </row>
    <row r="89" spans="1:30" x14ac:dyDescent="0.2">
      <c r="A89" s="7">
        <v>12</v>
      </c>
      <c r="B89" s="184">
        <f>IF('AFNI STIM FILES'!T87="Approach",'AFNI STIM FILES'!C87, "")</f>
        <v>196.98</v>
      </c>
      <c r="C89" s="184">
        <f>IF('AFNI STIM FILES'!T87="Approach",'AFNI STIM FILES'!E87, "")</f>
        <v>200.97</v>
      </c>
      <c r="D89" s="184" t="str">
        <f>IF('AFNI STIM FILES'!T87="Ambivalent",'AFNI STIM FILES'!$C87, "")</f>
        <v/>
      </c>
      <c r="E89" s="184" t="str">
        <f>IF('AFNI STIM FILES'!T87="Ambivalent",'AFNI STIM FILES'!$E87, "")</f>
        <v/>
      </c>
      <c r="F89" s="184" t="str">
        <f>IF('AFNI STIM FILES'!T87="Avoid",'AFNI STIM FILES'!$C87, "")</f>
        <v/>
      </c>
      <c r="G89" s="184" t="str">
        <f>IF('AFNI STIM FILES'!T87="Avoid",'AFNI STIM FILES'!$E87, "")</f>
        <v/>
      </c>
      <c r="H89" s="184" t="str">
        <f>IF('AFNI STIM FILES'!T87="Missing",'AFNI STIM FILES'!$C87, "")</f>
        <v/>
      </c>
      <c r="I89" s="184" t="str">
        <f>IF('AFNI STIM FILES'!T87="Missing",'AFNI STIM FILES'!$E87, "")</f>
        <v/>
      </c>
      <c r="K89" s="184">
        <f>IF('AFNI STIM FILES'!T87="Approach",'AFNI STIM FILES'!$D87, "")</f>
        <v>3.99</v>
      </c>
      <c r="L89" s="184">
        <f>IF('AFNI STIM FILES'!T87="Approach",'AFNI STIM FILES'!$F87, "")</f>
        <v>2.84</v>
      </c>
      <c r="M89" s="184" t="str">
        <f>IF('AFNI STIM FILES'!T87="Ambivalent",'AFNI STIM FILES'!$D87, "")</f>
        <v/>
      </c>
      <c r="N89" s="184" t="str">
        <f>IF('AFNI STIM FILES'!T87="Ambivalent",'AFNI STIM FILES'!$F87, "")</f>
        <v/>
      </c>
      <c r="O89" s="184" t="str">
        <f>IF('AFNI STIM FILES'!T87="Avoid",'AFNI STIM FILES'!$D87, "")</f>
        <v/>
      </c>
      <c r="P89" s="184" t="str">
        <f>IF('AFNI STIM FILES'!T87="Avoid",'AFNI STIM FILES'!$F87, "")</f>
        <v/>
      </c>
      <c r="Q89" s="184" t="str">
        <f>IF('AFNI STIM FILES'!T87="Missing",'AFNI STIM FILES'!$D87, "")</f>
        <v/>
      </c>
      <c r="R89" s="184" t="str">
        <f>IF('AFNI STIM FILES'!T87="Missing",'AFNI STIM FILES'!$F87, "")</f>
        <v/>
      </c>
    </row>
    <row r="90" spans="1:30" x14ac:dyDescent="0.2">
      <c r="A90" s="7">
        <v>13</v>
      </c>
      <c r="B90" s="184" t="str">
        <f>IF('AFNI STIM FILES'!T88="Approach",'AFNI STIM FILES'!C88, "")</f>
        <v/>
      </c>
      <c r="C90" s="184" t="str">
        <f>IF('AFNI STIM FILES'!T88="Approach",'AFNI STIM FILES'!E88, "")</f>
        <v/>
      </c>
      <c r="D90" s="184">
        <f>IF('AFNI STIM FILES'!T88="Ambivalent",'AFNI STIM FILES'!$C88, "")</f>
        <v>209.98</v>
      </c>
      <c r="E90" s="184">
        <f>IF('AFNI STIM FILES'!T88="Ambivalent",'AFNI STIM FILES'!$E88, "")</f>
        <v>213.98</v>
      </c>
      <c r="F90" s="184" t="str">
        <f>IF('AFNI STIM FILES'!T88="Avoid",'AFNI STIM FILES'!$C88, "")</f>
        <v/>
      </c>
      <c r="G90" s="184" t="str">
        <f>IF('AFNI STIM FILES'!T88="Avoid",'AFNI STIM FILES'!$E88, "")</f>
        <v/>
      </c>
      <c r="H90" s="184" t="str">
        <f>IF('AFNI STIM FILES'!T88="Missing",'AFNI STIM FILES'!$C88, "")</f>
        <v/>
      </c>
      <c r="I90" s="184" t="str">
        <f>IF('AFNI STIM FILES'!T88="Missing",'AFNI STIM FILES'!$E88, "")</f>
        <v/>
      </c>
      <c r="K90" s="184" t="str">
        <f>IF('AFNI STIM FILES'!T88="Approach",'AFNI STIM FILES'!$D88, "")</f>
        <v/>
      </c>
      <c r="L90" s="184" t="str">
        <f>IF('AFNI STIM FILES'!T88="Approach",'AFNI STIM FILES'!$F88, "")</f>
        <v/>
      </c>
      <c r="M90" s="184">
        <f>IF('AFNI STIM FILES'!T88="Ambivalent",'AFNI STIM FILES'!$D88, "")</f>
        <v>4</v>
      </c>
      <c r="N90" s="184">
        <f>IF('AFNI STIM FILES'!T88="Ambivalent",'AFNI STIM FILES'!$F88, "")</f>
        <v>1.75</v>
      </c>
      <c r="O90" s="184" t="str">
        <f>IF('AFNI STIM FILES'!T88="Avoid",'AFNI STIM FILES'!$D88, "")</f>
        <v/>
      </c>
      <c r="P90" s="184" t="str">
        <f>IF('AFNI STIM FILES'!T88="Avoid",'AFNI STIM FILES'!$F88, "")</f>
        <v/>
      </c>
      <c r="Q90" s="184" t="str">
        <f>IF('AFNI STIM FILES'!T88="Missing",'AFNI STIM FILES'!$D88, "")</f>
        <v/>
      </c>
      <c r="R90" s="184" t="str">
        <f>IF('AFNI STIM FILES'!T88="Missing",'AFNI STIM FILES'!$F88, "")</f>
        <v/>
      </c>
    </row>
    <row r="91" spans="1:30" x14ac:dyDescent="0.2">
      <c r="A91" s="7">
        <v>14</v>
      </c>
      <c r="B91" s="184" t="str">
        <f>IF('AFNI STIM FILES'!T89="Approach",'AFNI STIM FILES'!C89, "")</f>
        <v/>
      </c>
      <c r="C91" s="184" t="str">
        <f>IF('AFNI STIM FILES'!T89="Approach",'AFNI STIM FILES'!E89, "")</f>
        <v/>
      </c>
      <c r="D91" s="184">
        <f>IF('AFNI STIM FILES'!T89="Ambivalent",'AFNI STIM FILES'!$C89, "")</f>
        <v>232.98</v>
      </c>
      <c r="E91" s="184">
        <f>IF('AFNI STIM FILES'!T89="Ambivalent",'AFNI STIM FILES'!$E89, "")</f>
        <v>236.98</v>
      </c>
      <c r="F91" s="184" t="str">
        <f>IF('AFNI STIM FILES'!T89="Avoid",'AFNI STIM FILES'!$C89, "")</f>
        <v/>
      </c>
      <c r="G91" s="184" t="str">
        <f>IF('AFNI STIM FILES'!T89="Avoid",'AFNI STIM FILES'!$E89, "")</f>
        <v/>
      </c>
      <c r="H91" s="184" t="str">
        <f>IF('AFNI STIM FILES'!T89="Missing",'AFNI STIM FILES'!$C89, "")</f>
        <v/>
      </c>
      <c r="I91" s="184" t="str">
        <f>IF('AFNI STIM FILES'!T89="Missing",'AFNI STIM FILES'!$E89, "")</f>
        <v/>
      </c>
      <c r="K91" s="184" t="str">
        <f>IF('AFNI STIM FILES'!T89="Approach",'AFNI STIM FILES'!$D89, "")</f>
        <v/>
      </c>
      <c r="L91" s="184" t="str">
        <f>IF('AFNI STIM FILES'!T89="Approach",'AFNI STIM FILES'!$F89, "")</f>
        <v/>
      </c>
      <c r="M91" s="184">
        <f>IF('AFNI STIM FILES'!T89="Ambivalent",'AFNI STIM FILES'!$D89, "")</f>
        <v>4</v>
      </c>
      <c r="N91" s="184">
        <f>IF('AFNI STIM FILES'!T89="Ambivalent",'AFNI STIM FILES'!$F89, "")</f>
        <v>2.4</v>
      </c>
      <c r="O91" s="184" t="str">
        <f>IF('AFNI STIM FILES'!T89="Avoid",'AFNI STIM FILES'!$D89, "")</f>
        <v/>
      </c>
      <c r="P91" s="184" t="str">
        <f>IF('AFNI STIM FILES'!T89="Avoid",'AFNI STIM FILES'!$F89, "")</f>
        <v/>
      </c>
      <c r="Q91" s="184" t="str">
        <f>IF('AFNI STIM FILES'!T89="Missing",'AFNI STIM FILES'!$D89, "")</f>
        <v/>
      </c>
      <c r="R91" s="184" t="str">
        <f>IF('AFNI STIM FILES'!T89="Missing",'AFNI STIM FILES'!$F89, "")</f>
        <v/>
      </c>
    </row>
    <row r="92" spans="1:30" x14ac:dyDescent="0.2">
      <c r="A92" s="7">
        <v>15</v>
      </c>
      <c r="B92" s="184" t="str">
        <f>IF('AFNI STIM FILES'!T90="Approach",'AFNI STIM FILES'!C90, "")</f>
        <v/>
      </c>
      <c r="C92" s="184" t="str">
        <f>IF('AFNI STIM FILES'!T90="Approach",'AFNI STIM FILES'!E90, "")</f>
        <v/>
      </c>
      <c r="D92" s="184" t="str">
        <f>IF('AFNI STIM FILES'!T90="Ambivalent",'AFNI STIM FILES'!$C90, "")</f>
        <v/>
      </c>
      <c r="E92" s="184" t="str">
        <f>IF('AFNI STIM FILES'!T90="Ambivalent",'AFNI STIM FILES'!$E90, "")</f>
        <v/>
      </c>
      <c r="F92" s="184">
        <f>IF('AFNI STIM FILES'!T90="Avoid",'AFNI STIM FILES'!$C90, "")</f>
        <v>247.97</v>
      </c>
      <c r="G92" s="184">
        <f>IF('AFNI STIM FILES'!T90="Avoid",'AFNI STIM FILES'!$E90, "")</f>
        <v>251.97</v>
      </c>
      <c r="H92" s="184" t="str">
        <f>IF('AFNI STIM FILES'!T90="Missing",'AFNI STIM FILES'!$C90, "")</f>
        <v/>
      </c>
      <c r="I92" s="184" t="str">
        <f>IF('AFNI STIM FILES'!T90="Missing",'AFNI STIM FILES'!$E90, "")</f>
        <v/>
      </c>
      <c r="K92" s="184" t="str">
        <f>IF('AFNI STIM FILES'!T90="Approach",'AFNI STIM FILES'!$D90, "")</f>
        <v/>
      </c>
      <c r="L92" s="184" t="str">
        <f>IF('AFNI STIM FILES'!T90="Approach",'AFNI STIM FILES'!$F90, "")</f>
        <v/>
      </c>
      <c r="M92" s="184" t="str">
        <f>IF('AFNI STIM FILES'!T90="Ambivalent",'AFNI STIM FILES'!$D90, "")</f>
        <v/>
      </c>
      <c r="N92" s="184" t="str">
        <f>IF('AFNI STIM FILES'!T90="Ambivalent",'AFNI STIM FILES'!$F90, "")</f>
        <v/>
      </c>
      <c r="O92" s="184">
        <f>IF('AFNI STIM FILES'!T90="Avoid",'AFNI STIM FILES'!$D90, "")</f>
        <v>4</v>
      </c>
      <c r="P92" s="184">
        <f>IF('AFNI STIM FILES'!T90="Avoid",'AFNI STIM FILES'!$F90, "")</f>
        <v>2.0699999999999998</v>
      </c>
      <c r="Q92" s="184" t="str">
        <f>IF('AFNI STIM FILES'!T90="Missing",'AFNI STIM FILES'!$D90, "")</f>
        <v/>
      </c>
      <c r="R92" s="184" t="str">
        <f>IF('AFNI STIM FILES'!T90="Missing",'AFNI STIM FILES'!$F90, "")</f>
        <v/>
      </c>
    </row>
    <row r="93" spans="1:30" x14ac:dyDescent="0.2">
      <c r="A93" s="7">
        <v>16</v>
      </c>
      <c r="B93" s="184" t="str">
        <f>IF('AFNI STIM FILES'!T91="Approach",'AFNI STIM FILES'!C91, "")</f>
        <v/>
      </c>
      <c r="C93" s="184" t="str">
        <f>IF('AFNI STIM FILES'!T91="Approach",'AFNI STIM FILES'!E91, "")</f>
        <v/>
      </c>
      <c r="D93" s="184">
        <f>IF('AFNI STIM FILES'!T91="Ambivalent",'AFNI STIM FILES'!$C91, "")</f>
        <v>264.98</v>
      </c>
      <c r="E93" s="184">
        <f>IF('AFNI STIM FILES'!T91="Ambivalent",'AFNI STIM FILES'!$E91, "")</f>
        <v>268.97000000000003</v>
      </c>
      <c r="F93" s="184" t="str">
        <f>IF('AFNI STIM FILES'!T91="Avoid",'AFNI STIM FILES'!$C91, "")</f>
        <v/>
      </c>
      <c r="G93" s="184" t="str">
        <f>IF('AFNI STIM FILES'!T91="Avoid",'AFNI STIM FILES'!$E91, "")</f>
        <v/>
      </c>
      <c r="H93" s="184" t="str">
        <f>IF('AFNI STIM FILES'!T91="Missing",'AFNI STIM FILES'!$C91, "")</f>
        <v/>
      </c>
      <c r="I93" s="184" t="str">
        <f>IF('AFNI STIM FILES'!T91="Missing",'AFNI STIM FILES'!$E91, "")</f>
        <v/>
      </c>
      <c r="K93" s="184" t="str">
        <f>IF('AFNI STIM FILES'!T91="Approach",'AFNI STIM FILES'!$D91, "")</f>
        <v/>
      </c>
      <c r="L93" s="184" t="str">
        <f>IF('AFNI STIM FILES'!T91="Approach",'AFNI STIM FILES'!$F91, "")</f>
        <v/>
      </c>
      <c r="M93" s="184">
        <f>IF('AFNI STIM FILES'!T91="Ambivalent",'AFNI STIM FILES'!$D91, "")</f>
        <v>3.99</v>
      </c>
      <c r="N93" s="184">
        <f>IF('AFNI STIM FILES'!T91="Ambivalent",'AFNI STIM FILES'!$F91, "")</f>
        <v>1.48</v>
      </c>
      <c r="O93" s="184" t="str">
        <f>IF('AFNI STIM FILES'!T91="Avoid",'AFNI STIM FILES'!$D91, "")</f>
        <v/>
      </c>
      <c r="P93" s="184" t="str">
        <f>IF('AFNI STIM FILES'!T91="Avoid",'AFNI STIM FILES'!$F91, "")</f>
        <v/>
      </c>
      <c r="Q93" s="184" t="str">
        <f>IF('AFNI STIM FILES'!T91="Missing",'AFNI STIM FILES'!$D91, "")</f>
        <v/>
      </c>
      <c r="R93" s="184" t="str">
        <f>IF('AFNI STIM FILES'!T91="Missing",'AFNI STIM FILES'!$F91, "")</f>
        <v/>
      </c>
    </row>
    <row r="94" spans="1:30" x14ac:dyDescent="0.2">
      <c r="A94" s="7">
        <v>17</v>
      </c>
      <c r="B94" s="184" t="str">
        <f>IF('AFNI STIM FILES'!T92="Approach",'AFNI STIM FILES'!C92, "")</f>
        <v/>
      </c>
      <c r="C94" s="184" t="str">
        <f>IF('AFNI STIM FILES'!T92="Approach",'AFNI STIM FILES'!E92, "")</f>
        <v/>
      </c>
      <c r="D94" s="184">
        <f>IF('AFNI STIM FILES'!T92="Ambivalent",'AFNI STIM FILES'!$C92, "")</f>
        <v>279.98</v>
      </c>
      <c r="E94" s="184">
        <f>IF('AFNI STIM FILES'!T92="Ambivalent",'AFNI STIM FILES'!$E92, "")</f>
        <v>283.98</v>
      </c>
      <c r="F94" s="184" t="str">
        <f>IF('AFNI STIM FILES'!T92="Avoid",'AFNI STIM FILES'!$C92, "")</f>
        <v/>
      </c>
      <c r="G94" s="184" t="str">
        <f>IF('AFNI STIM FILES'!T92="Avoid",'AFNI STIM FILES'!$E92, "")</f>
        <v/>
      </c>
      <c r="H94" s="184" t="str">
        <f>IF('AFNI STIM FILES'!T92="Missing",'AFNI STIM FILES'!$C92, "")</f>
        <v/>
      </c>
      <c r="I94" s="184" t="str">
        <f>IF('AFNI STIM FILES'!T92="Missing",'AFNI STIM FILES'!$E92, "")</f>
        <v/>
      </c>
      <c r="K94" s="184" t="str">
        <f>IF('AFNI STIM FILES'!T92="Approach",'AFNI STIM FILES'!$D92, "")</f>
        <v/>
      </c>
      <c r="L94" s="184" t="str">
        <f>IF('AFNI STIM FILES'!T92="Approach",'AFNI STIM FILES'!$F92, "")</f>
        <v/>
      </c>
      <c r="M94" s="184">
        <f>IF('AFNI STIM FILES'!T92="Ambivalent",'AFNI STIM FILES'!$D92, "")</f>
        <v>4</v>
      </c>
      <c r="N94" s="184">
        <f>IF('AFNI STIM FILES'!T92="Ambivalent",'AFNI STIM FILES'!$F92, "")</f>
        <v>2.25</v>
      </c>
      <c r="O94" s="184" t="str">
        <f>IF('AFNI STIM FILES'!T92="Avoid",'AFNI STIM FILES'!$D92, "")</f>
        <v/>
      </c>
      <c r="P94" s="184" t="str">
        <f>IF('AFNI STIM FILES'!T92="Avoid",'AFNI STIM FILES'!$F92, "")</f>
        <v/>
      </c>
      <c r="Q94" s="184" t="str">
        <f>IF('AFNI STIM FILES'!T92="Missing",'AFNI STIM FILES'!$D92, "")</f>
        <v/>
      </c>
      <c r="R94" s="184" t="str">
        <f>IF('AFNI STIM FILES'!T92="Missing",'AFNI STIM FILES'!$F92, "")</f>
        <v/>
      </c>
    </row>
    <row r="95" spans="1:30" x14ac:dyDescent="0.2">
      <c r="A95" s="7">
        <v>18</v>
      </c>
      <c r="B95" s="184" t="str">
        <f>IF('AFNI STIM FILES'!T93="Approach",'AFNI STIM FILES'!C93, "")</f>
        <v/>
      </c>
      <c r="C95" s="184" t="str">
        <f>IF('AFNI STIM FILES'!T93="Approach",'AFNI STIM FILES'!E93, "")</f>
        <v/>
      </c>
      <c r="D95" s="184">
        <f>IF('AFNI STIM FILES'!T93="Ambivalent",'AFNI STIM FILES'!$C93, "")</f>
        <v>300.98</v>
      </c>
      <c r="E95" s="184">
        <f>IF('AFNI STIM FILES'!T93="Ambivalent",'AFNI STIM FILES'!$E93, "")</f>
        <v>304.98</v>
      </c>
      <c r="F95" s="184" t="str">
        <f>IF('AFNI STIM FILES'!T93="Avoid",'AFNI STIM FILES'!$C93, "")</f>
        <v/>
      </c>
      <c r="G95" s="184" t="str">
        <f>IF('AFNI STIM FILES'!T93="Avoid",'AFNI STIM FILES'!$E93, "")</f>
        <v/>
      </c>
      <c r="H95" s="184" t="str">
        <f>IF('AFNI STIM FILES'!T93="Missing",'AFNI STIM FILES'!$C93, "")</f>
        <v/>
      </c>
      <c r="I95" s="184" t="str">
        <f>IF('AFNI STIM FILES'!T93="Missing",'AFNI STIM FILES'!$E93, "")</f>
        <v/>
      </c>
      <c r="K95" s="184" t="str">
        <f>IF('AFNI STIM FILES'!T93="Approach",'AFNI STIM FILES'!$D93, "")</f>
        <v/>
      </c>
      <c r="L95" s="184" t="str">
        <f>IF('AFNI STIM FILES'!T93="Approach",'AFNI STIM FILES'!$F93, "")</f>
        <v/>
      </c>
      <c r="M95" s="184">
        <f>IF('AFNI STIM FILES'!T93="Ambivalent",'AFNI STIM FILES'!$D93, "")</f>
        <v>4</v>
      </c>
      <c r="N95" s="184">
        <f>IF('AFNI STIM FILES'!T93="Ambivalent",'AFNI STIM FILES'!$F93, "")</f>
        <v>1.77</v>
      </c>
      <c r="O95" s="184" t="str">
        <f>IF('AFNI STIM FILES'!T93="Avoid",'AFNI STIM FILES'!$D93, "")</f>
        <v/>
      </c>
      <c r="P95" s="184" t="str">
        <f>IF('AFNI STIM FILES'!T93="Avoid",'AFNI STIM FILES'!$F93, "")</f>
        <v/>
      </c>
      <c r="Q95" s="184" t="str">
        <f>IF('AFNI STIM FILES'!T93="Missing",'AFNI STIM FILES'!$D93, "")</f>
        <v/>
      </c>
      <c r="R95" s="184" t="str">
        <f>IF('AFNI STIM FILES'!T93="Missing",'AFNI STIM FILES'!$F93, "")</f>
        <v/>
      </c>
    </row>
    <row r="96" spans="1:30" x14ac:dyDescent="0.2">
      <c r="A96" s="7">
        <v>19</v>
      </c>
      <c r="B96" s="184" t="str">
        <f>IF('AFNI STIM FILES'!T94="Approach",'AFNI STIM FILES'!C94, "")</f>
        <v/>
      </c>
      <c r="C96" s="184" t="str">
        <f>IF('AFNI STIM FILES'!T94="Approach",'AFNI STIM FILES'!E94, "")</f>
        <v/>
      </c>
      <c r="D96" s="184">
        <f>IF('AFNI STIM FILES'!T94="Ambivalent",'AFNI STIM FILES'!$C94, "")</f>
        <v>313.97000000000003</v>
      </c>
      <c r="E96" s="184">
        <f>IF('AFNI STIM FILES'!T94="Ambivalent",'AFNI STIM FILES'!$E94, "")</f>
        <v>317.97000000000003</v>
      </c>
      <c r="F96" s="184" t="str">
        <f>IF('AFNI STIM FILES'!T94="Avoid",'AFNI STIM FILES'!$C94, "")</f>
        <v/>
      </c>
      <c r="G96" s="184" t="str">
        <f>IF('AFNI STIM FILES'!T94="Avoid",'AFNI STIM FILES'!$E94, "")</f>
        <v/>
      </c>
      <c r="H96" s="184" t="str">
        <f>IF('AFNI STIM FILES'!T94="Missing",'AFNI STIM FILES'!$C94, "")</f>
        <v/>
      </c>
      <c r="I96" s="184" t="str">
        <f>IF('AFNI STIM FILES'!T94="Missing",'AFNI STIM FILES'!$E94, "")</f>
        <v/>
      </c>
      <c r="K96" s="184" t="str">
        <f>IF('AFNI STIM FILES'!T94="Approach",'AFNI STIM FILES'!$D94, "")</f>
        <v/>
      </c>
      <c r="L96" s="184" t="str">
        <f>IF('AFNI STIM FILES'!T94="Approach",'AFNI STIM FILES'!$F94, "")</f>
        <v/>
      </c>
      <c r="M96" s="184">
        <f>IF('AFNI STIM FILES'!T94="Ambivalent",'AFNI STIM FILES'!$D94, "")</f>
        <v>4</v>
      </c>
      <c r="N96" s="184">
        <f>IF('AFNI STIM FILES'!T94="Ambivalent",'AFNI STIM FILES'!$F94, "")</f>
        <v>1.85</v>
      </c>
      <c r="O96" s="184" t="str">
        <f>IF('AFNI STIM FILES'!T94="Avoid",'AFNI STIM FILES'!$D94, "")</f>
        <v/>
      </c>
      <c r="P96" s="184" t="str">
        <f>IF('AFNI STIM FILES'!T94="Avoid",'AFNI STIM FILES'!$F94, "")</f>
        <v/>
      </c>
      <c r="Q96" s="184" t="str">
        <f>IF('AFNI STIM FILES'!T94="Missing",'AFNI STIM FILES'!$D94, "")</f>
        <v/>
      </c>
      <c r="R96" s="184" t="str">
        <f>IF('AFNI STIM FILES'!T94="Missing",'AFNI STIM FILES'!$F94, "")</f>
        <v/>
      </c>
    </row>
    <row r="97" spans="1:18" x14ac:dyDescent="0.2">
      <c r="A97" s="7">
        <v>20</v>
      </c>
      <c r="B97" s="184" t="str">
        <f>IF('AFNI STIM FILES'!T95="Approach",'AFNI STIM FILES'!C95, "")</f>
        <v/>
      </c>
      <c r="C97" s="184" t="str">
        <f>IF('AFNI STIM FILES'!T95="Approach",'AFNI STIM FILES'!E95, "")</f>
        <v/>
      </c>
      <c r="D97" s="184">
        <f>IF('AFNI STIM FILES'!T95="Ambivalent",'AFNI STIM FILES'!$C95, "")</f>
        <v>328.98</v>
      </c>
      <c r="E97" s="184">
        <f>IF('AFNI STIM FILES'!T95="Ambivalent",'AFNI STIM FILES'!$E95, "")</f>
        <v>332.97</v>
      </c>
      <c r="F97" s="184" t="str">
        <f>IF('AFNI STIM FILES'!T95="Avoid",'AFNI STIM FILES'!$C95, "")</f>
        <v/>
      </c>
      <c r="G97" s="184" t="str">
        <f>IF('AFNI STIM FILES'!T95="Avoid",'AFNI STIM FILES'!$E95, "")</f>
        <v/>
      </c>
      <c r="H97" s="184" t="str">
        <f>IF('AFNI STIM FILES'!T95="Missing",'AFNI STIM FILES'!$C95, "")</f>
        <v/>
      </c>
      <c r="I97" s="184" t="str">
        <f>IF('AFNI STIM FILES'!T95="Missing",'AFNI STIM FILES'!$E95, "")</f>
        <v/>
      </c>
      <c r="K97" s="184" t="str">
        <f>IF('AFNI STIM FILES'!T95="Approach",'AFNI STIM FILES'!$D95, "")</f>
        <v/>
      </c>
      <c r="L97" s="184" t="str">
        <f>IF('AFNI STIM FILES'!T95="Approach",'AFNI STIM FILES'!$F95, "")</f>
        <v/>
      </c>
      <c r="M97" s="184">
        <f>IF('AFNI STIM FILES'!T95="Ambivalent",'AFNI STIM FILES'!$D95, "")</f>
        <v>3.99</v>
      </c>
      <c r="N97" s="184">
        <f>IF('AFNI STIM FILES'!T95="Ambivalent",'AFNI STIM FILES'!$F95, "")</f>
        <v>2.74</v>
      </c>
      <c r="O97" s="184" t="str">
        <f>IF('AFNI STIM FILES'!T95="Avoid",'AFNI STIM FILES'!$D95, "")</f>
        <v/>
      </c>
      <c r="P97" s="184" t="str">
        <f>IF('AFNI STIM FILES'!T95="Avoid",'AFNI STIM FILES'!$F95, "")</f>
        <v/>
      </c>
      <c r="Q97" s="184" t="str">
        <f>IF('AFNI STIM FILES'!T95="Missing",'AFNI STIM FILES'!$D95, "")</f>
        <v/>
      </c>
      <c r="R97" s="184" t="str">
        <f>IF('AFNI STIM FILES'!T95="Missing",'AFNI STIM FILES'!$F95, "")</f>
        <v/>
      </c>
    </row>
    <row r="98" spans="1:18" x14ac:dyDescent="0.2">
      <c r="A98" s="7">
        <v>21</v>
      </c>
      <c r="B98" s="184" t="str">
        <f>IF('AFNI STIM FILES'!T96="Approach",'AFNI STIM FILES'!C96, "")</f>
        <v/>
      </c>
      <c r="C98" s="184" t="str">
        <f>IF('AFNI STIM FILES'!T96="Approach",'AFNI STIM FILES'!E96, "")</f>
        <v/>
      </c>
      <c r="D98" s="184">
        <f>IF('AFNI STIM FILES'!T96="Ambivalent",'AFNI STIM FILES'!$C96, "")</f>
        <v>343.98</v>
      </c>
      <c r="E98" s="184">
        <f>IF('AFNI STIM FILES'!T96="Ambivalent",'AFNI STIM FILES'!$E96, "")</f>
        <v>347.98</v>
      </c>
      <c r="F98" s="184" t="str">
        <f>IF('AFNI STIM FILES'!T96="Avoid",'AFNI STIM FILES'!$C96, "")</f>
        <v/>
      </c>
      <c r="G98" s="184" t="str">
        <f>IF('AFNI STIM FILES'!T96="Avoid",'AFNI STIM FILES'!$E96, "")</f>
        <v/>
      </c>
      <c r="H98" s="184" t="str">
        <f>IF('AFNI STIM FILES'!T96="Missing",'AFNI STIM FILES'!$C96, "")</f>
        <v/>
      </c>
      <c r="I98" s="184" t="str">
        <f>IF('AFNI STIM FILES'!T96="Missing",'AFNI STIM FILES'!$E96, "")</f>
        <v/>
      </c>
      <c r="K98" s="184" t="str">
        <f>IF('AFNI STIM FILES'!T96="Approach",'AFNI STIM FILES'!$D96, "")</f>
        <v/>
      </c>
      <c r="L98" s="184" t="str">
        <f>IF('AFNI STIM FILES'!T96="Approach",'AFNI STIM FILES'!$F96, "")</f>
        <v/>
      </c>
      <c r="M98" s="184">
        <f>IF('AFNI STIM FILES'!T96="Ambivalent",'AFNI STIM FILES'!$D96, "")</f>
        <v>4</v>
      </c>
      <c r="N98" s="184">
        <f>IF('AFNI STIM FILES'!T96="Ambivalent",'AFNI STIM FILES'!$F96, "")</f>
        <v>1.83</v>
      </c>
      <c r="O98" s="184" t="str">
        <f>IF('AFNI STIM FILES'!T96="Avoid",'AFNI STIM FILES'!$D96, "")</f>
        <v/>
      </c>
      <c r="P98" s="184" t="str">
        <f>IF('AFNI STIM FILES'!T96="Avoid",'AFNI STIM FILES'!$F96, "")</f>
        <v/>
      </c>
      <c r="Q98" s="184" t="str">
        <f>IF('AFNI STIM FILES'!T96="Missing",'AFNI STIM FILES'!$D96, "")</f>
        <v/>
      </c>
      <c r="R98" s="184" t="str">
        <f>IF('AFNI STIM FILES'!T96="Missing",'AFNI STIM FILES'!$F96, "")</f>
        <v/>
      </c>
    </row>
    <row r="99" spans="1:18" x14ac:dyDescent="0.2">
      <c r="A99" s="7">
        <v>22</v>
      </c>
      <c r="B99" s="184" t="str">
        <f>IF('AFNI STIM FILES'!T97="Approach",'AFNI STIM FILES'!C97, "")</f>
        <v/>
      </c>
      <c r="C99" s="184" t="str">
        <f>IF('AFNI STIM FILES'!T97="Approach",'AFNI STIM FILES'!E97, "")</f>
        <v/>
      </c>
      <c r="D99" s="184">
        <f>IF('AFNI STIM FILES'!T97="Ambivalent",'AFNI STIM FILES'!$C97, "")</f>
        <v>356.97</v>
      </c>
      <c r="E99" s="184">
        <f>IF('AFNI STIM FILES'!T97="Ambivalent",'AFNI STIM FILES'!$E97, "")</f>
        <v>360.97</v>
      </c>
      <c r="F99" s="184" t="str">
        <f>IF('AFNI STIM FILES'!T97="Avoid",'AFNI STIM FILES'!$C97, "")</f>
        <v/>
      </c>
      <c r="G99" s="184" t="str">
        <f>IF('AFNI STIM FILES'!T97="Avoid",'AFNI STIM FILES'!$E97, "")</f>
        <v/>
      </c>
      <c r="H99" s="184" t="str">
        <f>IF('AFNI STIM FILES'!T97="Missing",'AFNI STIM FILES'!$C97, "")</f>
        <v/>
      </c>
      <c r="I99" s="184" t="str">
        <f>IF('AFNI STIM FILES'!T97="Missing",'AFNI STIM FILES'!$E97, "")</f>
        <v/>
      </c>
      <c r="K99" s="184" t="str">
        <f>IF('AFNI STIM FILES'!T97="Approach",'AFNI STIM FILES'!$D97, "")</f>
        <v/>
      </c>
      <c r="L99" s="184" t="str">
        <f>IF('AFNI STIM FILES'!T97="Approach",'AFNI STIM FILES'!$F97, "")</f>
        <v/>
      </c>
      <c r="M99" s="184">
        <f>IF('AFNI STIM FILES'!T97="Ambivalent",'AFNI STIM FILES'!$D97, "")</f>
        <v>4</v>
      </c>
      <c r="N99" s="184">
        <f>IF('AFNI STIM FILES'!T97="Ambivalent",'AFNI STIM FILES'!$F97, "")</f>
        <v>3.54</v>
      </c>
      <c r="O99" s="184" t="str">
        <f>IF('AFNI STIM FILES'!T97="Avoid",'AFNI STIM FILES'!$D97, "")</f>
        <v/>
      </c>
      <c r="P99" s="184" t="str">
        <f>IF('AFNI STIM FILES'!T97="Avoid",'AFNI STIM FILES'!$F97, "")</f>
        <v/>
      </c>
      <c r="Q99" s="184" t="str">
        <f>IF('AFNI STIM FILES'!T97="Missing",'AFNI STIM FILES'!$D97, "")</f>
        <v/>
      </c>
      <c r="R99" s="184" t="str">
        <f>IF('AFNI STIM FILES'!T97="Missing",'AFNI STIM FILES'!$F97, "")</f>
        <v/>
      </c>
    </row>
    <row r="100" spans="1:18" x14ac:dyDescent="0.2">
      <c r="A100" s="7">
        <v>23</v>
      </c>
      <c r="B100" s="184" t="str">
        <f>IF('AFNI STIM FILES'!T98="Approach",'AFNI STIM FILES'!C98, "")</f>
        <v/>
      </c>
      <c r="C100" s="184" t="str">
        <f>IF('AFNI STIM FILES'!T98="Approach",'AFNI STIM FILES'!E98, "")</f>
        <v/>
      </c>
      <c r="D100" s="184">
        <f>IF('AFNI STIM FILES'!T98="Ambivalent",'AFNI STIM FILES'!$C98, "")</f>
        <v>377.97</v>
      </c>
      <c r="E100" s="184">
        <f>IF('AFNI STIM FILES'!T98="Ambivalent",'AFNI STIM FILES'!$E98, "")</f>
        <v>381.97</v>
      </c>
      <c r="F100" s="184" t="str">
        <f>IF('AFNI STIM FILES'!T98="Avoid",'AFNI STIM FILES'!$C98, "")</f>
        <v/>
      </c>
      <c r="G100" s="184" t="str">
        <f>IF('AFNI STIM FILES'!T98="Avoid",'AFNI STIM FILES'!$E98, "")</f>
        <v/>
      </c>
      <c r="H100" s="184" t="str">
        <f>IF('AFNI STIM FILES'!T98="Missing",'AFNI STIM FILES'!$C98, "")</f>
        <v/>
      </c>
      <c r="I100" s="184" t="str">
        <f>IF('AFNI STIM FILES'!T98="Missing",'AFNI STIM FILES'!$E98, "")</f>
        <v/>
      </c>
      <c r="K100" s="184" t="str">
        <f>IF('AFNI STIM FILES'!T98="Approach",'AFNI STIM FILES'!$D98, "")</f>
        <v/>
      </c>
      <c r="L100" s="184" t="str">
        <f>IF('AFNI STIM FILES'!T98="Approach",'AFNI STIM FILES'!$F98, "")</f>
        <v/>
      </c>
      <c r="M100" s="184">
        <f>IF('AFNI STIM FILES'!T98="Ambivalent",'AFNI STIM FILES'!$D98, "")</f>
        <v>4</v>
      </c>
      <c r="N100" s="184">
        <f>IF('AFNI STIM FILES'!T98="Ambivalent",'AFNI STIM FILES'!$F98, "")</f>
        <v>1.58</v>
      </c>
      <c r="O100" s="184" t="str">
        <f>IF('AFNI STIM FILES'!T98="Avoid",'AFNI STIM FILES'!$D98, "")</f>
        <v/>
      </c>
      <c r="P100" s="184" t="str">
        <f>IF('AFNI STIM FILES'!T98="Avoid",'AFNI STIM FILES'!$F98, "")</f>
        <v/>
      </c>
      <c r="Q100" s="184" t="str">
        <f>IF('AFNI STIM FILES'!T98="Missing",'AFNI STIM FILES'!$D98, "")</f>
        <v/>
      </c>
      <c r="R100" s="184" t="str">
        <f>IF('AFNI STIM FILES'!T98="Missing",'AFNI STIM FILES'!$F98, "")</f>
        <v/>
      </c>
    </row>
    <row r="101" spans="1:18" x14ac:dyDescent="0.2">
      <c r="A101" s="7">
        <v>24</v>
      </c>
      <c r="B101" s="184" t="str">
        <f>IF('AFNI STIM FILES'!T99="Approach",'AFNI STIM FILES'!C99, "")</f>
        <v/>
      </c>
      <c r="C101" s="184" t="str">
        <f>IF('AFNI STIM FILES'!T99="Approach",'AFNI STIM FILES'!E99, "")</f>
        <v/>
      </c>
      <c r="D101" s="184">
        <f>IF('AFNI STIM FILES'!T99="Ambivalent",'AFNI STIM FILES'!$C99, "")</f>
        <v>392.98</v>
      </c>
      <c r="E101" s="184">
        <f>IF('AFNI STIM FILES'!T99="Ambivalent",'AFNI STIM FILES'!$E99, "")</f>
        <v>396.98</v>
      </c>
      <c r="F101" s="184" t="str">
        <f>IF('AFNI STIM FILES'!T99="Avoid",'AFNI STIM FILES'!$C99, "")</f>
        <v/>
      </c>
      <c r="G101" s="184" t="str">
        <f>IF('AFNI STIM FILES'!T99="Avoid",'AFNI STIM FILES'!$E99, "")</f>
        <v/>
      </c>
      <c r="H101" s="184" t="str">
        <f>IF('AFNI STIM FILES'!T99="Missing",'AFNI STIM FILES'!$C99, "")</f>
        <v/>
      </c>
      <c r="I101" s="184" t="str">
        <f>IF('AFNI STIM FILES'!T99="Missing",'AFNI STIM FILES'!$E99, "")</f>
        <v/>
      </c>
      <c r="K101" s="184" t="str">
        <f>IF('AFNI STIM FILES'!T99="Approach",'AFNI STIM FILES'!$D99, "")</f>
        <v/>
      </c>
      <c r="L101" s="184" t="str">
        <f>IF('AFNI STIM FILES'!T99="Approach",'AFNI STIM FILES'!$F99, "")</f>
        <v/>
      </c>
      <c r="M101" s="184">
        <f>IF('AFNI STIM FILES'!T99="Ambivalent",'AFNI STIM FILES'!$D99, "")</f>
        <v>4</v>
      </c>
      <c r="N101" s="184">
        <f>IF('AFNI STIM FILES'!T99="Ambivalent",'AFNI STIM FILES'!$F99, "")</f>
        <v>2.48</v>
      </c>
      <c r="O101" s="184" t="str">
        <f>IF('AFNI STIM FILES'!T99="Avoid",'AFNI STIM FILES'!$D99, "")</f>
        <v/>
      </c>
      <c r="P101" s="184" t="str">
        <f>IF('AFNI STIM FILES'!T99="Avoid",'AFNI STIM FILES'!$F99, "")</f>
        <v/>
      </c>
      <c r="Q101" s="184" t="str">
        <f>IF('AFNI STIM FILES'!T99="Missing",'AFNI STIM FILES'!$D99, "")</f>
        <v/>
      </c>
      <c r="R101" s="184" t="str">
        <f>IF('AFNI STIM FILES'!T99="Missing",'AFNI STIM FILES'!$F99, "")</f>
        <v/>
      </c>
    </row>
    <row r="102" spans="1:18" x14ac:dyDescent="0.2">
      <c r="A102" s="7">
        <v>25</v>
      </c>
      <c r="B102" s="184" t="str">
        <f>IF('AFNI STIM FILES'!T100="Approach",'AFNI STIM FILES'!C100, "")</f>
        <v/>
      </c>
      <c r="C102" s="184" t="str">
        <f>IF('AFNI STIM FILES'!T100="Approach",'AFNI STIM FILES'!E100, "")</f>
        <v/>
      </c>
      <c r="D102" s="184">
        <f>IF('AFNI STIM FILES'!T100="Ambivalent",'AFNI STIM FILES'!$C100, "")</f>
        <v>405.97</v>
      </c>
      <c r="E102" s="184">
        <f>IF('AFNI STIM FILES'!T100="Ambivalent",'AFNI STIM FILES'!$E100, "")</f>
        <v>409.98</v>
      </c>
      <c r="F102" s="184" t="str">
        <f>IF('AFNI STIM FILES'!T100="Avoid",'AFNI STIM FILES'!$C100, "")</f>
        <v/>
      </c>
      <c r="G102" s="184" t="str">
        <f>IF('AFNI STIM FILES'!T100="Avoid",'AFNI STIM FILES'!$E100, "")</f>
        <v/>
      </c>
      <c r="H102" s="184" t="str">
        <f>IF('AFNI STIM FILES'!T100="Missing",'AFNI STIM FILES'!$C100, "")</f>
        <v/>
      </c>
      <c r="I102" s="184" t="str">
        <f>IF('AFNI STIM FILES'!T100="Missing",'AFNI STIM FILES'!$E100, "")</f>
        <v/>
      </c>
      <c r="K102" s="184" t="str">
        <f>IF('AFNI STIM FILES'!T100="Approach",'AFNI STIM FILES'!$D100, "")</f>
        <v/>
      </c>
      <c r="L102" s="184" t="str">
        <f>IF('AFNI STIM FILES'!T100="Approach",'AFNI STIM FILES'!$F100, "")</f>
        <v/>
      </c>
      <c r="M102" s="184">
        <f>IF('AFNI STIM FILES'!T100="Ambivalent",'AFNI STIM FILES'!$D100, "")</f>
        <v>4</v>
      </c>
      <c r="N102" s="184">
        <f>IF('AFNI STIM FILES'!T100="Ambivalent",'AFNI STIM FILES'!$F100, "")</f>
        <v>1.77</v>
      </c>
      <c r="O102" s="184" t="str">
        <f>IF('AFNI STIM FILES'!T100="Avoid",'AFNI STIM FILES'!$D100, "")</f>
        <v/>
      </c>
      <c r="P102" s="184" t="str">
        <f>IF('AFNI STIM FILES'!T100="Avoid",'AFNI STIM FILES'!$F100, "")</f>
        <v/>
      </c>
      <c r="Q102" s="184" t="str">
        <f>IF('AFNI STIM FILES'!T100="Missing",'AFNI STIM FILES'!$D100, "")</f>
        <v/>
      </c>
      <c r="R102" s="184" t="str">
        <f>IF('AFNI STIM FILES'!T100="Missing",'AFNI STIM FILES'!$F100, "")</f>
        <v/>
      </c>
    </row>
    <row r="103" spans="1:18" x14ac:dyDescent="0.2">
      <c r="A103" s="7">
        <v>26</v>
      </c>
      <c r="B103" s="184" t="str">
        <f>IF('AFNI STIM FILES'!T101="Approach",'AFNI STIM FILES'!C101, "")</f>
        <v/>
      </c>
      <c r="C103" s="184" t="str">
        <f>IF('AFNI STIM FILES'!T101="Approach",'AFNI STIM FILES'!E101, "")</f>
        <v/>
      </c>
      <c r="D103" s="184">
        <f>IF('AFNI STIM FILES'!T101="Ambivalent",'AFNI STIM FILES'!$C101, "")</f>
        <v>420.98</v>
      </c>
      <c r="E103" s="184">
        <f>IF('AFNI STIM FILES'!T101="Ambivalent",'AFNI STIM FILES'!$E101, "")</f>
        <v>424.97</v>
      </c>
      <c r="F103" s="184" t="str">
        <f>IF('AFNI STIM FILES'!T101="Avoid",'AFNI STIM FILES'!$C101, "")</f>
        <v/>
      </c>
      <c r="G103" s="184" t="str">
        <f>IF('AFNI STIM FILES'!T101="Avoid",'AFNI STIM FILES'!$E101, "")</f>
        <v/>
      </c>
      <c r="H103" s="184" t="str">
        <f>IF('AFNI STIM FILES'!T101="Missing",'AFNI STIM FILES'!$C101, "")</f>
        <v/>
      </c>
      <c r="I103" s="184" t="str">
        <f>IF('AFNI STIM FILES'!T101="Missing",'AFNI STIM FILES'!$E101, "")</f>
        <v/>
      </c>
      <c r="K103" s="184" t="str">
        <f>IF('AFNI STIM FILES'!T101="Approach",'AFNI STIM FILES'!$D101, "")</f>
        <v/>
      </c>
      <c r="L103" s="184" t="str">
        <f>IF('AFNI STIM FILES'!T101="Approach",'AFNI STIM FILES'!$F101, "")</f>
        <v/>
      </c>
      <c r="M103" s="184">
        <f>IF('AFNI STIM FILES'!T101="Ambivalent",'AFNI STIM FILES'!$D101, "")</f>
        <v>3.99</v>
      </c>
      <c r="N103" s="184">
        <f>IF('AFNI STIM FILES'!T101="Ambivalent",'AFNI STIM FILES'!$F101, "")</f>
        <v>1.78</v>
      </c>
      <c r="O103" s="184" t="str">
        <f>IF('AFNI STIM FILES'!T101="Avoid",'AFNI STIM FILES'!$D101, "")</f>
        <v/>
      </c>
      <c r="P103" s="184" t="str">
        <f>IF('AFNI STIM FILES'!T101="Avoid",'AFNI STIM FILES'!$F101, "")</f>
        <v/>
      </c>
      <c r="Q103" s="184" t="str">
        <f>IF('AFNI STIM FILES'!T101="Missing",'AFNI STIM FILES'!$D101, "")</f>
        <v/>
      </c>
      <c r="R103" s="184" t="str">
        <f>IF('AFNI STIM FILES'!T101="Missing",'AFNI STIM FILES'!$F101, "")</f>
        <v/>
      </c>
    </row>
    <row r="104" spans="1:18" x14ac:dyDescent="0.2">
      <c r="A104" s="7">
        <v>27</v>
      </c>
      <c r="B104" s="184" t="str">
        <f>IF('AFNI STIM FILES'!T102="Approach",'AFNI STIM FILES'!C102, "")</f>
        <v/>
      </c>
      <c r="C104" s="184" t="str">
        <f>IF('AFNI STIM FILES'!T102="Approach",'AFNI STIM FILES'!E102, "")</f>
        <v/>
      </c>
      <c r="D104" s="184" t="str">
        <f>IF('AFNI STIM FILES'!T102="Ambivalent",'AFNI STIM FILES'!$C102, "")</f>
        <v/>
      </c>
      <c r="E104" s="184" t="str">
        <f>IF('AFNI STIM FILES'!T102="Ambivalent",'AFNI STIM FILES'!$E102, "")</f>
        <v/>
      </c>
      <c r="F104" s="184">
        <f>IF('AFNI STIM FILES'!T102="Avoid",'AFNI STIM FILES'!$C102, "")</f>
        <v>437.98</v>
      </c>
      <c r="G104" s="184">
        <f>IF('AFNI STIM FILES'!T102="Avoid",'AFNI STIM FILES'!$E102, "")</f>
        <v>441.98</v>
      </c>
      <c r="H104" s="184" t="str">
        <f>IF('AFNI STIM FILES'!T102="Missing",'AFNI STIM FILES'!$C102, "")</f>
        <v/>
      </c>
      <c r="I104" s="184" t="str">
        <f>IF('AFNI STIM FILES'!T102="Missing",'AFNI STIM FILES'!$E102, "")</f>
        <v/>
      </c>
      <c r="K104" s="184" t="str">
        <f>IF('AFNI STIM FILES'!T102="Approach",'AFNI STIM FILES'!$D102, "")</f>
        <v/>
      </c>
      <c r="L104" s="184" t="str">
        <f>IF('AFNI STIM FILES'!T102="Approach",'AFNI STIM FILES'!$F102, "")</f>
        <v/>
      </c>
      <c r="M104" s="184" t="str">
        <f>IF('AFNI STIM FILES'!T102="Ambivalent",'AFNI STIM FILES'!$D102, "")</f>
        <v/>
      </c>
      <c r="N104" s="184" t="str">
        <f>IF('AFNI STIM FILES'!T102="Ambivalent",'AFNI STIM FILES'!$F102, "")</f>
        <v/>
      </c>
      <c r="O104" s="184">
        <f>IF('AFNI STIM FILES'!T102="Avoid",'AFNI STIM FILES'!$D102, "")</f>
        <v>4</v>
      </c>
      <c r="P104" s="184">
        <f>IF('AFNI STIM FILES'!T102="Avoid",'AFNI STIM FILES'!$F102, "")</f>
        <v>2.2999999999999998</v>
      </c>
      <c r="Q104" s="184" t="str">
        <f>IF('AFNI STIM FILES'!T102="Missing",'AFNI STIM FILES'!$D102, "")</f>
        <v/>
      </c>
      <c r="R104" s="184" t="str">
        <f>IF('AFNI STIM FILES'!T102="Missing",'AFNI STIM FILES'!$F102, "")</f>
        <v/>
      </c>
    </row>
    <row r="105" spans="1:18" x14ac:dyDescent="0.2">
      <c r="A105" s="7">
        <v>28</v>
      </c>
      <c r="B105" s="184" t="str">
        <f>IF('AFNI STIM FILES'!T103="Approach",'AFNI STIM FILES'!C103, "")</f>
        <v/>
      </c>
      <c r="C105" s="184" t="str">
        <f>IF('AFNI STIM FILES'!T103="Approach",'AFNI STIM FILES'!E103, "")</f>
        <v/>
      </c>
      <c r="D105" s="184">
        <f>IF('AFNI STIM FILES'!T103="Ambivalent",'AFNI STIM FILES'!$C103, "")</f>
        <v>452.98</v>
      </c>
      <c r="E105" s="184">
        <f>IF('AFNI STIM FILES'!T103="Ambivalent",'AFNI STIM FILES'!$E103, "")</f>
        <v>456.98</v>
      </c>
      <c r="F105" s="184" t="str">
        <f>IF('AFNI STIM FILES'!T103="Avoid",'AFNI STIM FILES'!$C103, "")</f>
        <v/>
      </c>
      <c r="G105" s="184" t="str">
        <f>IF('AFNI STIM FILES'!T103="Avoid",'AFNI STIM FILES'!$E103, "")</f>
        <v/>
      </c>
      <c r="H105" s="184" t="str">
        <f>IF('AFNI STIM FILES'!T103="Missing",'AFNI STIM FILES'!$C103, "")</f>
        <v/>
      </c>
      <c r="I105" s="184" t="str">
        <f>IF('AFNI STIM FILES'!T103="Missing",'AFNI STIM FILES'!$E103, "")</f>
        <v/>
      </c>
      <c r="K105" s="184" t="str">
        <f>IF('AFNI STIM FILES'!T103="Approach",'AFNI STIM FILES'!$D103, "")</f>
        <v/>
      </c>
      <c r="L105" s="184" t="str">
        <f>IF('AFNI STIM FILES'!T103="Approach",'AFNI STIM FILES'!$F103, "")</f>
        <v/>
      </c>
      <c r="M105" s="184">
        <f>IF('AFNI STIM FILES'!T103="Ambivalent",'AFNI STIM FILES'!$D103, "")</f>
        <v>4</v>
      </c>
      <c r="N105" s="184">
        <f>IF('AFNI STIM FILES'!T103="Ambivalent",'AFNI STIM FILES'!$F103, "")</f>
        <v>5.34</v>
      </c>
      <c r="O105" s="184" t="str">
        <f>IF('AFNI STIM FILES'!T103="Avoid",'AFNI STIM FILES'!$D103, "")</f>
        <v/>
      </c>
      <c r="P105" s="184" t="str">
        <f>IF('AFNI STIM FILES'!T103="Avoid",'AFNI STIM FILES'!$F103, "")</f>
        <v/>
      </c>
      <c r="Q105" s="184" t="str">
        <f>IF('AFNI STIM FILES'!T103="Missing",'AFNI STIM FILES'!$D103, "")</f>
        <v/>
      </c>
      <c r="R105" s="184" t="str">
        <f>IF('AFNI STIM FILES'!T103="Missing",'AFNI STIM FILES'!$F103, "")</f>
        <v/>
      </c>
    </row>
    <row r="106" spans="1:18" x14ac:dyDescent="0.2">
      <c r="A106" s="7">
        <v>29</v>
      </c>
      <c r="B106" s="184" t="str">
        <f>IF('AFNI STIM FILES'!T104="Approach",'AFNI STIM FILES'!C104, "")</f>
        <v/>
      </c>
      <c r="C106" s="184" t="str">
        <f>IF('AFNI STIM FILES'!T104="Approach",'AFNI STIM FILES'!E104, "")</f>
        <v/>
      </c>
      <c r="D106" s="184" t="str">
        <f>IF('AFNI STIM FILES'!T104="Ambivalent",'AFNI STIM FILES'!$C104, "")</f>
        <v/>
      </c>
      <c r="E106" s="184" t="str">
        <f>IF('AFNI STIM FILES'!T104="Ambivalent",'AFNI STIM FILES'!$E104, "")</f>
        <v/>
      </c>
      <c r="F106" s="184">
        <f>IF('AFNI STIM FILES'!T104="Avoid",'AFNI STIM FILES'!$C104, "")</f>
        <v>475.98</v>
      </c>
      <c r="G106" s="184">
        <f>IF('AFNI STIM FILES'!T104="Avoid",'AFNI STIM FILES'!$E104, "")</f>
        <v>479.98</v>
      </c>
      <c r="H106" s="184" t="str">
        <f>IF('AFNI STIM FILES'!T104="Missing",'AFNI STIM FILES'!$C104, "")</f>
        <v/>
      </c>
      <c r="I106" s="184" t="str">
        <f>IF('AFNI STIM FILES'!T104="Missing",'AFNI STIM FILES'!$E104, "")</f>
        <v/>
      </c>
      <c r="K106" s="184" t="str">
        <f>IF('AFNI STIM FILES'!T104="Approach",'AFNI STIM FILES'!$D104, "")</f>
        <v/>
      </c>
      <c r="L106" s="184" t="str">
        <f>IF('AFNI STIM FILES'!T104="Approach",'AFNI STIM FILES'!$F104, "")</f>
        <v/>
      </c>
      <c r="M106" s="184" t="str">
        <f>IF('AFNI STIM FILES'!T104="Ambivalent",'AFNI STIM FILES'!$D104, "")</f>
        <v/>
      </c>
      <c r="N106" s="184" t="str">
        <f>IF('AFNI STIM FILES'!T104="Ambivalent",'AFNI STIM FILES'!$F104, "")</f>
        <v/>
      </c>
      <c r="O106" s="184">
        <f>IF('AFNI STIM FILES'!T104="Avoid",'AFNI STIM FILES'!$D104, "")</f>
        <v>4</v>
      </c>
      <c r="P106" s="184">
        <f>IF('AFNI STIM FILES'!T104="Avoid",'AFNI STIM FILES'!$F104, "")</f>
        <v>2.4</v>
      </c>
      <c r="Q106" s="184" t="str">
        <f>IF('AFNI STIM FILES'!T104="Missing",'AFNI STIM FILES'!$D104, "")</f>
        <v/>
      </c>
      <c r="R106" s="184" t="str">
        <f>IF('AFNI STIM FILES'!T104="Missing",'AFNI STIM FILES'!$F104, "")</f>
        <v/>
      </c>
    </row>
    <row r="107" spans="1:18" x14ac:dyDescent="0.2">
      <c r="A107" s="7">
        <v>30</v>
      </c>
      <c r="B107" s="184" t="str">
        <f>IF('AFNI STIM FILES'!T105="Approach",'AFNI STIM FILES'!C105, "")</f>
        <v/>
      </c>
      <c r="C107" s="184" t="str">
        <f>IF('AFNI STIM FILES'!T105="Approach",'AFNI STIM FILES'!E105, "")</f>
        <v/>
      </c>
      <c r="D107" s="184">
        <f>IF('AFNI STIM FILES'!T105="Ambivalent",'AFNI STIM FILES'!$C105, "")</f>
        <v>488.97</v>
      </c>
      <c r="E107" s="184">
        <f>IF('AFNI STIM FILES'!T105="Ambivalent",'AFNI STIM FILES'!$E105, "")</f>
        <v>492.97</v>
      </c>
      <c r="F107" s="184" t="str">
        <f>IF('AFNI STIM FILES'!T105="Avoid",'AFNI STIM FILES'!$C105, "")</f>
        <v/>
      </c>
      <c r="G107" s="184" t="str">
        <f>IF('AFNI STIM FILES'!T105="Avoid",'AFNI STIM FILES'!$E105, "")</f>
        <v/>
      </c>
      <c r="H107" s="184" t="str">
        <f>IF('AFNI STIM FILES'!T105="Missing",'AFNI STIM FILES'!$C105, "")</f>
        <v/>
      </c>
      <c r="I107" s="184" t="str">
        <f>IF('AFNI STIM FILES'!T105="Missing",'AFNI STIM FILES'!$E105, "")</f>
        <v/>
      </c>
      <c r="K107" s="184" t="str">
        <f>IF('AFNI STIM FILES'!T105="Approach",'AFNI STIM FILES'!$D105, "")</f>
        <v/>
      </c>
      <c r="L107" s="184" t="str">
        <f>IF('AFNI STIM FILES'!T105="Approach",'AFNI STIM FILES'!$F105, "")</f>
        <v/>
      </c>
      <c r="M107" s="184">
        <f>IF('AFNI STIM FILES'!T105="Ambivalent",'AFNI STIM FILES'!$D105, "")</f>
        <v>4</v>
      </c>
      <c r="N107" s="184">
        <f>IF('AFNI STIM FILES'!T105="Ambivalent",'AFNI STIM FILES'!$F105, "")</f>
        <v>1.67</v>
      </c>
      <c r="O107" s="184" t="str">
        <f>IF('AFNI STIM FILES'!T105="Avoid",'AFNI STIM FILES'!$D105, "")</f>
        <v/>
      </c>
      <c r="P107" s="184" t="str">
        <f>IF('AFNI STIM FILES'!T105="Avoid",'AFNI STIM FILES'!$F105, "")</f>
        <v/>
      </c>
      <c r="Q107" s="184" t="str">
        <f>IF('AFNI STIM FILES'!T105="Missing",'AFNI STIM FILES'!$D105, "")</f>
        <v/>
      </c>
      <c r="R107" s="184" t="str">
        <f>IF('AFNI STIM FILES'!T105="Missing",'AFNI STIM FILES'!$F105, "")</f>
        <v/>
      </c>
    </row>
    <row r="108" spans="1:18" x14ac:dyDescent="0.2">
      <c r="O108" t="str">
        <f>IF('[1]AFNI STIM FILES'!T106="Avoid",'[1]AFNI STIM FILES'!$D106, "")</f>
        <v/>
      </c>
      <c r="P108" t="str">
        <f>IF('[1]AFNI STIM FILES'!T106="Avoid",'[1]AFNI STIM FILES'!$F106, "")</f>
        <v/>
      </c>
    </row>
  </sheetData>
  <mergeCells count="24">
    <mergeCell ref="O76:P76"/>
    <mergeCell ref="Q76:R76"/>
    <mergeCell ref="B76:C76"/>
    <mergeCell ref="D76:E76"/>
    <mergeCell ref="F76:G76"/>
    <mergeCell ref="H76:I76"/>
    <mergeCell ref="K76:L76"/>
    <mergeCell ref="M76:N76"/>
    <mergeCell ref="O6:P6"/>
    <mergeCell ref="Q6:R6"/>
    <mergeCell ref="B41:C41"/>
    <mergeCell ref="D41:E41"/>
    <mergeCell ref="F41:G41"/>
    <mergeCell ref="H41:I41"/>
    <mergeCell ref="K41:L41"/>
    <mergeCell ref="M41:N41"/>
    <mergeCell ref="O41:P41"/>
    <mergeCell ref="Q41:R41"/>
    <mergeCell ref="B6:C6"/>
    <mergeCell ref="D6:E6"/>
    <mergeCell ref="F6:G6"/>
    <mergeCell ref="H6:I6"/>
    <mergeCell ref="K6:L6"/>
    <mergeCell ref="M6:N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C1FC-97DC-4888-B269-1C4F2C457256}">
  <sheetPr codeName="Sheet14"/>
  <dimension ref="A1:BS6"/>
  <sheetViews>
    <sheetView topLeftCell="Y1" workbookViewId="0">
      <selection activeCell="AV4" sqref="AV4"/>
    </sheetView>
  </sheetViews>
  <sheetFormatPr baseColWidth="10" defaultColWidth="8.83203125" defaultRowHeight="15" x14ac:dyDescent="0.2"/>
  <cols>
    <col min="1" max="1" width="15" customWidth="1"/>
    <col min="2" max="2" width="6.5" bestFit="1" customWidth="1"/>
    <col min="3" max="3" width="12.83203125" bestFit="1" customWidth="1"/>
    <col min="4" max="4" width="14.5" bestFit="1" customWidth="1"/>
    <col min="5" max="5" width="11.6640625" bestFit="1" customWidth="1"/>
    <col min="6" max="6" width="16.5" bestFit="1" customWidth="1"/>
    <col min="7" max="7" width="11.5" bestFit="1" customWidth="1"/>
    <col min="8" max="8" width="8.6640625" bestFit="1" customWidth="1"/>
    <col min="9" max="9" width="13.5" bestFit="1" customWidth="1"/>
    <col min="10" max="10" width="11.5" bestFit="1" customWidth="1"/>
    <col min="11" max="11" width="10.6640625" customWidth="1"/>
    <col min="12" max="12" width="13.5" bestFit="1" customWidth="1"/>
    <col min="13" max="13" width="11.5" bestFit="1" customWidth="1"/>
    <col min="14" max="14" width="8.6640625" bestFit="1" customWidth="1"/>
    <col min="15" max="15" width="13.5" bestFit="1" customWidth="1"/>
    <col min="16" max="16" width="14.1640625" bestFit="1" customWidth="1"/>
    <col min="17" max="17" width="23.1640625" bestFit="1" customWidth="1"/>
    <col min="18" max="18" width="19.33203125" bestFit="1" customWidth="1"/>
    <col min="19" max="19" width="19.33203125" customWidth="1"/>
    <col min="20" max="21" width="20.83203125" bestFit="1" customWidth="1"/>
    <col min="22" max="22" width="16.33203125" bestFit="1" customWidth="1"/>
    <col min="23" max="23" width="16.33203125" customWidth="1"/>
    <col min="24" max="24" width="28.1640625" bestFit="1" customWidth="1"/>
    <col min="25" max="25" width="28.1640625" customWidth="1"/>
    <col min="26" max="26" width="29.83203125" bestFit="1" customWidth="1"/>
    <col min="27" max="27" width="29.83203125" customWidth="1"/>
    <col min="28" max="28" width="24.5" bestFit="1" customWidth="1"/>
    <col min="29" max="29" width="24.5" customWidth="1"/>
    <col min="30" max="30" width="16.83203125" bestFit="1" customWidth="1"/>
    <col min="31" max="31" width="16.83203125" customWidth="1"/>
    <col min="32" max="33" width="18.33203125" bestFit="1" customWidth="1"/>
    <col min="34" max="35" width="13.6640625" bestFit="1" customWidth="1"/>
    <col min="36" max="36" width="16.83203125" bestFit="1" customWidth="1"/>
    <col min="37" max="37" width="16.83203125" customWidth="1"/>
    <col min="38" max="38" width="18.33203125" bestFit="1" customWidth="1"/>
    <col min="39" max="39" width="18.33203125" customWidth="1"/>
    <col min="40" max="40" width="13.6640625" bestFit="1" customWidth="1"/>
    <col min="41" max="41" width="13.6640625" customWidth="1"/>
    <col min="42" max="43" width="16.83203125" bestFit="1" customWidth="1"/>
    <col min="44" max="45" width="18.33203125" bestFit="1" customWidth="1"/>
    <col min="46" max="46" width="13.6640625" bestFit="1" customWidth="1"/>
    <col min="47" max="47" width="13.6640625" customWidth="1"/>
    <col min="48" max="49" width="25.5" bestFit="1" customWidth="1"/>
    <col min="50" max="51" width="27.1640625" bestFit="1" customWidth="1"/>
    <col min="52" max="53" width="22.5" bestFit="1" customWidth="1"/>
    <col min="54" max="55" width="25.5" bestFit="1" customWidth="1"/>
    <col min="56" max="57" width="27.1640625" bestFit="1" customWidth="1"/>
    <col min="58" max="59" width="22.5" bestFit="1" customWidth="1"/>
    <col min="60" max="61" width="25.5" bestFit="1" customWidth="1"/>
    <col min="62" max="63" width="27.1640625" bestFit="1" customWidth="1"/>
    <col min="64" max="65" width="22.5" bestFit="1" customWidth="1"/>
    <col min="66" max="66" width="27" bestFit="1" customWidth="1"/>
    <col min="67" max="67" width="29.1640625" bestFit="1" customWidth="1"/>
    <col min="68" max="68" width="23.6640625" bestFit="1" customWidth="1"/>
    <col min="69" max="69" width="24.1640625" bestFit="1" customWidth="1"/>
    <col min="70" max="70" width="26" bestFit="1" customWidth="1"/>
    <col min="71" max="71" width="20.6640625" bestFit="1" customWidth="1"/>
  </cols>
  <sheetData>
    <row r="1" spans="1:71" ht="19" x14ac:dyDescent="0.25">
      <c r="A1" s="174" t="s">
        <v>146</v>
      </c>
      <c r="B1" s="174"/>
      <c r="D1" s="174"/>
      <c r="E1" s="174"/>
    </row>
    <row r="3" spans="1:71" x14ac:dyDescent="0.2">
      <c r="A3" s="1" t="s">
        <v>130</v>
      </c>
      <c r="B3" s="1" t="s">
        <v>0</v>
      </c>
      <c r="C3" s="1" t="s">
        <v>131</v>
      </c>
      <c r="D3" s="1" t="s">
        <v>134</v>
      </c>
      <c r="E3" s="1" t="s">
        <v>136</v>
      </c>
      <c r="F3" s="1" t="s">
        <v>135</v>
      </c>
      <c r="G3" s="1" t="s">
        <v>137</v>
      </c>
      <c r="H3" s="1" t="s">
        <v>139</v>
      </c>
      <c r="I3" s="1" t="s">
        <v>138</v>
      </c>
      <c r="J3" s="1" t="s">
        <v>140</v>
      </c>
      <c r="K3" s="1" t="s">
        <v>142</v>
      </c>
      <c r="L3" s="1" t="s">
        <v>141</v>
      </c>
      <c r="M3" s="1" t="s">
        <v>143</v>
      </c>
      <c r="N3" s="1" t="s">
        <v>145</v>
      </c>
      <c r="O3" s="1" t="s">
        <v>144</v>
      </c>
      <c r="P3" s="1" t="s">
        <v>132</v>
      </c>
      <c r="Q3" s="1" t="s">
        <v>371</v>
      </c>
      <c r="R3" s="199" t="s">
        <v>315</v>
      </c>
      <c r="S3" s="199" t="s">
        <v>316</v>
      </c>
      <c r="T3" s="199" t="s">
        <v>317</v>
      </c>
      <c r="U3" s="199" t="s">
        <v>318</v>
      </c>
      <c r="V3" s="199" t="s">
        <v>319</v>
      </c>
      <c r="W3" s="199" t="s">
        <v>320</v>
      </c>
      <c r="X3" s="199" t="s">
        <v>321</v>
      </c>
      <c r="Y3" s="199" t="s">
        <v>342</v>
      </c>
      <c r="Z3" s="199" t="s">
        <v>322</v>
      </c>
      <c r="AA3" s="199" t="s">
        <v>343</v>
      </c>
      <c r="AB3" s="199" t="s">
        <v>323</v>
      </c>
      <c r="AC3" s="199" t="s">
        <v>344</v>
      </c>
      <c r="AD3" s="219" t="s">
        <v>324</v>
      </c>
      <c r="AE3" s="219" t="s">
        <v>345</v>
      </c>
      <c r="AF3" s="219" t="s">
        <v>325</v>
      </c>
      <c r="AG3" s="219" t="s">
        <v>346</v>
      </c>
      <c r="AH3" s="219" t="s">
        <v>326</v>
      </c>
      <c r="AI3" s="219" t="s">
        <v>347</v>
      </c>
      <c r="AJ3" s="219" t="s">
        <v>327</v>
      </c>
      <c r="AK3" s="219" t="s">
        <v>348</v>
      </c>
      <c r="AL3" s="219" t="s">
        <v>328</v>
      </c>
      <c r="AM3" s="219" t="s">
        <v>349</v>
      </c>
      <c r="AN3" s="219" t="s">
        <v>329</v>
      </c>
      <c r="AO3" s="219" t="s">
        <v>350</v>
      </c>
      <c r="AP3" s="219" t="s">
        <v>330</v>
      </c>
      <c r="AQ3" s="219" t="s">
        <v>351</v>
      </c>
      <c r="AR3" s="219" t="s">
        <v>331</v>
      </c>
      <c r="AS3" s="219" t="s">
        <v>352</v>
      </c>
      <c r="AT3" s="219" t="s">
        <v>332</v>
      </c>
      <c r="AU3" s="219" t="s">
        <v>353</v>
      </c>
      <c r="AV3" s="218" t="s">
        <v>333</v>
      </c>
      <c r="AW3" s="218" t="s">
        <v>354</v>
      </c>
      <c r="AX3" s="218" t="s">
        <v>334</v>
      </c>
      <c r="AY3" s="218" t="s">
        <v>355</v>
      </c>
      <c r="AZ3" s="218" t="s">
        <v>335</v>
      </c>
      <c r="BA3" s="218" t="s">
        <v>356</v>
      </c>
      <c r="BB3" s="218" t="s">
        <v>336</v>
      </c>
      <c r="BC3" s="218" t="s">
        <v>357</v>
      </c>
      <c r="BD3" s="218" t="s">
        <v>337</v>
      </c>
      <c r="BE3" s="218" t="s">
        <v>358</v>
      </c>
      <c r="BF3" s="218" t="s">
        <v>338</v>
      </c>
      <c r="BG3" s="218" t="s">
        <v>359</v>
      </c>
      <c r="BH3" s="218" t="s">
        <v>339</v>
      </c>
      <c r="BI3" s="218" t="s">
        <v>360</v>
      </c>
      <c r="BJ3" s="218" t="s">
        <v>340</v>
      </c>
      <c r="BK3" s="218" t="s">
        <v>361</v>
      </c>
      <c r="BL3" s="218" t="s">
        <v>341</v>
      </c>
      <c r="BM3" s="218" t="s">
        <v>362</v>
      </c>
      <c r="BN3" s="1" t="s">
        <v>363</v>
      </c>
      <c r="BO3" s="1" t="s">
        <v>364</v>
      </c>
      <c r="BP3" s="1" t="s">
        <v>365</v>
      </c>
      <c r="BQ3" s="1" t="s">
        <v>366</v>
      </c>
      <c r="BR3" s="1" t="s">
        <v>367</v>
      </c>
      <c r="BS3" s="1" t="s">
        <v>368</v>
      </c>
    </row>
    <row r="4" spans="1:71" x14ac:dyDescent="0.2">
      <c r="A4" t="str">
        <f>'Paste Run 1'!B2</f>
        <v>XXXX</v>
      </c>
      <c r="B4" t="str">
        <f>LEFT(A4,1)</f>
        <v>X</v>
      </c>
      <c r="C4" t="str">
        <f>IF(ISNUMBER(SEARCH("*low*",'Paste Run 3'!A2)),"Low","")</f>
        <v>Low</v>
      </c>
      <c r="D4" s="2">
        <f>'Combined R1-R3'!AA45</f>
        <v>9</v>
      </c>
      <c r="E4" s="2">
        <f>'Combined R1-R3'!AB45</f>
        <v>30</v>
      </c>
      <c r="F4" s="2">
        <f>'Combined R1-R3'!AC45</f>
        <v>49.666666666666664</v>
      </c>
      <c r="G4" s="2">
        <f>'Combined R1-R3'!W45</f>
        <v>9</v>
      </c>
      <c r="H4" s="2">
        <f>'Combined R1-R3'!X45</f>
        <v>30</v>
      </c>
      <c r="I4" s="2">
        <f>'Combined R1-R3'!Y45</f>
        <v>45</v>
      </c>
      <c r="J4" s="2">
        <f>'Combined R1-R3'!W46</f>
        <v>9</v>
      </c>
      <c r="K4" s="2">
        <f>'Combined R1-R3'!X46</f>
        <v>30</v>
      </c>
      <c r="L4" s="2">
        <f>'Combined R1-R3'!Y46</f>
        <v>52</v>
      </c>
      <c r="M4" s="2">
        <f>'Combined R1-R3'!W47</f>
        <v>9</v>
      </c>
      <c r="N4" s="2">
        <f>'Combined R1-R3'!X47</f>
        <v>30</v>
      </c>
      <c r="O4">
        <f>'Combined R1-R3'!Y47</f>
        <v>52</v>
      </c>
      <c r="P4" s="2">
        <f>(('Combined R1-R3'!G37)/90)*100</f>
        <v>0</v>
      </c>
      <c r="Q4" s="2">
        <f>AVERAGE(ChoiceCoding!Y3:AA32)</f>
        <v>2476.2888888888888</v>
      </c>
      <c r="R4" s="2">
        <f>ChoiceCoding!AH41</f>
        <v>2582.4</v>
      </c>
      <c r="S4" s="2">
        <f>ChoiceCoding!AT41</f>
        <v>2236.0857142857144</v>
      </c>
      <c r="T4" s="2">
        <f>ChoiceCoding!AI41</f>
        <v>2396.3898305084745</v>
      </c>
      <c r="U4" s="2">
        <f>ChoiceCoding!AU41</f>
        <v>2621.9310344827586</v>
      </c>
      <c r="V4" s="2">
        <f>ChoiceCoding!AJ41</f>
        <v>2637.1923076923076</v>
      </c>
      <c r="W4" s="2">
        <f>ChoiceCoding!AV41</f>
        <v>2637.1923076923076</v>
      </c>
      <c r="X4" s="2">
        <f>ChoiceCoding!AH54</f>
        <v>9</v>
      </c>
      <c r="Y4" s="2">
        <f>ChoiceCoding!AT54</f>
        <v>8.1428571428571423</v>
      </c>
      <c r="Z4" s="2">
        <f>ChoiceCoding!AI54</f>
        <v>6.1694915254237293</v>
      </c>
      <c r="AA4" s="2">
        <f>ChoiceCoding!AU54</f>
        <v>4.2758620689655169</v>
      </c>
      <c r="AB4" s="2">
        <f>ChoiceCoding!AJ54</f>
        <v>0</v>
      </c>
      <c r="AC4" s="2">
        <f>ChoiceCoding!AV54</f>
        <v>0</v>
      </c>
      <c r="AD4" s="2">
        <f>ChoiceCoding!AH37</f>
        <v>2686</v>
      </c>
      <c r="AE4" s="2">
        <f>ChoiceCoding!AT37</f>
        <v>2419.1111111111113</v>
      </c>
      <c r="AF4" s="2">
        <f>ChoiceCoding!AI37</f>
        <v>2824.4210526315787</v>
      </c>
      <c r="AG4" s="2">
        <f>ChoiceCoding!AU37</f>
        <v>3143.4545454545455</v>
      </c>
      <c r="AH4" s="2">
        <f>ChoiceCoding!AJ37</f>
        <v>3117.5</v>
      </c>
      <c r="AI4" s="2">
        <f>ChoiceCoding!AV37</f>
        <v>3117.5</v>
      </c>
      <c r="AJ4" s="2">
        <f>ChoiceCoding!AH38</f>
        <v>1993</v>
      </c>
      <c r="AK4" s="2">
        <f>ChoiceCoding!AT38</f>
        <v>2027.7</v>
      </c>
      <c r="AL4" s="2">
        <f>ChoiceCoding!AI38</f>
        <v>2187.3684210526317</v>
      </c>
      <c r="AM4" s="2">
        <f>ChoiceCoding!AU38</f>
        <v>2327.6</v>
      </c>
      <c r="AN4" s="2">
        <f>ChoiceCoding!AJ38</f>
        <v>2379.4</v>
      </c>
      <c r="AO4" s="2">
        <f>ChoiceCoding!AV38</f>
        <v>2379.4</v>
      </c>
      <c r="AP4" s="2">
        <f>ChoiceCoding!AH39</f>
        <v>2744.3333333333335</v>
      </c>
      <c r="AQ4" s="2">
        <f>ChoiceCoding!AT39</f>
        <v>2263.375</v>
      </c>
      <c r="AR4" s="2">
        <f>ChoiceCoding!AI39</f>
        <v>2198.2380952380954</v>
      </c>
      <c r="AS4" s="2">
        <f>ChoiceCoding!AU39</f>
        <v>2272.75</v>
      </c>
      <c r="AT4" s="2">
        <f>ChoiceCoding!AJ39</f>
        <v>2266.3333333333335</v>
      </c>
      <c r="AU4" s="2">
        <f>ChoiceCoding!AV39</f>
        <v>2266.3333333333335</v>
      </c>
      <c r="AV4">
        <f>ChoiceCoding!AH50</f>
        <v>9</v>
      </c>
      <c r="AW4" s="92">
        <f>ChoiceCoding!AT50</f>
        <v>8.1111111111111107</v>
      </c>
      <c r="AX4" s="92">
        <f>ChoiceCoding!AI50</f>
        <v>5.6842105263157894</v>
      </c>
      <c r="AY4" s="92">
        <f>ChoiceCoding!AU50</f>
        <v>4</v>
      </c>
      <c r="AZ4">
        <f>ChoiceCoding!AJ50</f>
        <v>0</v>
      </c>
      <c r="BA4">
        <f>ChoiceCoding!AV50</f>
        <v>0</v>
      </c>
      <c r="BB4">
        <f>ChoiceCoding!AH51</f>
        <v>9</v>
      </c>
      <c r="BC4" s="92">
        <f>ChoiceCoding!AT51</f>
        <v>8.1</v>
      </c>
      <c r="BD4" s="2">
        <f>ChoiceCoding!AI51</f>
        <v>6.1578947368421053</v>
      </c>
      <c r="BE4" s="2">
        <f>ChoiceCoding!AU51</f>
        <v>4.5</v>
      </c>
      <c r="BF4">
        <f>ChoiceCoding!AJ51</f>
        <v>0</v>
      </c>
      <c r="BG4">
        <f>ChoiceCoding!AV51</f>
        <v>0</v>
      </c>
      <c r="BH4">
        <f>ChoiceCoding!AH52</f>
        <v>9</v>
      </c>
      <c r="BI4">
        <f>ChoiceCoding!AT52</f>
        <v>8.1875</v>
      </c>
      <c r="BJ4" s="2">
        <f>ChoiceCoding!AI52</f>
        <v>6.6190476190476186</v>
      </c>
      <c r="BK4" s="2">
        <f>ChoiceCoding!AU52</f>
        <v>4.375</v>
      </c>
      <c r="BL4">
        <f>ChoiceCoding!AJ52</f>
        <v>0</v>
      </c>
      <c r="BM4">
        <f>ChoiceCoding!AV52</f>
        <v>0</v>
      </c>
      <c r="BN4">
        <f>ChoiceCoding!AH47</f>
        <v>5</v>
      </c>
      <c r="BO4">
        <f>ChoiceCoding!AI47</f>
        <v>59</v>
      </c>
      <c r="BP4">
        <f>ChoiceCoding!AJ47</f>
        <v>26</v>
      </c>
      <c r="BQ4">
        <f>ChoiceCoding!AT47</f>
        <v>35</v>
      </c>
      <c r="BR4">
        <f>ChoiceCoding!AU47</f>
        <v>29</v>
      </c>
      <c r="BS4">
        <f>ChoiceCoding!AV47</f>
        <v>26</v>
      </c>
    </row>
    <row r="6" spans="1:71" ht="20.25" customHeight="1" x14ac:dyDescent="0.2">
      <c r="C6" s="175" t="s">
        <v>133</v>
      </c>
      <c r="D6" s="176"/>
      <c r="E6" s="176"/>
      <c r="F6" s="176"/>
      <c r="G6" s="176"/>
      <c r="H6" s="176"/>
      <c r="I6" s="176"/>
      <c r="P6" s="1"/>
      <c r="Q6" s="1"/>
      <c r="R6" s="1"/>
      <c r="S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4</vt:i4>
      </vt:variant>
    </vt:vector>
  </HeadingPairs>
  <TitlesOfParts>
    <vt:vector size="15" baseType="lpstr">
      <vt:lpstr>Paste Run 1</vt:lpstr>
      <vt:lpstr>Paste Run 2</vt:lpstr>
      <vt:lpstr>Paste Run 3</vt:lpstr>
      <vt:lpstr>Combined R1-R3</vt:lpstr>
      <vt:lpstr>FMRI Paradigm Specs</vt:lpstr>
      <vt:lpstr>ResponseTimes</vt:lpstr>
      <vt:lpstr>Timing-Actual</vt:lpstr>
      <vt:lpstr>ChoiceCoding</vt:lpstr>
      <vt:lpstr>AFNI STIM FILES</vt:lpstr>
      <vt:lpstr>CONN Files</vt:lpstr>
      <vt:lpstr>Behavioural Information</vt:lpstr>
      <vt:lpstr>Run 1</vt:lpstr>
      <vt:lpstr>Run 2</vt:lpstr>
      <vt:lpstr>Run 3</vt:lpstr>
      <vt:lpstr>Average Figure</vt:lpstr>
    </vt:vector>
  </TitlesOfParts>
  <Company>St. Joseph's Healthcare Hamilton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Carly Wood</cp:lastModifiedBy>
  <dcterms:created xsi:type="dcterms:W3CDTF">2018-03-07T19:16:56Z</dcterms:created>
  <dcterms:modified xsi:type="dcterms:W3CDTF">2026-09-14T16:20:04Z</dcterms:modified>
</cp:coreProperties>
</file>