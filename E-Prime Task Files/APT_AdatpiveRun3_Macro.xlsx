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ly/Library/CloudStorage/OneDrive-McMasterUniversity/NeuroimagingStudies/NEUROALC/NEUROALC_fMRI/N.APT_GitHub/E-PrimeFiles/"/>
    </mc:Choice>
  </mc:AlternateContent>
  <xr:revisionPtr revIDLastSave="0" documentId="13_ncr:1_{312AD701-8229-E843-AC8F-FFA4107C5961}" xr6:coauthVersionLast="47" xr6:coauthVersionMax="47" xr10:uidLastSave="{00000000-0000-0000-0000-000000000000}"/>
  <bookViews>
    <workbookView xWindow="9260" yWindow="2200" windowWidth="32080" windowHeight="23780" activeTab="3" xr2:uid="{00000000-000D-0000-FFFF-FFFF00000000}"/>
  </bookViews>
  <sheets>
    <sheet name="Paste Run 1" sheetId="1" r:id="rId1"/>
    <sheet name="Check This Tab!" sheetId="4" r:id="rId2"/>
    <sheet name="R1_Specifics" sheetId="2" r:id="rId3"/>
    <sheet name="R1_Sequential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C3" i="3"/>
  <c r="C4" i="3"/>
  <c r="D32" i="2" l="1"/>
  <c r="C32" i="4" s="1"/>
  <c r="D31" i="2"/>
  <c r="C31" i="4" s="1"/>
  <c r="D30" i="2"/>
  <c r="C30" i="4" s="1"/>
  <c r="D29" i="2"/>
  <c r="C29" i="3" s="1"/>
  <c r="D29" i="3" s="1"/>
  <c r="D28" i="2"/>
  <c r="C9" i="3" s="1"/>
  <c r="D9" i="3" s="1"/>
  <c r="D27" i="2"/>
  <c r="C27" i="4" s="1"/>
  <c r="D26" i="2"/>
  <c r="C26" i="4" s="1"/>
  <c r="D25" i="2"/>
  <c r="D3" i="3" s="1"/>
  <c r="D24" i="2"/>
  <c r="C24" i="4" s="1"/>
  <c r="D23" i="2"/>
  <c r="C23" i="4" s="1"/>
  <c r="D22" i="2"/>
  <c r="C22" i="4" s="1"/>
  <c r="D21" i="2"/>
  <c r="C28" i="3" s="1"/>
  <c r="D28" i="3" s="1"/>
  <c r="D20" i="2"/>
  <c r="C17" i="3" s="1"/>
  <c r="D17" i="3" s="1"/>
  <c r="D19" i="2"/>
  <c r="C19" i="4" s="1"/>
  <c r="D18" i="2"/>
  <c r="C20" i="3" s="1"/>
  <c r="D20" i="3" s="1"/>
  <c r="D17" i="2"/>
  <c r="C17" i="4" s="1"/>
  <c r="D16" i="2"/>
  <c r="C16" i="4" s="1"/>
  <c r="D15" i="2"/>
  <c r="C15" i="4" s="1"/>
  <c r="D14" i="2"/>
  <c r="C14" i="4" s="1"/>
  <c r="D13" i="2"/>
  <c r="C13" i="4" s="1"/>
  <c r="D12" i="2"/>
  <c r="C12" i="4" s="1"/>
  <c r="D11" i="2"/>
  <c r="C11" i="4" s="1"/>
  <c r="D10" i="2"/>
  <c r="C10" i="4" s="1"/>
  <c r="D9" i="2"/>
  <c r="C25" i="3" s="1"/>
  <c r="D25" i="3" s="1"/>
  <c r="D8" i="2"/>
  <c r="C8" i="4" s="1"/>
  <c r="D7" i="2"/>
  <c r="C21" i="3" s="1"/>
  <c r="D21" i="3" s="1"/>
  <c r="D6" i="2"/>
  <c r="C6" i="4" s="1"/>
  <c r="D5" i="2"/>
  <c r="C27" i="3" s="1"/>
  <c r="D27" i="3" s="1"/>
  <c r="D4" i="2"/>
  <c r="C13" i="3" s="1"/>
  <c r="D13" i="3" s="1"/>
  <c r="D3" i="2"/>
  <c r="D4" i="3" s="1"/>
  <c r="C23" i="3" l="1"/>
  <c r="D23" i="3" s="1"/>
  <c r="C31" i="3"/>
  <c r="D31" i="3" s="1"/>
  <c r="C5" i="4"/>
  <c r="C26" i="3"/>
  <c r="D26" i="3" s="1"/>
  <c r="C5" i="3"/>
  <c r="C10" i="3"/>
  <c r="D10" i="3" s="1"/>
  <c r="C21" i="4"/>
  <c r="C18" i="3"/>
  <c r="D18" i="3" s="1"/>
  <c r="C6" i="3"/>
  <c r="D6" i="3" s="1"/>
  <c r="C14" i="3"/>
  <c r="D14" i="3" s="1"/>
  <c r="C22" i="3"/>
  <c r="D22" i="3" s="1"/>
  <c r="C30" i="3"/>
  <c r="D30" i="3" s="1"/>
  <c r="C9" i="4"/>
  <c r="C25" i="4"/>
  <c r="C7" i="3"/>
  <c r="D7" i="3" s="1"/>
  <c r="C4" i="4"/>
  <c r="C20" i="4"/>
  <c r="C28" i="4"/>
  <c r="C19" i="3"/>
  <c r="D19" i="3" s="1"/>
  <c r="C15" i="3"/>
  <c r="D15" i="3" s="1"/>
  <c r="C8" i="3"/>
  <c r="D8" i="3" s="1"/>
  <c r="C16" i="3"/>
  <c r="D16" i="3" s="1"/>
  <c r="C24" i="3"/>
  <c r="D24" i="3" s="1"/>
  <c r="C32" i="3"/>
  <c r="D32" i="3" s="1"/>
  <c r="C7" i="4"/>
  <c r="C3" i="4"/>
  <c r="C18" i="4"/>
  <c r="C29" i="4"/>
  <c r="C12" i="3"/>
  <c r="D12" i="3" s="1"/>
  <c r="C11" i="3"/>
  <c r="D11" i="3" s="1"/>
  <c r="D5" i="3" l="1"/>
  <c r="D32" i="4"/>
  <c r="E32" i="4" s="1"/>
  <c r="D18" i="4" l="1"/>
  <c r="E18" i="4" s="1"/>
  <c r="D5" i="4"/>
  <c r="E5" i="4" s="1"/>
  <c r="D13" i="4"/>
  <c r="E13" i="4" s="1"/>
  <c r="D21" i="4"/>
  <c r="E21" i="4" s="1"/>
  <c r="D15" i="4"/>
  <c r="E15" i="4" s="1"/>
  <c r="D29" i="4"/>
  <c r="E29" i="4" s="1"/>
  <c r="D30" i="4"/>
  <c r="E30" i="4" s="1"/>
  <c r="D9" i="4"/>
  <c r="E9" i="4" s="1"/>
  <c r="D19" i="4"/>
  <c r="E19" i="4" s="1"/>
  <c r="D7" i="4"/>
  <c r="E7" i="4" s="1"/>
  <c r="D17" i="4"/>
  <c r="E17" i="4" s="1"/>
  <c r="D23" i="4"/>
  <c r="E23" i="4" s="1"/>
  <c r="D25" i="4"/>
  <c r="E25" i="4" s="1"/>
  <c r="D31" i="4"/>
  <c r="E31" i="4" s="1"/>
  <c r="D26" i="4"/>
  <c r="E26" i="4" s="1"/>
  <c r="D10" i="4"/>
  <c r="E10" i="4" s="1"/>
  <c r="D6" i="4"/>
  <c r="E6" i="4" s="1"/>
  <c r="D4" i="4"/>
  <c r="E4" i="4" s="1"/>
  <c r="D8" i="4"/>
  <c r="E8" i="4" s="1"/>
  <c r="D14" i="4"/>
  <c r="E14" i="4" s="1"/>
  <c r="D12" i="4"/>
  <c r="E12" i="4" s="1"/>
  <c r="D16" i="4"/>
  <c r="E16" i="4" s="1"/>
  <c r="D22" i="4"/>
  <c r="E22" i="4" s="1"/>
  <c r="D20" i="4"/>
  <c r="E20" i="4" s="1"/>
  <c r="D27" i="4"/>
  <c r="E27" i="4" s="1"/>
  <c r="D11" i="4"/>
  <c r="E11" i="4" s="1"/>
  <c r="D3" i="4"/>
  <c r="E3" i="4" s="1"/>
  <c r="D28" i="4"/>
  <c r="E28" i="4" s="1"/>
  <c r="D24" i="4"/>
  <c r="E24" i="4" s="1"/>
  <c r="H3" i="4" l="1"/>
  <c r="I3" i="4"/>
  <c r="G3" i="4"/>
  <c r="H20" i="4" l="1" a="1"/>
  <c r="H20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<sst xmlns="http://schemas.openxmlformats.org/spreadsheetml/2006/main" count="609" uniqueCount="196">
  <si>
    <t>ExperimentName</t>
  </si>
  <si>
    <t>Subject</t>
  </si>
  <si>
    <t>Session</t>
  </si>
  <si>
    <t>Clock.Information</t>
  </si>
  <si>
    <t>DataFile.Basename</t>
  </si>
  <si>
    <t>Display.RefreshRate</t>
  </si>
  <si>
    <t>ExperimentVersion</t>
  </si>
  <si>
    <t>Group</t>
  </si>
  <si>
    <t>Instructions.Duration</t>
  </si>
  <si>
    <t>Instructions.DurationError</t>
  </si>
  <si>
    <t>Instructions.OffsetDelay</t>
  </si>
  <si>
    <t>Instructions.OffsetTime</t>
  </si>
  <si>
    <t>Instructions.OnsetDelay</t>
  </si>
  <si>
    <t>Instructions.OnsetTime</t>
  </si>
  <si>
    <t>Instructions.OnsetToOnsetTime</t>
  </si>
  <si>
    <t>Instructions.RESP</t>
  </si>
  <si>
    <t>Instructions.RT</t>
  </si>
  <si>
    <t>Instructions.RTTime</t>
  </si>
  <si>
    <t>RandomSeed</t>
  </si>
  <si>
    <t>RuntimeCapabilities</t>
  </si>
  <si>
    <t>RuntimeVersion</t>
  </si>
  <si>
    <t>RuntimeVersionExpected</t>
  </si>
  <si>
    <t>SessionDate</t>
  </si>
  <si>
    <t>SessionStartDateTimeUtc</t>
  </si>
  <si>
    <t>SessionTime</t>
  </si>
  <si>
    <t>StudioVersion</t>
  </si>
  <si>
    <t>Trigger.DEVICE</t>
  </si>
  <si>
    <t>Trigger.Duration</t>
  </si>
  <si>
    <t>Trigger.DurationError</t>
  </si>
  <si>
    <t>Trigger.OffsetTime</t>
  </si>
  <si>
    <t>Trigger.OnsetDelay</t>
  </si>
  <si>
    <t>Trigger.OnsetTime</t>
  </si>
  <si>
    <t>Trigger.OnsetToOnsetTime</t>
  </si>
  <si>
    <t>Trigger.RESP</t>
  </si>
  <si>
    <t>Trigger.RT</t>
  </si>
  <si>
    <t>Trigger.RTTime</t>
  </si>
  <si>
    <t>Block</t>
  </si>
  <si>
    <t>aptTrials</t>
  </si>
  <si>
    <t>aptTrials.Cycle</t>
  </si>
  <si>
    <t>aptTrials.Sample</t>
  </si>
  <si>
    <t>Choice</t>
  </si>
  <si>
    <t>currentChoice</t>
  </si>
  <si>
    <t>decideduration</t>
  </si>
  <si>
    <t>decideNew.ACC</t>
  </si>
  <si>
    <t>decideNew.CRESP</t>
  </si>
  <si>
    <t>decideNew.Duration</t>
  </si>
  <si>
    <t>decideNew.DurationError</t>
  </si>
  <si>
    <t>decideNew.FinishTime</t>
  </si>
  <si>
    <t>decideNew.OffsetDelay</t>
  </si>
  <si>
    <t>decideNew.OffsetTime</t>
  </si>
  <si>
    <t>decideNew.OnsetDelay</t>
  </si>
  <si>
    <t>decideNew.OnsetTime</t>
  </si>
  <si>
    <t>decideNew.OnsetToOnsetTime</t>
  </si>
  <si>
    <t>decideNew.PreRelease</t>
  </si>
  <si>
    <t>decideNew.RESP</t>
  </si>
  <si>
    <t>decideNew.RT</t>
  </si>
  <si>
    <t>decideNew.RTTime</t>
  </si>
  <si>
    <t>decideNew.StartTime</t>
  </si>
  <si>
    <t>decideNew.TargetOffsetTime</t>
  </si>
  <si>
    <t>decideNew.TargetOnsetTime</t>
  </si>
  <si>
    <t>inputduration</t>
  </si>
  <si>
    <t>inputresponse.ACC</t>
  </si>
  <si>
    <t>inputresponse.CRESP</t>
  </si>
  <si>
    <t>inputresponse.DEVICE</t>
  </si>
  <si>
    <t>inputresponse.Duration</t>
  </si>
  <si>
    <t>inputresponse.DurationError</t>
  </si>
  <si>
    <t>inputresponse.FinishTime</t>
  </si>
  <si>
    <t>inputresponse.OffsetTime</t>
  </si>
  <si>
    <t>inputresponse.OnsetDelay</t>
  </si>
  <si>
    <t>inputresponse.OnsetTime</t>
  </si>
  <si>
    <t>inputresponse.OnsetToOnsetTime</t>
  </si>
  <si>
    <t>inputresponse.PreRelease</t>
  </si>
  <si>
    <t>inputresponse.RESP</t>
  </si>
  <si>
    <t>inputresponse.RT</t>
  </si>
  <si>
    <t>inputresponse.RTTime</t>
  </si>
  <si>
    <t>inputresponse.StartTime</t>
  </si>
  <si>
    <t>inputresponse.TargetOffsetTime</t>
  </si>
  <si>
    <t>inputresponse.TargetOnsetTime</t>
  </si>
  <si>
    <t>ISI</t>
  </si>
  <si>
    <t>ISI.ACC</t>
  </si>
  <si>
    <t>ISI.CRESP</t>
  </si>
  <si>
    <t>ISI.Duration</t>
  </si>
  <si>
    <t>ISI.DurationError</t>
  </si>
  <si>
    <t>ISI.FinishTime</t>
  </si>
  <si>
    <t>ISI.OffsetDelay</t>
  </si>
  <si>
    <t>ISI.OffsetTime</t>
  </si>
  <si>
    <t>ISI.OnsetDelay</t>
  </si>
  <si>
    <t>ISI.OnsetTime</t>
  </si>
  <si>
    <t>ISI.OnsetToOnsetTime</t>
  </si>
  <si>
    <t>ISI.PreRelease</t>
  </si>
  <si>
    <t>ISI.RESP</t>
  </si>
  <si>
    <t>ISI.RT</t>
  </si>
  <si>
    <t>ISI.RTTime</t>
  </si>
  <si>
    <t>ISI.StartTime</t>
  </si>
  <si>
    <t>ISI.TargetOffsetTime</t>
  </si>
  <si>
    <t>ISI.TargetOnsetTime</t>
  </si>
  <si>
    <t>maxpos</t>
  </si>
  <si>
    <t>minpos</t>
  </si>
  <si>
    <t>pos1</t>
  </si>
  <si>
    <t>pos10</t>
  </si>
  <si>
    <t>pos11</t>
  </si>
  <si>
    <t>pos2</t>
  </si>
  <si>
    <t>pos3</t>
  </si>
  <si>
    <t>pos4</t>
  </si>
  <si>
    <t>pos5</t>
  </si>
  <si>
    <t>pos6</t>
  </si>
  <si>
    <t>pos7</t>
  </si>
  <si>
    <t>pos8</t>
  </si>
  <si>
    <t>pos9</t>
  </si>
  <si>
    <t>price</t>
  </si>
  <si>
    <t>Procedure</t>
  </si>
  <si>
    <t>Running</t>
  </si>
  <si>
    <t>start.Duration</t>
  </si>
  <si>
    <t>start.DurationError</t>
  </si>
  <si>
    <t>start.OffsetTime</t>
  </si>
  <si>
    <t>start.OnsetDelay</t>
  </si>
  <si>
    <t>start.OnsetTime</t>
  </si>
  <si>
    <t>start.OnsetToOnsetTime</t>
  </si>
  <si>
    <t>submitduration</t>
  </si>
  <si>
    <t>submitted.ACC</t>
  </si>
  <si>
    <t>submitted.CRESP</t>
  </si>
  <si>
    <t>submitted.Duration</t>
  </si>
  <si>
    <t>submitted.DurationError</t>
  </si>
  <si>
    <t>submitted.FinishTime</t>
  </si>
  <si>
    <t>submitted.OffsetDelay</t>
  </si>
  <si>
    <t>submitted.OffsetTime</t>
  </si>
  <si>
    <t>submitted.OnsetDelay</t>
  </si>
  <si>
    <t>submitted.OnsetTime</t>
  </si>
  <si>
    <t>submitted.OnsetToOnsetTime</t>
  </si>
  <si>
    <t>submitted.PreRelease</t>
  </si>
  <si>
    <t>submitted.RESP</t>
  </si>
  <si>
    <t>submitted.RT</t>
  </si>
  <si>
    <t>submitted.RTTime</t>
  </si>
  <si>
    <t>submitted.StartTime</t>
  </si>
  <si>
    <t>submitted.TargetOffsetTime</t>
  </si>
  <si>
    <t>submitted.TargetOnsetTime</t>
  </si>
  <si>
    <t>trialnumber</t>
  </si>
  <si>
    <t>Full</t>
  </si>
  <si>
    <t>3.0.3.80</t>
  </si>
  <si>
    <t>3.0.3.82</t>
  </si>
  <si>
    <t>Keyboard</t>
  </si>
  <si>
    <t>?</t>
  </si>
  <si>
    <t xml:space="preserve"> $0.01 each? </t>
  </si>
  <si>
    <t>aptTrialProc</t>
  </si>
  <si>
    <t xml:space="preserve"> $5.00 each? </t>
  </si>
  <si>
    <t xml:space="preserve"> $50.00 each? </t>
  </si>
  <si>
    <t xml:space="preserve"> $0.00 each? </t>
  </si>
  <si>
    <t xml:space="preserve"> $40.00 each? </t>
  </si>
  <si>
    <t xml:space="preserve"> $15.00 each? </t>
  </si>
  <si>
    <t xml:space="preserve"> $30.00 each? </t>
  </si>
  <si>
    <t xml:space="preserve"> $0.02 each? </t>
  </si>
  <si>
    <t xml:space="preserve"> $80.00 each? </t>
  </si>
  <si>
    <t xml:space="preserve"> $0.05 each? </t>
  </si>
  <si>
    <t xml:space="preserve"> $60.00 each? </t>
  </si>
  <si>
    <t xml:space="preserve"> $0.03 each? </t>
  </si>
  <si>
    <t>Run1</t>
  </si>
  <si>
    <t>Max</t>
  </si>
  <si>
    <t>type</t>
  </si>
  <si>
    <t>Ambivalent</t>
  </si>
  <si>
    <t>Approach</t>
  </si>
  <si>
    <t>Avoid</t>
  </si>
  <si>
    <t>error check</t>
  </si>
  <si>
    <t>apttrials</t>
  </si>
  <si>
    <t>$0.01 each?</t>
  </si>
  <si>
    <t>$5.00 each?</t>
  </si>
  <si>
    <t>$50.00 each?</t>
  </si>
  <si>
    <t>$0.00 each?</t>
  </si>
  <si>
    <t>$15.00 each?</t>
  </si>
  <si>
    <t>$0.05 each?</t>
  </si>
  <si>
    <t>$40.00 each?</t>
  </si>
  <si>
    <t>$13.00 each?</t>
  </si>
  <si>
    <t>$80.00 each?</t>
  </si>
  <si>
    <t>$30.00 each?</t>
  </si>
  <si>
    <t>$0.02 each?</t>
  </si>
  <si>
    <t>$9.00 each?</t>
  </si>
  <si>
    <t>$70.00 each?</t>
  </si>
  <si>
    <t>$0.04 each?</t>
  </si>
  <si>
    <t>$60.00 each?</t>
  </si>
  <si>
    <t>$7.00 each?</t>
  </si>
  <si>
    <t>$11.00 each?</t>
  </si>
  <si>
    <t>$0.03 each?</t>
  </si>
  <si>
    <t>Consumption</t>
  </si>
  <si>
    <t>Expenditure</t>
  </si>
  <si>
    <t>MaxCons</t>
  </si>
  <si>
    <t>Run 3</t>
  </si>
  <si>
    <t>***If NA = Use Normal</t>
  </si>
  <si>
    <t xml:space="preserve"> $7.00 each? </t>
  </si>
  <si>
    <t xml:space="preserve"> $11.00 each? </t>
  </si>
  <si>
    <t xml:space="preserve"> $70.00 each? </t>
  </si>
  <si>
    <t xml:space="preserve"> $0.04 each? </t>
  </si>
  <si>
    <t xml:space="preserve"> $13.00 each? </t>
  </si>
  <si>
    <t>R01_NE_APT Run 1_Penultimate Prices EP3_Mar22</t>
  </si>
  <si>
    <t>&lt;?xml version="1.0"?&gt;\n&lt;Clock xmlns:dt="urn:schemas-microsoft-com:datatypes"&gt;&lt;Description dt:dt="string"&gt;E-Prime Primary Realtime Clock&lt;/Description&gt;&lt;StartTime&gt;&lt;Timestamp dt:dt="int"&gt;0&lt;/Timestamp&gt;&lt;DateUtc dt:dt="string"&gt;2022-09-02T18:11:32Z&lt;/DateUtc&gt;&lt;/StartTime&gt;&lt;FrequencyChanges&gt;&lt;FrequencyChange&gt;&lt;Frequency dt:dt="r8"&gt;2531396&lt;/Frequency&gt;&lt;Timestamp dt:dt="r8"&gt;29499780309938&lt;/Timestamp&gt;&lt;Current dt:dt="r8"&gt;0&lt;/Current&gt;&lt;DateUtc dt:dt="string"&gt;2022-09-02T18:11:32Z&lt;/DateUtc&gt;&lt;/FrequencyChange&gt;&lt;/FrequencyChanges&gt;&lt;/Clock&gt;\n</t>
  </si>
  <si>
    <t>R01_NE_APT Run 1_Penultimate Prices EP3_Mar22-01092-1</t>
  </si>
  <si>
    <t>1.0.0.107</t>
  </si>
  <si>
    <t xml:space="preserve"> $9.00 each?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</si>
</sst>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1"/>
      <color rgb="FF000000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Inconsolata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1" fillId="3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1" fillId="5" borderId="0" xfId="0" applyFont="1" applyFill="1" applyAlignment="1">
      <alignment horizontal="right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4" fontId="0" fillId="0" borderId="0" xfId="0" applyNumberFormat="1"/>
    <xf numFmtId="22" fontId="0" fillId="0" borderId="0" xfId="0" applyNumberFormat="1"/>
    <xf numFmtId="21" fontId="0" fillId="0" borderId="0" xfId="0" applyNumberFormat="1"/>
    <xf numFmtId="0" fontId="7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7" fillId="7" borderId="7" xfId="0" applyFont="1" applyFill="1" applyBorder="1"/>
    <xf numFmtId="0" fontId="0" fillId="7" borderId="8" xfId="0" applyFill="1" applyBorder="1"/>
    <xf numFmtId="0" fontId="1" fillId="0" borderId="0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3" borderId="9" xfId="0" applyFont="1" applyFill="1" applyBorder="1" applyAlignment="1">
      <alignment horizontal="right"/>
    </xf>
    <xf numFmtId="0" fontId="1" fillId="3" borderId="0" xfId="0" applyFont="1" applyFill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3" borderId="10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0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1" fillId="5" borderId="9" xfId="0" applyFont="1" applyFill="1" applyBorder="1" applyAlignment="1">
      <alignment horizontal="right"/>
    </xf>
    <xf numFmtId="0" fontId="1" fillId="5" borderId="0" xfId="0" applyFont="1" applyFill="1" applyBorder="1" applyAlignment="1">
      <alignment horizontal="right"/>
    </xf>
    <xf numFmtId="0" fontId="1" fillId="5" borderId="10" xfId="0" applyFont="1" applyFill="1" applyBorder="1" applyAlignment="1">
      <alignment horizontal="right"/>
    </xf>
    <xf numFmtId="0" fontId="1" fillId="2" borderId="11" xfId="0" applyFont="1" applyFill="1" applyBorder="1"/>
    <xf numFmtId="0" fontId="1" fillId="2" borderId="9" xfId="0" applyFont="1" applyFill="1" applyBorder="1"/>
    <xf numFmtId="0" fontId="1" fillId="2" borderId="12" xfId="0" applyFont="1" applyFill="1" applyBorder="1"/>
    <xf numFmtId="0" fontId="1" fillId="0" borderId="13" xfId="0" applyFont="1" applyBorder="1"/>
    <xf numFmtId="0" fontId="1" fillId="0" borderId="0" xfId="0" applyFont="1" applyBorder="1"/>
    <xf numFmtId="0" fontId="1" fillId="0" borderId="14" xfId="0" applyFont="1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63500</xdr:rowOff>
    </xdr:from>
    <xdr:to>
      <xdr:col>10</xdr:col>
      <xdr:colOff>571500</xdr:colOff>
      <xdr:row>16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104ED9-EC4E-158D-145B-CF320C264EAC}"/>
            </a:ext>
          </a:extLst>
        </xdr:cNvPr>
        <xdr:cNvSpPr txBox="1"/>
      </xdr:nvSpPr>
      <xdr:spPr>
        <a:xfrm>
          <a:off x="6057900" y="838200"/>
          <a:ext cx="4432300" cy="2286000"/>
        </a:xfrm>
        <a:prstGeom prst="rect">
          <a:avLst/>
        </a:prstGeom>
        <a:solidFill>
          <a:schemeClr val="accent2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2" algn="l"/>
          <a:r>
            <a:rPr lang="en-CA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APPROACH is 4 or less : run 3 will be OVERSAMPLE LOW version</a:t>
          </a:r>
        </a:p>
        <a:p>
          <a:pPr marL="0" lvl="2" algn="l"/>
          <a:endParaRPr lang="en-CA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lvl="2" algn="l"/>
          <a:r>
            <a:rPr lang="en-CA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AVOID is</a:t>
          </a:r>
          <a:r>
            <a:rPr lang="en-CA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CA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or less : run 3 will be OVERSAMPLE HIGH version</a:t>
          </a:r>
        </a:p>
        <a:p>
          <a:pPr marL="0" lvl="2" algn="l"/>
          <a:endParaRPr lang="en-CA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lvl="2" algn="l"/>
          <a:r>
            <a:rPr lang="en-CA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balanced (ie. Neither approach or avoid are 4 or less): run 3 will be NORMAL version</a:t>
          </a:r>
          <a:endParaRPr lang="en-CA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400"/>
        </a:p>
        <a:p>
          <a:pPr algn="l"/>
          <a:r>
            <a:rPr lang="en-US" sz="1400"/>
            <a:t>If both Approach and Avoid are 4 or less, use OVERSAMPLE</a:t>
          </a:r>
          <a:r>
            <a:rPr lang="en-US" sz="1400" baseline="0"/>
            <a:t> LOW.</a:t>
          </a:r>
          <a:endParaRPr 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G31"/>
  <sheetViews>
    <sheetView workbookViewId="0">
      <selection activeCell="I55" sqref="I55"/>
    </sheetView>
  </sheetViews>
  <sheetFormatPr baseColWidth="10" defaultColWidth="8.83203125" defaultRowHeight="13" x14ac:dyDescent="0.15"/>
  <sheetData>
    <row r="1" spans="1:137" ht="15.7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</row>
    <row r="2" spans="1:137" x14ac:dyDescent="0.15">
      <c r="A2" t="s">
        <v>191</v>
      </c>
      <c r="B2">
        <v>1092</v>
      </c>
      <c r="C2">
        <v>1</v>
      </c>
      <c r="D2" t="s">
        <v>192</v>
      </c>
      <c r="E2" t="s">
        <v>193</v>
      </c>
      <c r="F2">
        <v>59.954000000000001</v>
      </c>
      <c r="G2" t="s">
        <v>194</v>
      </c>
      <c r="H2">
        <v>1</v>
      </c>
      <c r="I2">
        <v>6000</v>
      </c>
      <c r="J2">
        <v>-43</v>
      </c>
      <c r="K2">
        <v>0</v>
      </c>
      <c r="L2">
        <v>39856</v>
      </c>
      <c r="M2">
        <v>43</v>
      </c>
      <c r="N2">
        <v>33999</v>
      </c>
      <c r="O2">
        <v>5971</v>
      </c>
      <c r="Q2">
        <v>0</v>
      </c>
      <c r="R2">
        <v>0</v>
      </c>
      <c r="S2">
        <v>1945214817</v>
      </c>
      <c r="T2" t="s">
        <v>137</v>
      </c>
      <c r="U2" t="s">
        <v>138</v>
      </c>
      <c r="V2" t="s">
        <v>138</v>
      </c>
      <c r="W2" s="14">
        <v>44806</v>
      </c>
      <c r="X2" s="15">
        <v>44806.758020833331</v>
      </c>
      <c r="Y2" s="16">
        <v>0.59135416666666674</v>
      </c>
      <c r="Z2" t="s">
        <v>139</v>
      </c>
      <c r="AA2" t="s">
        <v>140</v>
      </c>
      <c r="AB2">
        <v>-1</v>
      </c>
      <c r="AC2">
        <v>-999999</v>
      </c>
      <c r="AD2">
        <v>33956</v>
      </c>
      <c r="AE2">
        <v>46</v>
      </c>
      <c r="AF2">
        <v>14951</v>
      </c>
      <c r="AG2">
        <v>0</v>
      </c>
      <c r="AH2">
        <v>5</v>
      </c>
      <c r="AI2">
        <v>19005</v>
      </c>
      <c r="AJ2">
        <v>33956</v>
      </c>
      <c r="AK2">
        <v>1</v>
      </c>
      <c r="AL2">
        <v>1</v>
      </c>
      <c r="AM2">
        <v>1</v>
      </c>
      <c r="AN2">
        <v>1</v>
      </c>
      <c r="AO2">
        <v>10</v>
      </c>
      <c r="AP2" t="s">
        <v>141</v>
      </c>
      <c r="AQ2">
        <v>4000</v>
      </c>
      <c r="AR2">
        <v>0</v>
      </c>
      <c r="AT2">
        <v>4000</v>
      </c>
      <c r="AU2">
        <v>-14</v>
      </c>
      <c r="AV2">
        <v>43856</v>
      </c>
      <c r="AW2">
        <v>0</v>
      </c>
      <c r="AX2">
        <v>43856</v>
      </c>
      <c r="AY2">
        <v>14</v>
      </c>
      <c r="AZ2">
        <v>39970</v>
      </c>
      <c r="BA2">
        <v>3987</v>
      </c>
      <c r="BB2">
        <v>100</v>
      </c>
      <c r="BD2">
        <v>0</v>
      </c>
      <c r="BE2">
        <v>0</v>
      </c>
      <c r="BF2">
        <v>39858</v>
      </c>
      <c r="BG2">
        <v>43856</v>
      </c>
      <c r="BH2">
        <v>39956</v>
      </c>
      <c r="BI2">
        <v>7000</v>
      </c>
      <c r="BJ2">
        <v>0</v>
      </c>
      <c r="BL2" t="s">
        <v>140</v>
      </c>
      <c r="BM2">
        <v>7000</v>
      </c>
      <c r="BN2">
        <v>-999999</v>
      </c>
      <c r="BO2">
        <v>48507</v>
      </c>
      <c r="BP2">
        <v>48507</v>
      </c>
      <c r="BQ2">
        <v>59</v>
      </c>
      <c r="BR2">
        <v>48294</v>
      </c>
      <c r="BS2">
        <v>0</v>
      </c>
      <c r="BT2">
        <v>100</v>
      </c>
      <c r="BU2">
        <v>1</v>
      </c>
      <c r="BV2">
        <v>213</v>
      </c>
      <c r="BW2">
        <v>48507</v>
      </c>
      <c r="BX2">
        <v>48239</v>
      </c>
      <c r="BY2">
        <v>55135</v>
      </c>
      <c r="BZ2">
        <v>48235</v>
      </c>
      <c r="CA2">
        <v>6000</v>
      </c>
      <c r="CB2">
        <v>0</v>
      </c>
      <c r="CD2">
        <v>6000</v>
      </c>
      <c r="CE2">
        <v>-6</v>
      </c>
      <c r="CF2">
        <v>56856</v>
      </c>
      <c r="CG2">
        <v>0</v>
      </c>
      <c r="CH2">
        <v>56856</v>
      </c>
      <c r="CI2">
        <v>6</v>
      </c>
      <c r="CJ2">
        <v>50962</v>
      </c>
      <c r="CK2">
        <v>0</v>
      </c>
      <c r="CL2">
        <v>100</v>
      </c>
      <c r="CN2">
        <v>0</v>
      </c>
      <c r="CO2">
        <v>0</v>
      </c>
      <c r="CP2">
        <v>50856</v>
      </c>
      <c r="CQ2">
        <v>56856</v>
      </c>
      <c r="CR2">
        <v>50956</v>
      </c>
      <c r="CS2">
        <v>15</v>
      </c>
      <c r="CT2">
        <v>4</v>
      </c>
      <c r="CU2">
        <v>0</v>
      </c>
      <c r="CV2">
        <v>9</v>
      </c>
      <c r="CW2">
        <v>10</v>
      </c>
      <c r="CX2">
        <v>1</v>
      </c>
      <c r="CY2">
        <v>2</v>
      </c>
      <c r="CZ2">
        <v>3</v>
      </c>
      <c r="DA2">
        <v>4</v>
      </c>
      <c r="DB2">
        <v>5</v>
      </c>
      <c r="DC2">
        <v>6</v>
      </c>
      <c r="DD2">
        <v>7</v>
      </c>
      <c r="DE2">
        <v>8</v>
      </c>
      <c r="DF2" t="s">
        <v>142</v>
      </c>
      <c r="DG2" t="s">
        <v>143</v>
      </c>
      <c r="DH2" t="s">
        <v>37</v>
      </c>
      <c r="DI2">
        <v>0</v>
      </c>
      <c r="DJ2">
        <v>0</v>
      </c>
      <c r="DK2">
        <v>43957</v>
      </c>
      <c r="DL2">
        <v>1</v>
      </c>
      <c r="DM2">
        <v>43957</v>
      </c>
      <c r="DN2">
        <v>50</v>
      </c>
      <c r="DO2">
        <v>7000</v>
      </c>
      <c r="DP2">
        <v>0</v>
      </c>
      <c r="DR2">
        <v>7000</v>
      </c>
      <c r="DS2">
        <v>-4605</v>
      </c>
      <c r="DT2">
        <v>50856</v>
      </c>
      <c r="DU2">
        <v>0</v>
      </c>
      <c r="DV2">
        <v>50856</v>
      </c>
      <c r="DW2">
        <v>4605</v>
      </c>
      <c r="DX2">
        <v>48561</v>
      </c>
      <c r="DY2">
        <v>2401</v>
      </c>
      <c r="DZ2">
        <v>100</v>
      </c>
      <c r="EB2">
        <v>0</v>
      </c>
      <c r="EC2">
        <v>0</v>
      </c>
      <c r="ED2">
        <v>48510</v>
      </c>
      <c r="EE2">
        <v>50856</v>
      </c>
      <c r="EF2">
        <v>43956</v>
      </c>
      <c r="EG2">
        <v>1</v>
      </c>
    </row>
    <row r="3" spans="1:137" x14ac:dyDescent="0.15">
      <c r="A3" t="s">
        <v>191</v>
      </c>
      <c r="B3">
        <v>1092</v>
      </c>
      <c r="C3">
        <v>1</v>
      </c>
      <c r="D3" t="s">
        <v>192</v>
      </c>
      <c r="E3" t="s">
        <v>193</v>
      </c>
      <c r="F3">
        <v>59.954000000000001</v>
      </c>
      <c r="G3" t="s">
        <v>194</v>
      </c>
      <c r="H3">
        <v>1</v>
      </c>
      <c r="I3">
        <v>6000</v>
      </c>
      <c r="J3">
        <v>-43</v>
      </c>
      <c r="K3">
        <v>0</v>
      </c>
      <c r="L3">
        <v>39856</v>
      </c>
      <c r="M3">
        <v>43</v>
      </c>
      <c r="N3">
        <v>33999</v>
      </c>
      <c r="O3">
        <v>5971</v>
      </c>
      <c r="Q3">
        <v>0</v>
      </c>
      <c r="R3">
        <v>0</v>
      </c>
      <c r="S3">
        <v>1945214817</v>
      </c>
      <c r="T3" t="s">
        <v>137</v>
      </c>
      <c r="U3" t="s">
        <v>138</v>
      </c>
      <c r="V3" t="s">
        <v>138</v>
      </c>
      <c r="W3" s="14">
        <v>44806</v>
      </c>
      <c r="X3" s="15">
        <v>44806.758020833331</v>
      </c>
      <c r="Y3" s="16">
        <v>0.59135416666666674</v>
      </c>
      <c r="Z3" t="s">
        <v>139</v>
      </c>
      <c r="AA3" t="s">
        <v>140</v>
      </c>
      <c r="AB3">
        <v>-1</v>
      </c>
      <c r="AC3">
        <v>-999999</v>
      </c>
      <c r="AD3">
        <v>33956</v>
      </c>
      <c r="AE3">
        <v>46</v>
      </c>
      <c r="AF3">
        <v>14951</v>
      </c>
      <c r="AG3">
        <v>0</v>
      </c>
      <c r="AH3">
        <v>5</v>
      </c>
      <c r="AI3">
        <v>19005</v>
      </c>
      <c r="AJ3">
        <v>33956</v>
      </c>
      <c r="AK3">
        <v>2</v>
      </c>
      <c r="AL3">
        <v>2</v>
      </c>
      <c r="AM3">
        <v>1</v>
      </c>
      <c r="AN3">
        <v>2</v>
      </c>
      <c r="AO3">
        <v>10</v>
      </c>
      <c r="AP3" t="s">
        <v>141</v>
      </c>
      <c r="AQ3">
        <v>4000</v>
      </c>
      <c r="AR3">
        <v>0</v>
      </c>
      <c r="AT3">
        <v>4000</v>
      </c>
      <c r="AU3">
        <v>-11</v>
      </c>
      <c r="AV3">
        <v>60856</v>
      </c>
      <c r="AW3">
        <v>0</v>
      </c>
      <c r="AX3">
        <v>60856</v>
      </c>
      <c r="AY3">
        <v>11</v>
      </c>
      <c r="AZ3">
        <v>56967</v>
      </c>
      <c r="BA3">
        <v>4003</v>
      </c>
      <c r="BB3">
        <v>100</v>
      </c>
      <c r="BD3">
        <v>0</v>
      </c>
      <c r="BE3">
        <v>0</v>
      </c>
      <c r="BF3">
        <v>56861</v>
      </c>
      <c r="BG3">
        <v>60856</v>
      </c>
      <c r="BH3">
        <v>56956</v>
      </c>
      <c r="BI3">
        <v>7000</v>
      </c>
      <c r="BJ3">
        <v>0</v>
      </c>
      <c r="BL3" t="s">
        <v>140</v>
      </c>
      <c r="BM3">
        <v>7000</v>
      </c>
      <c r="BN3">
        <v>-999999</v>
      </c>
      <c r="BO3">
        <v>64818</v>
      </c>
      <c r="BP3">
        <v>64818</v>
      </c>
      <c r="BQ3">
        <v>61</v>
      </c>
      <c r="BR3">
        <v>64239</v>
      </c>
      <c r="BS3">
        <v>0</v>
      </c>
      <c r="BT3">
        <v>100</v>
      </c>
      <c r="BU3">
        <v>1</v>
      </c>
      <c r="BV3">
        <v>579</v>
      </c>
      <c r="BW3">
        <v>64818</v>
      </c>
      <c r="BX3">
        <v>64183</v>
      </c>
      <c r="BY3">
        <v>71078</v>
      </c>
      <c r="BZ3">
        <v>64178</v>
      </c>
      <c r="CA3">
        <v>12000</v>
      </c>
      <c r="CB3">
        <v>0</v>
      </c>
      <c r="CD3">
        <v>12000</v>
      </c>
      <c r="CE3">
        <v>-3</v>
      </c>
      <c r="CF3">
        <v>79856</v>
      </c>
      <c r="CG3">
        <v>0</v>
      </c>
      <c r="CH3">
        <v>79856</v>
      </c>
      <c r="CI3">
        <v>3</v>
      </c>
      <c r="CJ3">
        <v>67959</v>
      </c>
      <c r="CK3">
        <v>0</v>
      </c>
      <c r="CL3">
        <v>100</v>
      </c>
      <c r="CN3">
        <v>0</v>
      </c>
      <c r="CO3">
        <v>0</v>
      </c>
      <c r="CP3">
        <v>67856</v>
      </c>
      <c r="CQ3">
        <v>79856</v>
      </c>
      <c r="CR3">
        <v>67956</v>
      </c>
      <c r="CS3">
        <v>15</v>
      </c>
      <c r="CT3">
        <v>4</v>
      </c>
      <c r="CU3">
        <v>0</v>
      </c>
      <c r="CV3">
        <v>9</v>
      </c>
      <c r="CW3">
        <v>10</v>
      </c>
      <c r="CX3">
        <v>1</v>
      </c>
      <c r="CY3">
        <v>2</v>
      </c>
      <c r="CZ3">
        <v>3</v>
      </c>
      <c r="DA3">
        <v>4</v>
      </c>
      <c r="DB3">
        <v>5</v>
      </c>
      <c r="DC3">
        <v>6</v>
      </c>
      <c r="DD3">
        <v>7</v>
      </c>
      <c r="DE3">
        <v>8</v>
      </c>
      <c r="DF3" t="s">
        <v>144</v>
      </c>
      <c r="DG3" t="s">
        <v>143</v>
      </c>
      <c r="DH3" t="s">
        <v>37</v>
      </c>
      <c r="DI3">
        <v>0</v>
      </c>
      <c r="DJ3">
        <v>0</v>
      </c>
      <c r="DK3">
        <v>60970</v>
      </c>
      <c r="DL3">
        <v>14</v>
      </c>
      <c r="DM3">
        <v>60970</v>
      </c>
      <c r="DN3">
        <v>50</v>
      </c>
      <c r="DO3">
        <v>7000</v>
      </c>
      <c r="DP3">
        <v>0</v>
      </c>
      <c r="DR3">
        <v>7000</v>
      </c>
      <c r="DS3">
        <v>-3917</v>
      </c>
      <c r="DT3">
        <v>67856</v>
      </c>
      <c r="DU3">
        <v>0</v>
      </c>
      <c r="DV3">
        <v>67856</v>
      </c>
      <c r="DW3">
        <v>3917</v>
      </c>
      <c r="DX3">
        <v>64873</v>
      </c>
      <c r="DY3">
        <v>3086</v>
      </c>
      <c r="DZ3">
        <v>100</v>
      </c>
      <c r="EB3">
        <v>0</v>
      </c>
      <c r="EC3">
        <v>0</v>
      </c>
      <c r="ED3">
        <v>64822</v>
      </c>
      <c r="EE3">
        <v>67856</v>
      </c>
      <c r="EF3">
        <v>60956</v>
      </c>
      <c r="EG3">
        <v>2</v>
      </c>
    </row>
    <row r="4" spans="1:137" x14ac:dyDescent="0.15">
      <c r="A4" t="s">
        <v>191</v>
      </c>
      <c r="B4">
        <v>1092</v>
      </c>
      <c r="C4">
        <v>1</v>
      </c>
      <c r="D4" t="s">
        <v>192</v>
      </c>
      <c r="E4" t="s">
        <v>193</v>
      </c>
      <c r="F4">
        <v>59.954000000000001</v>
      </c>
      <c r="G4" t="s">
        <v>194</v>
      </c>
      <c r="H4">
        <v>1</v>
      </c>
      <c r="I4">
        <v>6000</v>
      </c>
      <c r="J4">
        <v>-43</v>
      </c>
      <c r="K4">
        <v>0</v>
      </c>
      <c r="L4">
        <v>39856</v>
      </c>
      <c r="M4">
        <v>43</v>
      </c>
      <c r="N4">
        <v>33999</v>
      </c>
      <c r="O4">
        <v>5971</v>
      </c>
      <c r="Q4">
        <v>0</v>
      </c>
      <c r="R4">
        <v>0</v>
      </c>
      <c r="S4">
        <v>1945214817</v>
      </c>
      <c r="T4" t="s">
        <v>137</v>
      </c>
      <c r="U4" t="s">
        <v>138</v>
      </c>
      <c r="V4" t="s">
        <v>138</v>
      </c>
      <c r="W4" s="14">
        <v>44806</v>
      </c>
      <c r="X4" s="15">
        <v>44806.758020833331</v>
      </c>
      <c r="Y4" s="16">
        <v>0.59135416666666674</v>
      </c>
      <c r="Z4" t="s">
        <v>139</v>
      </c>
      <c r="AA4" t="s">
        <v>140</v>
      </c>
      <c r="AB4">
        <v>-1</v>
      </c>
      <c r="AC4">
        <v>-999999</v>
      </c>
      <c r="AD4">
        <v>33956</v>
      </c>
      <c r="AE4">
        <v>46</v>
      </c>
      <c r="AF4">
        <v>14951</v>
      </c>
      <c r="AG4">
        <v>0</v>
      </c>
      <c r="AH4">
        <v>5</v>
      </c>
      <c r="AI4">
        <v>19005</v>
      </c>
      <c r="AJ4">
        <v>33956</v>
      </c>
      <c r="AK4">
        <v>3</v>
      </c>
      <c r="AL4">
        <v>3</v>
      </c>
      <c r="AM4">
        <v>1</v>
      </c>
      <c r="AN4">
        <v>3</v>
      </c>
      <c r="AO4">
        <v>1</v>
      </c>
      <c r="AP4" t="s">
        <v>141</v>
      </c>
      <c r="AQ4">
        <v>4000</v>
      </c>
      <c r="AR4">
        <v>0</v>
      </c>
      <c r="AT4">
        <v>4000</v>
      </c>
      <c r="AU4">
        <v>-12</v>
      </c>
      <c r="AV4">
        <v>83856</v>
      </c>
      <c r="AW4">
        <v>0</v>
      </c>
      <c r="AX4">
        <v>83856</v>
      </c>
      <c r="AY4">
        <v>12</v>
      </c>
      <c r="AZ4">
        <v>79968</v>
      </c>
      <c r="BA4">
        <v>4003</v>
      </c>
      <c r="BB4">
        <v>100</v>
      </c>
      <c r="BD4">
        <v>0</v>
      </c>
      <c r="BE4">
        <v>0</v>
      </c>
      <c r="BF4">
        <v>79865</v>
      </c>
      <c r="BG4">
        <v>83856</v>
      </c>
      <c r="BH4">
        <v>79956</v>
      </c>
      <c r="BI4">
        <v>7000</v>
      </c>
      <c r="BJ4">
        <v>0</v>
      </c>
      <c r="BL4" t="s">
        <v>140</v>
      </c>
      <c r="BM4">
        <v>7000</v>
      </c>
      <c r="BN4">
        <v>-999999</v>
      </c>
      <c r="BO4">
        <v>86209</v>
      </c>
      <c r="BP4">
        <v>86209</v>
      </c>
      <c r="BQ4">
        <v>118</v>
      </c>
      <c r="BR4">
        <v>85823</v>
      </c>
      <c r="BS4">
        <v>0</v>
      </c>
      <c r="BT4">
        <v>100</v>
      </c>
      <c r="BU4">
        <v>1</v>
      </c>
      <c r="BV4">
        <v>386</v>
      </c>
      <c r="BW4">
        <v>86209</v>
      </c>
      <c r="BX4">
        <v>85711</v>
      </c>
      <c r="BY4">
        <v>92605</v>
      </c>
      <c r="BZ4">
        <v>85705</v>
      </c>
      <c r="CA4">
        <v>8000</v>
      </c>
      <c r="CB4">
        <v>0</v>
      </c>
      <c r="CD4">
        <v>8000</v>
      </c>
      <c r="CE4">
        <v>-4</v>
      </c>
      <c r="CF4">
        <v>98856</v>
      </c>
      <c r="CG4">
        <v>0</v>
      </c>
      <c r="CH4">
        <v>98856</v>
      </c>
      <c r="CI4">
        <v>4</v>
      </c>
      <c r="CJ4">
        <v>90960</v>
      </c>
      <c r="CK4">
        <v>0</v>
      </c>
      <c r="CL4">
        <v>100</v>
      </c>
      <c r="CN4">
        <v>0</v>
      </c>
      <c r="CO4">
        <v>0</v>
      </c>
      <c r="CP4">
        <v>90856</v>
      </c>
      <c r="CQ4">
        <v>98856</v>
      </c>
      <c r="CR4">
        <v>90956</v>
      </c>
      <c r="CS4">
        <v>15</v>
      </c>
      <c r="CT4">
        <v>4</v>
      </c>
      <c r="CU4">
        <v>0</v>
      </c>
      <c r="CV4">
        <v>9</v>
      </c>
      <c r="CW4">
        <v>10</v>
      </c>
      <c r="CX4">
        <v>1</v>
      </c>
      <c r="CY4">
        <v>2</v>
      </c>
      <c r="CZ4">
        <v>3</v>
      </c>
      <c r="DA4">
        <v>4</v>
      </c>
      <c r="DB4">
        <v>5</v>
      </c>
      <c r="DC4">
        <v>6</v>
      </c>
      <c r="DD4">
        <v>7</v>
      </c>
      <c r="DE4">
        <v>8</v>
      </c>
      <c r="DF4" t="s">
        <v>145</v>
      </c>
      <c r="DG4" t="s">
        <v>143</v>
      </c>
      <c r="DH4" t="s">
        <v>37</v>
      </c>
      <c r="DI4">
        <v>0</v>
      </c>
      <c r="DJ4">
        <v>0</v>
      </c>
      <c r="DK4">
        <v>83971</v>
      </c>
      <c r="DL4">
        <v>15</v>
      </c>
      <c r="DM4">
        <v>83971</v>
      </c>
      <c r="DN4">
        <v>67</v>
      </c>
      <c r="DO4">
        <v>7000</v>
      </c>
      <c r="DP4">
        <v>0</v>
      </c>
      <c r="DR4">
        <v>7000</v>
      </c>
      <c r="DS4">
        <v>-2367</v>
      </c>
      <c r="DT4">
        <v>90856</v>
      </c>
      <c r="DU4">
        <v>0</v>
      </c>
      <c r="DV4">
        <v>90856</v>
      </c>
      <c r="DW4">
        <v>2367</v>
      </c>
      <c r="DX4">
        <v>86323</v>
      </c>
      <c r="DY4">
        <v>4637</v>
      </c>
      <c r="DZ4">
        <v>100</v>
      </c>
      <c r="EB4">
        <v>0</v>
      </c>
      <c r="EC4">
        <v>0</v>
      </c>
      <c r="ED4">
        <v>86213</v>
      </c>
      <c r="EE4">
        <v>90856</v>
      </c>
      <c r="EF4">
        <v>83956</v>
      </c>
      <c r="EG4">
        <v>3</v>
      </c>
    </row>
    <row r="5" spans="1:137" x14ac:dyDescent="0.15">
      <c r="A5" t="s">
        <v>191</v>
      </c>
      <c r="B5">
        <v>1092</v>
      </c>
      <c r="C5">
        <v>1</v>
      </c>
      <c r="D5" t="s">
        <v>192</v>
      </c>
      <c r="E5" t="s">
        <v>193</v>
      </c>
      <c r="F5">
        <v>59.954000000000001</v>
      </c>
      <c r="G5" t="s">
        <v>194</v>
      </c>
      <c r="H5">
        <v>1</v>
      </c>
      <c r="I5">
        <v>6000</v>
      </c>
      <c r="J5">
        <v>-43</v>
      </c>
      <c r="K5">
        <v>0</v>
      </c>
      <c r="L5">
        <v>39856</v>
      </c>
      <c r="M5">
        <v>43</v>
      </c>
      <c r="N5">
        <v>33999</v>
      </c>
      <c r="O5">
        <v>5971</v>
      </c>
      <c r="Q5">
        <v>0</v>
      </c>
      <c r="R5">
        <v>0</v>
      </c>
      <c r="S5">
        <v>1945214817</v>
      </c>
      <c r="T5" t="s">
        <v>137</v>
      </c>
      <c r="U5" t="s">
        <v>138</v>
      </c>
      <c r="V5" t="s">
        <v>138</v>
      </c>
      <c r="W5" s="14">
        <v>44806</v>
      </c>
      <c r="X5" s="15">
        <v>44806.758020833331</v>
      </c>
      <c r="Y5" s="16">
        <v>0.59135416666666674</v>
      </c>
      <c r="Z5" t="s">
        <v>139</v>
      </c>
      <c r="AA5" t="s">
        <v>140</v>
      </c>
      <c r="AB5">
        <v>-1</v>
      </c>
      <c r="AC5">
        <v>-999999</v>
      </c>
      <c r="AD5">
        <v>33956</v>
      </c>
      <c r="AE5">
        <v>46</v>
      </c>
      <c r="AF5">
        <v>14951</v>
      </c>
      <c r="AG5">
        <v>0</v>
      </c>
      <c r="AH5">
        <v>5</v>
      </c>
      <c r="AI5">
        <v>19005</v>
      </c>
      <c r="AJ5">
        <v>33956</v>
      </c>
      <c r="AK5">
        <v>4</v>
      </c>
      <c r="AL5">
        <v>4</v>
      </c>
      <c r="AM5">
        <v>1</v>
      </c>
      <c r="AN5">
        <v>4</v>
      </c>
      <c r="AO5">
        <v>10</v>
      </c>
      <c r="AP5" t="s">
        <v>141</v>
      </c>
      <c r="AQ5">
        <v>4000</v>
      </c>
      <c r="AR5">
        <v>0</v>
      </c>
      <c r="AT5">
        <v>4000</v>
      </c>
      <c r="AU5">
        <v>-10</v>
      </c>
      <c r="AV5">
        <v>102856</v>
      </c>
      <c r="AW5">
        <v>0</v>
      </c>
      <c r="AX5">
        <v>102856</v>
      </c>
      <c r="AY5">
        <v>10</v>
      </c>
      <c r="AZ5">
        <v>98966</v>
      </c>
      <c r="BA5">
        <v>4003</v>
      </c>
      <c r="BB5">
        <v>100</v>
      </c>
      <c r="BD5">
        <v>0</v>
      </c>
      <c r="BE5">
        <v>0</v>
      </c>
      <c r="BF5">
        <v>98861</v>
      </c>
      <c r="BG5">
        <v>102856</v>
      </c>
      <c r="BH5">
        <v>98956</v>
      </c>
      <c r="BI5">
        <v>7000</v>
      </c>
      <c r="BJ5">
        <v>0</v>
      </c>
      <c r="BL5" t="s">
        <v>140</v>
      </c>
      <c r="BM5">
        <v>7000</v>
      </c>
      <c r="BN5">
        <v>-999999</v>
      </c>
      <c r="BO5">
        <v>105112</v>
      </c>
      <c r="BP5">
        <v>105112</v>
      </c>
      <c r="BQ5">
        <v>54</v>
      </c>
      <c r="BR5">
        <v>104854</v>
      </c>
      <c r="BS5">
        <v>0</v>
      </c>
      <c r="BT5">
        <v>100</v>
      </c>
      <c r="BU5">
        <v>1</v>
      </c>
      <c r="BV5">
        <v>258</v>
      </c>
      <c r="BW5">
        <v>105112</v>
      </c>
      <c r="BX5">
        <v>104804</v>
      </c>
      <c r="BY5">
        <v>111700</v>
      </c>
      <c r="BZ5">
        <v>104800</v>
      </c>
      <c r="CA5">
        <v>4000</v>
      </c>
      <c r="CB5">
        <v>0</v>
      </c>
      <c r="CD5">
        <v>4000</v>
      </c>
      <c r="CE5">
        <v>-2</v>
      </c>
      <c r="CF5">
        <v>113856</v>
      </c>
      <c r="CG5">
        <v>0</v>
      </c>
      <c r="CH5">
        <v>113856</v>
      </c>
      <c r="CI5">
        <v>2</v>
      </c>
      <c r="CJ5">
        <v>109958</v>
      </c>
      <c r="CK5">
        <v>0</v>
      </c>
      <c r="CL5">
        <v>100</v>
      </c>
      <c r="CN5">
        <v>0</v>
      </c>
      <c r="CO5">
        <v>0</v>
      </c>
      <c r="CP5">
        <v>109856</v>
      </c>
      <c r="CQ5">
        <v>113856</v>
      </c>
      <c r="CR5">
        <v>109956</v>
      </c>
      <c r="CS5">
        <v>15</v>
      </c>
      <c r="CT5">
        <v>4</v>
      </c>
      <c r="CU5">
        <v>0</v>
      </c>
      <c r="CV5">
        <v>9</v>
      </c>
      <c r="CW5">
        <v>10</v>
      </c>
      <c r="CX5">
        <v>1</v>
      </c>
      <c r="CY5">
        <v>2</v>
      </c>
      <c r="CZ5">
        <v>3</v>
      </c>
      <c r="DA5">
        <v>4</v>
      </c>
      <c r="DB5">
        <v>5</v>
      </c>
      <c r="DC5">
        <v>6</v>
      </c>
      <c r="DD5">
        <v>7</v>
      </c>
      <c r="DE5">
        <v>8</v>
      </c>
      <c r="DF5" t="s">
        <v>146</v>
      </c>
      <c r="DG5" t="s">
        <v>143</v>
      </c>
      <c r="DH5" t="s">
        <v>37</v>
      </c>
      <c r="DI5">
        <v>0</v>
      </c>
      <c r="DJ5">
        <v>0</v>
      </c>
      <c r="DK5">
        <v>102969</v>
      </c>
      <c r="DL5">
        <v>13</v>
      </c>
      <c r="DM5">
        <v>102969</v>
      </c>
      <c r="DN5">
        <v>67</v>
      </c>
      <c r="DO5">
        <v>7000</v>
      </c>
      <c r="DP5">
        <v>0</v>
      </c>
      <c r="DR5">
        <v>7000</v>
      </c>
      <c r="DS5">
        <v>-2215</v>
      </c>
      <c r="DT5">
        <v>109856</v>
      </c>
      <c r="DU5">
        <v>0</v>
      </c>
      <c r="DV5">
        <v>109856</v>
      </c>
      <c r="DW5">
        <v>2215</v>
      </c>
      <c r="DX5">
        <v>105171</v>
      </c>
      <c r="DY5">
        <v>4787</v>
      </c>
      <c r="DZ5">
        <v>100</v>
      </c>
      <c r="EB5">
        <v>0</v>
      </c>
      <c r="EC5">
        <v>0</v>
      </c>
      <c r="ED5">
        <v>105115</v>
      </c>
      <c r="EE5">
        <v>109856</v>
      </c>
      <c r="EF5">
        <v>102956</v>
      </c>
      <c r="EG5">
        <v>4</v>
      </c>
    </row>
    <row r="6" spans="1:137" x14ac:dyDescent="0.15">
      <c r="A6" t="s">
        <v>191</v>
      </c>
      <c r="B6">
        <v>1092</v>
      </c>
      <c r="C6">
        <v>1</v>
      </c>
      <c r="D6" t="s">
        <v>192</v>
      </c>
      <c r="E6" t="s">
        <v>193</v>
      </c>
      <c r="F6">
        <v>59.954000000000001</v>
      </c>
      <c r="G6" t="s">
        <v>194</v>
      </c>
      <c r="H6">
        <v>1</v>
      </c>
      <c r="I6">
        <v>6000</v>
      </c>
      <c r="J6">
        <v>-43</v>
      </c>
      <c r="K6">
        <v>0</v>
      </c>
      <c r="L6">
        <v>39856</v>
      </c>
      <c r="M6">
        <v>43</v>
      </c>
      <c r="N6">
        <v>33999</v>
      </c>
      <c r="O6">
        <v>5971</v>
      </c>
      <c r="Q6">
        <v>0</v>
      </c>
      <c r="R6">
        <v>0</v>
      </c>
      <c r="S6">
        <v>1945214817</v>
      </c>
      <c r="T6" t="s">
        <v>137</v>
      </c>
      <c r="U6" t="s">
        <v>138</v>
      </c>
      <c r="V6" t="s">
        <v>138</v>
      </c>
      <c r="W6" s="14">
        <v>44806</v>
      </c>
      <c r="X6" s="15">
        <v>44806.758020833331</v>
      </c>
      <c r="Y6" s="16">
        <v>0.59135416666666674</v>
      </c>
      <c r="Z6" t="s">
        <v>139</v>
      </c>
      <c r="AA6" t="s">
        <v>140</v>
      </c>
      <c r="AB6">
        <v>-1</v>
      </c>
      <c r="AC6">
        <v>-999999</v>
      </c>
      <c r="AD6">
        <v>33956</v>
      </c>
      <c r="AE6">
        <v>46</v>
      </c>
      <c r="AF6">
        <v>14951</v>
      </c>
      <c r="AG6">
        <v>0</v>
      </c>
      <c r="AH6">
        <v>5</v>
      </c>
      <c r="AI6">
        <v>19005</v>
      </c>
      <c r="AJ6">
        <v>33956</v>
      </c>
      <c r="AK6">
        <v>5</v>
      </c>
      <c r="AL6">
        <v>5</v>
      </c>
      <c r="AM6">
        <v>1</v>
      </c>
      <c r="AN6">
        <v>5</v>
      </c>
      <c r="AO6">
        <v>5</v>
      </c>
      <c r="AP6" t="s">
        <v>141</v>
      </c>
      <c r="AQ6">
        <v>4000</v>
      </c>
      <c r="AR6">
        <v>0</v>
      </c>
      <c r="AT6">
        <v>4000</v>
      </c>
      <c r="AU6">
        <v>-5</v>
      </c>
      <c r="AV6">
        <v>117856</v>
      </c>
      <c r="AW6">
        <v>0</v>
      </c>
      <c r="AX6">
        <v>117856</v>
      </c>
      <c r="AY6">
        <v>5</v>
      </c>
      <c r="AZ6">
        <v>113961</v>
      </c>
      <c r="BA6">
        <v>4003</v>
      </c>
      <c r="BB6">
        <v>100</v>
      </c>
      <c r="BD6">
        <v>0</v>
      </c>
      <c r="BE6">
        <v>0</v>
      </c>
      <c r="BF6">
        <v>113863</v>
      </c>
      <c r="BG6">
        <v>117856</v>
      </c>
      <c r="BH6">
        <v>113956</v>
      </c>
      <c r="BI6">
        <v>7000</v>
      </c>
      <c r="BJ6">
        <v>0</v>
      </c>
      <c r="BL6" t="s">
        <v>140</v>
      </c>
      <c r="BM6">
        <v>7000</v>
      </c>
      <c r="BN6">
        <v>-999999</v>
      </c>
      <c r="BO6">
        <v>119359</v>
      </c>
      <c r="BP6">
        <v>119359</v>
      </c>
      <c r="BQ6">
        <v>83</v>
      </c>
      <c r="BR6">
        <v>118498</v>
      </c>
      <c r="BS6">
        <v>0</v>
      </c>
      <c r="BT6">
        <v>100</v>
      </c>
      <c r="BU6">
        <v>1</v>
      </c>
      <c r="BV6">
        <v>861</v>
      </c>
      <c r="BW6">
        <v>119359</v>
      </c>
      <c r="BX6">
        <v>118421</v>
      </c>
      <c r="BY6">
        <v>125315</v>
      </c>
      <c r="BZ6">
        <v>118415</v>
      </c>
      <c r="CA6">
        <v>4000</v>
      </c>
      <c r="CB6">
        <v>0</v>
      </c>
      <c r="CD6">
        <v>4000</v>
      </c>
      <c r="CE6">
        <v>-14</v>
      </c>
      <c r="CF6">
        <v>128856</v>
      </c>
      <c r="CG6">
        <v>0</v>
      </c>
      <c r="CH6">
        <v>128856</v>
      </c>
      <c r="CI6">
        <v>14</v>
      </c>
      <c r="CJ6">
        <v>124970</v>
      </c>
      <c r="CK6">
        <v>0</v>
      </c>
      <c r="CL6">
        <v>100</v>
      </c>
      <c r="CN6">
        <v>0</v>
      </c>
      <c r="CO6">
        <v>0</v>
      </c>
      <c r="CP6">
        <v>124857</v>
      </c>
      <c r="CQ6">
        <v>128856</v>
      </c>
      <c r="CR6">
        <v>124956</v>
      </c>
      <c r="CS6">
        <v>15</v>
      </c>
      <c r="CT6">
        <v>4</v>
      </c>
      <c r="CU6">
        <v>0</v>
      </c>
      <c r="CV6">
        <v>9</v>
      </c>
      <c r="CW6">
        <v>10</v>
      </c>
      <c r="CX6">
        <v>1</v>
      </c>
      <c r="CY6">
        <v>2</v>
      </c>
      <c r="CZ6">
        <v>3</v>
      </c>
      <c r="DA6">
        <v>4</v>
      </c>
      <c r="DB6">
        <v>5</v>
      </c>
      <c r="DC6">
        <v>6</v>
      </c>
      <c r="DD6">
        <v>7</v>
      </c>
      <c r="DE6">
        <v>8</v>
      </c>
      <c r="DF6" t="s">
        <v>148</v>
      </c>
      <c r="DG6" t="s">
        <v>143</v>
      </c>
      <c r="DH6" t="s">
        <v>37</v>
      </c>
      <c r="DI6">
        <v>0</v>
      </c>
      <c r="DJ6">
        <v>0</v>
      </c>
      <c r="DK6">
        <v>117964</v>
      </c>
      <c r="DL6">
        <v>8</v>
      </c>
      <c r="DM6">
        <v>117964</v>
      </c>
      <c r="DN6">
        <v>100</v>
      </c>
      <c r="DO6">
        <v>7000</v>
      </c>
      <c r="DP6">
        <v>0</v>
      </c>
      <c r="DR6">
        <v>7000</v>
      </c>
      <c r="DS6">
        <v>-1509</v>
      </c>
      <c r="DT6">
        <v>124856</v>
      </c>
      <c r="DU6">
        <v>0</v>
      </c>
      <c r="DV6">
        <v>124856</v>
      </c>
      <c r="DW6">
        <v>1509</v>
      </c>
      <c r="DX6">
        <v>119465</v>
      </c>
      <c r="DY6">
        <v>5505</v>
      </c>
      <c r="DZ6">
        <v>100</v>
      </c>
      <c r="EB6">
        <v>0</v>
      </c>
      <c r="EC6">
        <v>0</v>
      </c>
      <c r="ED6">
        <v>119363</v>
      </c>
      <c r="EE6">
        <v>124856</v>
      </c>
      <c r="EF6">
        <v>117956</v>
      </c>
      <c r="EG6">
        <v>5</v>
      </c>
    </row>
    <row r="7" spans="1:137" x14ac:dyDescent="0.15">
      <c r="A7" t="s">
        <v>191</v>
      </c>
      <c r="B7">
        <v>1092</v>
      </c>
      <c r="C7">
        <v>1</v>
      </c>
      <c r="D7" t="s">
        <v>192</v>
      </c>
      <c r="E7" t="s">
        <v>193</v>
      </c>
      <c r="F7">
        <v>59.954000000000001</v>
      </c>
      <c r="G7" t="s">
        <v>194</v>
      </c>
      <c r="H7">
        <v>1</v>
      </c>
      <c r="I7">
        <v>6000</v>
      </c>
      <c r="J7">
        <v>-43</v>
      </c>
      <c r="K7">
        <v>0</v>
      </c>
      <c r="L7">
        <v>39856</v>
      </c>
      <c r="M7">
        <v>43</v>
      </c>
      <c r="N7">
        <v>33999</v>
      </c>
      <c r="O7">
        <v>5971</v>
      </c>
      <c r="Q7">
        <v>0</v>
      </c>
      <c r="R7">
        <v>0</v>
      </c>
      <c r="S7">
        <v>1945214817</v>
      </c>
      <c r="T7" t="s">
        <v>137</v>
      </c>
      <c r="U7" t="s">
        <v>138</v>
      </c>
      <c r="V7" t="s">
        <v>138</v>
      </c>
      <c r="W7" s="14">
        <v>44806</v>
      </c>
      <c r="X7" s="15">
        <v>44806.758020833331</v>
      </c>
      <c r="Y7" s="16">
        <v>0.59135416666666674</v>
      </c>
      <c r="Z7" t="s">
        <v>139</v>
      </c>
      <c r="AA7" t="s">
        <v>140</v>
      </c>
      <c r="AB7">
        <v>-1</v>
      </c>
      <c r="AC7">
        <v>-999999</v>
      </c>
      <c r="AD7">
        <v>33956</v>
      </c>
      <c r="AE7">
        <v>46</v>
      </c>
      <c r="AF7">
        <v>14951</v>
      </c>
      <c r="AG7">
        <v>0</v>
      </c>
      <c r="AH7">
        <v>5</v>
      </c>
      <c r="AI7">
        <v>19005</v>
      </c>
      <c r="AJ7">
        <v>33956</v>
      </c>
      <c r="AK7">
        <v>6</v>
      </c>
      <c r="AL7">
        <v>6</v>
      </c>
      <c r="AM7">
        <v>1</v>
      </c>
      <c r="AN7">
        <v>6</v>
      </c>
      <c r="AO7">
        <v>10</v>
      </c>
      <c r="AP7" t="s">
        <v>141</v>
      </c>
      <c r="AQ7">
        <v>4000</v>
      </c>
      <c r="AR7">
        <v>0</v>
      </c>
      <c r="AT7">
        <v>4000</v>
      </c>
      <c r="AU7">
        <v>-17</v>
      </c>
      <c r="AV7">
        <v>132856</v>
      </c>
      <c r="AW7">
        <v>0</v>
      </c>
      <c r="AX7">
        <v>132856</v>
      </c>
      <c r="AY7">
        <v>17</v>
      </c>
      <c r="AZ7">
        <v>128973</v>
      </c>
      <c r="BA7">
        <v>3986</v>
      </c>
      <c r="BB7">
        <v>100</v>
      </c>
      <c r="BD7">
        <v>0</v>
      </c>
      <c r="BE7">
        <v>0</v>
      </c>
      <c r="BF7">
        <v>128865</v>
      </c>
      <c r="BG7">
        <v>132856</v>
      </c>
      <c r="BH7">
        <v>128956</v>
      </c>
      <c r="BI7">
        <v>7000</v>
      </c>
      <c r="BJ7">
        <v>0</v>
      </c>
      <c r="BL7" t="s">
        <v>140</v>
      </c>
      <c r="BM7">
        <v>7000</v>
      </c>
      <c r="BN7">
        <v>-999999</v>
      </c>
      <c r="BO7">
        <v>135326</v>
      </c>
      <c r="BP7">
        <v>135326</v>
      </c>
      <c r="BQ7">
        <v>103</v>
      </c>
      <c r="BR7">
        <v>135077</v>
      </c>
      <c r="BS7">
        <v>0</v>
      </c>
      <c r="BT7">
        <v>100</v>
      </c>
      <c r="BU7">
        <v>1</v>
      </c>
      <c r="BV7">
        <v>249</v>
      </c>
      <c r="BW7">
        <v>135326</v>
      </c>
      <c r="BX7">
        <v>134980</v>
      </c>
      <c r="BY7">
        <v>141874</v>
      </c>
      <c r="BZ7">
        <v>134974</v>
      </c>
      <c r="CA7">
        <v>2000</v>
      </c>
      <c r="CB7">
        <v>0</v>
      </c>
      <c r="CD7">
        <v>2000</v>
      </c>
      <c r="CE7">
        <v>-8</v>
      </c>
      <c r="CF7">
        <v>141856</v>
      </c>
      <c r="CG7">
        <v>0</v>
      </c>
      <c r="CH7">
        <v>141856</v>
      </c>
      <c r="CI7">
        <v>8</v>
      </c>
      <c r="CJ7">
        <v>139964</v>
      </c>
      <c r="CK7">
        <v>0</v>
      </c>
      <c r="CL7">
        <v>100</v>
      </c>
      <c r="CN7">
        <v>0</v>
      </c>
      <c r="CO7">
        <v>0</v>
      </c>
      <c r="CP7">
        <v>139856</v>
      </c>
      <c r="CQ7">
        <v>141856</v>
      </c>
      <c r="CR7">
        <v>139956</v>
      </c>
      <c r="CS7">
        <v>15</v>
      </c>
      <c r="CT7">
        <v>4</v>
      </c>
      <c r="CU7">
        <v>0</v>
      </c>
      <c r="CV7">
        <v>9</v>
      </c>
      <c r="CW7">
        <v>10</v>
      </c>
      <c r="CX7">
        <v>1</v>
      </c>
      <c r="CY7">
        <v>2</v>
      </c>
      <c r="CZ7">
        <v>3</v>
      </c>
      <c r="DA7">
        <v>4</v>
      </c>
      <c r="DB7">
        <v>5</v>
      </c>
      <c r="DC7">
        <v>6</v>
      </c>
      <c r="DD7">
        <v>7</v>
      </c>
      <c r="DE7">
        <v>8</v>
      </c>
      <c r="DF7" t="s">
        <v>152</v>
      </c>
      <c r="DG7" t="s">
        <v>143</v>
      </c>
      <c r="DH7" t="s">
        <v>37</v>
      </c>
      <c r="DI7">
        <v>0</v>
      </c>
      <c r="DJ7">
        <v>0</v>
      </c>
      <c r="DK7">
        <v>132959</v>
      </c>
      <c r="DL7">
        <v>3</v>
      </c>
      <c r="DM7">
        <v>132959</v>
      </c>
      <c r="DN7">
        <v>100</v>
      </c>
      <c r="DO7">
        <v>7000</v>
      </c>
      <c r="DP7">
        <v>0</v>
      </c>
      <c r="DR7">
        <v>7000</v>
      </c>
      <c r="DS7">
        <v>-2472</v>
      </c>
      <c r="DT7">
        <v>139856</v>
      </c>
      <c r="DU7">
        <v>0</v>
      </c>
      <c r="DV7">
        <v>139856</v>
      </c>
      <c r="DW7">
        <v>2472</v>
      </c>
      <c r="DX7">
        <v>135428</v>
      </c>
      <c r="DY7">
        <v>4536</v>
      </c>
      <c r="DZ7">
        <v>100</v>
      </c>
      <c r="EB7">
        <v>0</v>
      </c>
      <c r="EC7">
        <v>0</v>
      </c>
      <c r="ED7">
        <v>135330</v>
      </c>
      <c r="EE7">
        <v>139856</v>
      </c>
      <c r="EF7">
        <v>132956</v>
      </c>
      <c r="EG7">
        <v>6</v>
      </c>
    </row>
    <row r="8" spans="1:137" x14ac:dyDescent="0.15">
      <c r="A8" t="s">
        <v>191</v>
      </c>
      <c r="B8">
        <v>1092</v>
      </c>
      <c r="C8">
        <v>1</v>
      </c>
      <c r="D8" t="s">
        <v>192</v>
      </c>
      <c r="E8" t="s">
        <v>193</v>
      </c>
      <c r="F8">
        <v>59.954000000000001</v>
      </c>
      <c r="G8" t="s">
        <v>194</v>
      </c>
      <c r="H8">
        <v>1</v>
      </c>
      <c r="I8">
        <v>6000</v>
      </c>
      <c r="J8">
        <v>-43</v>
      </c>
      <c r="K8">
        <v>0</v>
      </c>
      <c r="L8">
        <v>39856</v>
      </c>
      <c r="M8">
        <v>43</v>
      </c>
      <c r="N8">
        <v>33999</v>
      </c>
      <c r="O8">
        <v>5971</v>
      </c>
      <c r="Q8">
        <v>0</v>
      </c>
      <c r="R8">
        <v>0</v>
      </c>
      <c r="S8">
        <v>1945214817</v>
      </c>
      <c r="T8" t="s">
        <v>137</v>
      </c>
      <c r="U8" t="s">
        <v>138</v>
      </c>
      <c r="V8" t="s">
        <v>138</v>
      </c>
      <c r="W8" s="14">
        <v>44806</v>
      </c>
      <c r="X8" s="15">
        <v>44806.758020833331</v>
      </c>
      <c r="Y8" s="16">
        <v>0.59135416666666674</v>
      </c>
      <c r="Z8" t="s">
        <v>139</v>
      </c>
      <c r="AA8" t="s">
        <v>140</v>
      </c>
      <c r="AB8">
        <v>-1</v>
      </c>
      <c r="AC8">
        <v>-999999</v>
      </c>
      <c r="AD8">
        <v>33956</v>
      </c>
      <c r="AE8">
        <v>46</v>
      </c>
      <c r="AF8">
        <v>14951</v>
      </c>
      <c r="AG8">
        <v>0</v>
      </c>
      <c r="AH8">
        <v>5</v>
      </c>
      <c r="AI8">
        <v>19005</v>
      </c>
      <c r="AJ8">
        <v>33956</v>
      </c>
      <c r="AK8">
        <v>7</v>
      </c>
      <c r="AL8">
        <v>7</v>
      </c>
      <c r="AM8">
        <v>1</v>
      </c>
      <c r="AN8">
        <v>7</v>
      </c>
      <c r="AO8">
        <v>2</v>
      </c>
      <c r="AP8" t="s">
        <v>141</v>
      </c>
      <c r="AQ8">
        <v>4000</v>
      </c>
      <c r="AR8">
        <v>0</v>
      </c>
      <c r="AT8">
        <v>4000</v>
      </c>
      <c r="AU8">
        <v>-10</v>
      </c>
      <c r="AV8">
        <v>145856</v>
      </c>
      <c r="AW8">
        <v>0</v>
      </c>
      <c r="AX8">
        <v>145856</v>
      </c>
      <c r="AY8">
        <v>10</v>
      </c>
      <c r="AZ8">
        <v>141966</v>
      </c>
      <c r="BA8">
        <v>4003</v>
      </c>
      <c r="BB8">
        <v>100</v>
      </c>
      <c r="BD8">
        <v>0</v>
      </c>
      <c r="BE8">
        <v>0</v>
      </c>
      <c r="BF8">
        <v>141861</v>
      </c>
      <c r="BG8">
        <v>145856</v>
      </c>
      <c r="BH8">
        <v>141956</v>
      </c>
      <c r="BI8">
        <v>7000</v>
      </c>
      <c r="BJ8">
        <v>0</v>
      </c>
      <c r="BL8" t="s">
        <v>140</v>
      </c>
      <c r="BM8">
        <v>7000</v>
      </c>
      <c r="BN8">
        <v>-999999</v>
      </c>
      <c r="BO8">
        <v>148286</v>
      </c>
      <c r="BP8">
        <v>148285</v>
      </c>
      <c r="BQ8">
        <v>122</v>
      </c>
      <c r="BR8">
        <v>147887</v>
      </c>
      <c r="BS8">
        <v>0</v>
      </c>
      <c r="BT8">
        <v>100</v>
      </c>
      <c r="BU8">
        <v>1</v>
      </c>
      <c r="BV8">
        <v>398</v>
      </c>
      <c r="BW8">
        <v>148285</v>
      </c>
      <c r="BX8">
        <v>147772</v>
      </c>
      <c r="BY8">
        <v>154665</v>
      </c>
      <c r="BZ8">
        <v>147765</v>
      </c>
      <c r="CA8">
        <v>8000</v>
      </c>
      <c r="CB8">
        <v>0</v>
      </c>
      <c r="CD8">
        <v>8000</v>
      </c>
      <c r="CE8">
        <v>-2</v>
      </c>
      <c r="CF8">
        <v>160856</v>
      </c>
      <c r="CG8">
        <v>0</v>
      </c>
      <c r="CH8">
        <v>160856</v>
      </c>
      <c r="CI8">
        <v>2</v>
      </c>
      <c r="CJ8">
        <v>152958</v>
      </c>
      <c r="CK8">
        <v>0</v>
      </c>
      <c r="CL8">
        <v>100</v>
      </c>
      <c r="CN8">
        <v>0</v>
      </c>
      <c r="CO8">
        <v>0</v>
      </c>
      <c r="CP8">
        <v>152856</v>
      </c>
      <c r="CQ8">
        <v>160856</v>
      </c>
      <c r="CR8">
        <v>152956</v>
      </c>
      <c r="CS8">
        <v>15</v>
      </c>
      <c r="CT8">
        <v>4</v>
      </c>
      <c r="CU8">
        <v>0</v>
      </c>
      <c r="CV8">
        <v>9</v>
      </c>
      <c r="CW8">
        <v>10</v>
      </c>
      <c r="CX8">
        <v>1</v>
      </c>
      <c r="CY8">
        <v>2</v>
      </c>
      <c r="CZ8">
        <v>3</v>
      </c>
      <c r="DA8">
        <v>4</v>
      </c>
      <c r="DB8">
        <v>5</v>
      </c>
      <c r="DC8">
        <v>6</v>
      </c>
      <c r="DD8">
        <v>7</v>
      </c>
      <c r="DE8">
        <v>8</v>
      </c>
      <c r="DF8" t="s">
        <v>147</v>
      </c>
      <c r="DG8" t="s">
        <v>143</v>
      </c>
      <c r="DH8" t="s">
        <v>37</v>
      </c>
      <c r="DI8">
        <v>0</v>
      </c>
      <c r="DJ8">
        <v>0</v>
      </c>
      <c r="DK8">
        <v>145969</v>
      </c>
      <c r="DL8">
        <v>13</v>
      </c>
      <c r="DM8">
        <v>145969</v>
      </c>
      <c r="DN8">
        <v>100</v>
      </c>
      <c r="DO8">
        <v>7000</v>
      </c>
      <c r="DP8">
        <v>0</v>
      </c>
      <c r="DR8">
        <v>7000</v>
      </c>
      <c r="DS8">
        <v>-2432</v>
      </c>
      <c r="DT8">
        <v>152856</v>
      </c>
      <c r="DU8">
        <v>0</v>
      </c>
      <c r="DV8">
        <v>152856</v>
      </c>
      <c r="DW8">
        <v>2432</v>
      </c>
      <c r="DX8">
        <v>148388</v>
      </c>
      <c r="DY8">
        <v>4570</v>
      </c>
      <c r="DZ8">
        <v>100</v>
      </c>
      <c r="EB8">
        <v>0</v>
      </c>
      <c r="EC8">
        <v>0</v>
      </c>
      <c r="ED8">
        <v>148289</v>
      </c>
      <c r="EE8">
        <v>152856</v>
      </c>
      <c r="EF8">
        <v>145956</v>
      </c>
      <c r="EG8">
        <v>7</v>
      </c>
    </row>
    <row r="9" spans="1:137" x14ac:dyDescent="0.15">
      <c r="A9" t="s">
        <v>191</v>
      </c>
      <c r="B9">
        <v>1092</v>
      </c>
      <c r="C9">
        <v>1</v>
      </c>
      <c r="D9" t="s">
        <v>192</v>
      </c>
      <c r="E9" t="s">
        <v>193</v>
      </c>
      <c r="F9">
        <v>59.954000000000001</v>
      </c>
      <c r="G9" t="s">
        <v>194</v>
      </c>
      <c r="H9">
        <v>1</v>
      </c>
      <c r="I9">
        <v>6000</v>
      </c>
      <c r="J9">
        <v>-43</v>
      </c>
      <c r="K9">
        <v>0</v>
      </c>
      <c r="L9">
        <v>39856</v>
      </c>
      <c r="M9">
        <v>43</v>
      </c>
      <c r="N9">
        <v>33999</v>
      </c>
      <c r="O9">
        <v>5971</v>
      </c>
      <c r="Q9">
        <v>0</v>
      </c>
      <c r="R9">
        <v>0</v>
      </c>
      <c r="S9">
        <v>1945214817</v>
      </c>
      <c r="T9" t="s">
        <v>137</v>
      </c>
      <c r="U9" t="s">
        <v>138</v>
      </c>
      <c r="V9" t="s">
        <v>138</v>
      </c>
      <c r="W9" s="14">
        <v>44806</v>
      </c>
      <c r="X9" s="15">
        <v>44806.758020833331</v>
      </c>
      <c r="Y9" s="16">
        <v>0.59135416666666674</v>
      </c>
      <c r="Z9" t="s">
        <v>139</v>
      </c>
      <c r="AA9" t="s">
        <v>140</v>
      </c>
      <c r="AB9">
        <v>-1</v>
      </c>
      <c r="AC9">
        <v>-999999</v>
      </c>
      <c r="AD9">
        <v>33956</v>
      </c>
      <c r="AE9">
        <v>46</v>
      </c>
      <c r="AF9">
        <v>14951</v>
      </c>
      <c r="AG9">
        <v>0</v>
      </c>
      <c r="AH9">
        <v>5</v>
      </c>
      <c r="AI9">
        <v>19005</v>
      </c>
      <c r="AJ9">
        <v>33956</v>
      </c>
      <c r="AK9">
        <v>8</v>
      </c>
      <c r="AL9">
        <v>8</v>
      </c>
      <c r="AM9">
        <v>1</v>
      </c>
      <c r="AN9">
        <v>8</v>
      </c>
      <c r="AO9">
        <v>6</v>
      </c>
      <c r="AP9" t="s">
        <v>141</v>
      </c>
      <c r="AQ9">
        <v>4000</v>
      </c>
      <c r="AR9">
        <v>0</v>
      </c>
      <c r="AT9">
        <v>4000</v>
      </c>
      <c r="AU9">
        <v>-8</v>
      </c>
      <c r="AV9">
        <v>164856</v>
      </c>
      <c r="AW9">
        <v>0</v>
      </c>
      <c r="AX9">
        <v>164856</v>
      </c>
      <c r="AY9">
        <v>8</v>
      </c>
      <c r="AZ9">
        <v>160964</v>
      </c>
      <c r="BA9">
        <v>4003</v>
      </c>
      <c r="BB9">
        <v>100</v>
      </c>
      <c r="BD9">
        <v>0</v>
      </c>
      <c r="BE9">
        <v>0</v>
      </c>
      <c r="BF9">
        <v>160861</v>
      </c>
      <c r="BG9">
        <v>164856</v>
      </c>
      <c r="BH9">
        <v>160956</v>
      </c>
      <c r="BI9">
        <v>7000</v>
      </c>
      <c r="BJ9">
        <v>0</v>
      </c>
      <c r="BL9" t="s">
        <v>140</v>
      </c>
      <c r="BM9">
        <v>7000</v>
      </c>
      <c r="BN9">
        <v>-999999</v>
      </c>
      <c r="BO9">
        <v>166548</v>
      </c>
      <c r="BP9">
        <v>166548</v>
      </c>
      <c r="BQ9">
        <v>70</v>
      </c>
      <c r="BR9">
        <v>165834</v>
      </c>
      <c r="BS9">
        <v>0</v>
      </c>
      <c r="BT9">
        <v>100</v>
      </c>
      <c r="BU9">
        <v>1</v>
      </c>
      <c r="BV9">
        <v>714</v>
      </c>
      <c r="BW9">
        <v>166548</v>
      </c>
      <c r="BX9">
        <v>165769</v>
      </c>
      <c r="BY9">
        <v>172664</v>
      </c>
      <c r="BZ9">
        <v>165764</v>
      </c>
      <c r="CA9">
        <v>8000</v>
      </c>
      <c r="CB9">
        <v>0</v>
      </c>
      <c r="CD9">
        <v>8000</v>
      </c>
      <c r="CE9">
        <v>0</v>
      </c>
      <c r="CF9">
        <v>179856</v>
      </c>
      <c r="CG9">
        <v>0</v>
      </c>
      <c r="CH9">
        <v>179856</v>
      </c>
      <c r="CI9">
        <v>0</v>
      </c>
      <c r="CJ9">
        <v>171956</v>
      </c>
      <c r="CK9">
        <v>0</v>
      </c>
      <c r="CL9">
        <v>100</v>
      </c>
      <c r="CN9">
        <v>0</v>
      </c>
      <c r="CO9">
        <v>0</v>
      </c>
      <c r="CP9">
        <v>171856</v>
      </c>
      <c r="CQ9">
        <v>179856</v>
      </c>
      <c r="CR9">
        <v>171956</v>
      </c>
      <c r="CS9">
        <v>15</v>
      </c>
      <c r="CT9">
        <v>4</v>
      </c>
      <c r="CU9">
        <v>0</v>
      </c>
      <c r="CV9">
        <v>9</v>
      </c>
      <c r="CW9">
        <v>10</v>
      </c>
      <c r="CX9">
        <v>1</v>
      </c>
      <c r="CY9">
        <v>2</v>
      </c>
      <c r="CZ9">
        <v>3</v>
      </c>
      <c r="DA9">
        <v>4</v>
      </c>
      <c r="DB9">
        <v>5</v>
      </c>
      <c r="DC9">
        <v>6</v>
      </c>
      <c r="DD9">
        <v>7</v>
      </c>
      <c r="DE9">
        <v>8</v>
      </c>
      <c r="DF9" t="s">
        <v>190</v>
      </c>
      <c r="DG9" t="s">
        <v>143</v>
      </c>
      <c r="DH9" t="s">
        <v>37</v>
      </c>
      <c r="DI9">
        <v>0</v>
      </c>
      <c r="DJ9">
        <v>0</v>
      </c>
      <c r="DK9">
        <v>164967</v>
      </c>
      <c r="DL9">
        <v>11</v>
      </c>
      <c r="DM9">
        <v>164967</v>
      </c>
      <c r="DN9">
        <v>67</v>
      </c>
      <c r="DO9">
        <v>7000</v>
      </c>
      <c r="DP9">
        <v>0</v>
      </c>
      <c r="DR9">
        <v>7000</v>
      </c>
      <c r="DS9">
        <v>-1713</v>
      </c>
      <c r="DT9">
        <v>171856</v>
      </c>
      <c r="DU9">
        <v>0</v>
      </c>
      <c r="DV9">
        <v>171856</v>
      </c>
      <c r="DW9">
        <v>1713</v>
      </c>
      <c r="DX9">
        <v>166669</v>
      </c>
      <c r="DY9">
        <v>5287</v>
      </c>
      <c r="DZ9">
        <v>100</v>
      </c>
      <c r="EB9">
        <v>0</v>
      </c>
      <c r="EC9">
        <v>0</v>
      </c>
      <c r="ED9">
        <v>166552</v>
      </c>
      <c r="EE9">
        <v>171856</v>
      </c>
      <c r="EF9">
        <v>164956</v>
      </c>
      <c r="EG9">
        <v>8</v>
      </c>
    </row>
    <row r="10" spans="1:137" x14ac:dyDescent="0.15">
      <c r="A10" t="s">
        <v>191</v>
      </c>
      <c r="B10">
        <v>1092</v>
      </c>
      <c r="C10">
        <v>1</v>
      </c>
      <c r="D10" t="s">
        <v>192</v>
      </c>
      <c r="E10" t="s">
        <v>193</v>
      </c>
      <c r="F10">
        <v>59.954000000000001</v>
      </c>
      <c r="G10" t="s">
        <v>194</v>
      </c>
      <c r="H10">
        <v>1</v>
      </c>
      <c r="I10">
        <v>6000</v>
      </c>
      <c r="J10">
        <v>-43</v>
      </c>
      <c r="K10">
        <v>0</v>
      </c>
      <c r="L10">
        <v>39856</v>
      </c>
      <c r="M10">
        <v>43</v>
      </c>
      <c r="N10">
        <v>33999</v>
      </c>
      <c r="O10">
        <v>5971</v>
      </c>
      <c r="Q10">
        <v>0</v>
      </c>
      <c r="R10">
        <v>0</v>
      </c>
      <c r="S10">
        <v>1945214817</v>
      </c>
      <c r="T10" t="s">
        <v>137</v>
      </c>
      <c r="U10" t="s">
        <v>138</v>
      </c>
      <c r="V10" t="s">
        <v>138</v>
      </c>
      <c r="W10" s="14">
        <v>44806</v>
      </c>
      <c r="X10" s="15">
        <v>44806.758020833331</v>
      </c>
      <c r="Y10" s="16">
        <v>0.59135416666666674</v>
      </c>
      <c r="Z10" t="s">
        <v>139</v>
      </c>
      <c r="AA10" t="s">
        <v>140</v>
      </c>
      <c r="AB10">
        <v>-1</v>
      </c>
      <c r="AC10">
        <v>-999999</v>
      </c>
      <c r="AD10">
        <v>33956</v>
      </c>
      <c r="AE10">
        <v>46</v>
      </c>
      <c r="AF10">
        <v>14951</v>
      </c>
      <c r="AG10">
        <v>0</v>
      </c>
      <c r="AH10">
        <v>5</v>
      </c>
      <c r="AI10">
        <v>19005</v>
      </c>
      <c r="AJ10">
        <v>33956</v>
      </c>
      <c r="AK10">
        <v>9</v>
      </c>
      <c r="AL10">
        <v>9</v>
      </c>
      <c r="AM10">
        <v>1</v>
      </c>
      <c r="AN10">
        <v>9</v>
      </c>
      <c r="AO10">
        <v>0</v>
      </c>
      <c r="AP10" t="s">
        <v>141</v>
      </c>
      <c r="AQ10">
        <v>4000</v>
      </c>
      <c r="AR10">
        <v>0</v>
      </c>
      <c r="AT10">
        <v>4000</v>
      </c>
      <c r="AU10">
        <v>-6</v>
      </c>
      <c r="AV10">
        <v>183856</v>
      </c>
      <c r="AW10">
        <v>0</v>
      </c>
      <c r="AX10">
        <v>183856</v>
      </c>
      <c r="AY10">
        <v>6</v>
      </c>
      <c r="AZ10">
        <v>179962</v>
      </c>
      <c r="BA10">
        <v>4003</v>
      </c>
      <c r="BB10">
        <v>100</v>
      </c>
      <c r="BD10">
        <v>0</v>
      </c>
      <c r="BE10">
        <v>0</v>
      </c>
      <c r="BF10">
        <v>179865</v>
      </c>
      <c r="BG10">
        <v>183856</v>
      </c>
      <c r="BH10">
        <v>179956</v>
      </c>
      <c r="BI10">
        <v>7000</v>
      </c>
      <c r="BJ10">
        <v>0</v>
      </c>
      <c r="BL10" t="s">
        <v>140</v>
      </c>
      <c r="BM10">
        <v>7000</v>
      </c>
      <c r="BN10">
        <v>-999999</v>
      </c>
      <c r="BO10">
        <v>186875</v>
      </c>
      <c r="BP10">
        <v>186875</v>
      </c>
      <c r="BQ10">
        <v>80</v>
      </c>
      <c r="BR10">
        <v>186651</v>
      </c>
      <c r="BS10">
        <v>0</v>
      </c>
      <c r="BT10">
        <v>100</v>
      </c>
      <c r="BU10">
        <v>1</v>
      </c>
      <c r="BV10">
        <v>224</v>
      </c>
      <c r="BW10">
        <v>186875</v>
      </c>
      <c r="BX10">
        <v>186577</v>
      </c>
      <c r="BY10">
        <v>193471</v>
      </c>
      <c r="BZ10">
        <v>186571</v>
      </c>
      <c r="CA10">
        <v>10000</v>
      </c>
      <c r="CB10">
        <v>0</v>
      </c>
      <c r="CD10">
        <v>10000</v>
      </c>
      <c r="CE10">
        <v>-14</v>
      </c>
      <c r="CF10">
        <v>200856</v>
      </c>
      <c r="CG10">
        <v>0</v>
      </c>
      <c r="CH10">
        <v>200856</v>
      </c>
      <c r="CI10">
        <v>14</v>
      </c>
      <c r="CJ10">
        <v>190970</v>
      </c>
      <c r="CK10">
        <v>0</v>
      </c>
      <c r="CL10">
        <v>100</v>
      </c>
      <c r="CN10">
        <v>0</v>
      </c>
      <c r="CO10">
        <v>0</v>
      </c>
      <c r="CP10">
        <v>190856</v>
      </c>
      <c r="CQ10">
        <v>200856</v>
      </c>
      <c r="CR10">
        <v>190956</v>
      </c>
      <c r="CS10">
        <v>15</v>
      </c>
      <c r="CT10">
        <v>4</v>
      </c>
      <c r="CU10">
        <v>0</v>
      </c>
      <c r="CV10">
        <v>9</v>
      </c>
      <c r="CW10">
        <v>10</v>
      </c>
      <c r="CX10">
        <v>1</v>
      </c>
      <c r="CY10">
        <v>2</v>
      </c>
      <c r="CZ10">
        <v>3</v>
      </c>
      <c r="DA10">
        <v>4</v>
      </c>
      <c r="DB10">
        <v>5</v>
      </c>
      <c r="DC10">
        <v>6</v>
      </c>
      <c r="DD10">
        <v>7</v>
      </c>
      <c r="DE10">
        <v>8</v>
      </c>
      <c r="DF10" t="s">
        <v>151</v>
      </c>
      <c r="DG10" t="s">
        <v>143</v>
      </c>
      <c r="DH10" t="s">
        <v>37</v>
      </c>
      <c r="DI10">
        <v>0</v>
      </c>
      <c r="DJ10">
        <v>0</v>
      </c>
      <c r="DK10">
        <v>183965</v>
      </c>
      <c r="DL10">
        <v>9</v>
      </c>
      <c r="DM10">
        <v>183965</v>
      </c>
      <c r="DN10">
        <v>84</v>
      </c>
      <c r="DO10">
        <v>7000</v>
      </c>
      <c r="DP10">
        <v>0</v>
      </c>
      <c r="DR10">
        <v>7000</v>
      </c>
      <c r="DS10">
        <v>-2995</v>
      </c>
      <c r="DT10">
        <v>190856</v>
      </c>
      <c r="DU10">
        <v>0</v>
      </c>
      <c r="DV10">
        <v>190856</v>
      </c>
      <c r="DW10">
        <v>2995</v>
      </c>
      <c r="DX10">
        <v>186951</v>
      </c>
      <c r="DY10">
        <v>4019</v>
      </c>
      <c r="DZ10">
        <v>100</v>
      </c>
      <c r="EB10">
        <v>0</v>
      </c>
      <c r="EC10">
        <v>0</v>
      </c>
      <c r="ED10">
        <v>186878</v>
      </c>
      <c r="EE10">
        <v>190856</v>
      </c>
      <c r="EF10">
        <v>183956</v>
      </c>
      <c r="EG10">
        <v>9</v>
      </c>
    </row>
    <row r="11" spans="1:137" x14ac:dyDescent="0.15">
      <c r="A11" t="s">
        <v>191</v>
      </c>
      <c r="B11">
        <v>1092</v>
      </c>
      <c r="C11">
        <v>1</v>
      </c>
      <c r="D11" t="s">
        <v>192</v>
      </c>
      <c r="E11" t="s">
        <v>193</v>
      </c>
      <c r="F11">
        <v>59.954000000000001</v>
      </c>
      <c r="G11" t="s">
        <v>194</v>
      </c>
      <c r="H11">
        <v>1</v>
      </c>
      <c r="I11">
        <v>6000</v>
      </c>
      <c r="J11">
        <v>-43</v>
      </c>
      <c r="K11">
        <v>0</v>
      </c>
      <c r="L11">
        <v>39856</v>
      </c>
      <c r="M11">
        <v>43</v>
      </c>
      <c r="N11">
        <v>33999</v>
      </c>
      <c r="O11">
        <v>5971</v>
      </c>
      <c r="Q11">
        <v>0</v>
      </c>
      <c r="R11">
        <v>0</v>
      </c>
      <c r="S11">
        <v>1945214817</v>
      </c>
      <c r="T11" t="s">
        <v>137</v>
      </c>
      <c r="U11" t="s">
        <v>138</v>
      </c>
      <c r="V11" t="s">
        <v>138</v>
      </c>
      <c r="W11" s="14">
        <v>44806</v>
      </c>
      <c r="X11" s="15">
        <v>44806.758020833331</v>
      </c>
      <c r="Y11" s="16">
        <v>0.59135416666666674</v>
      </c>
      <c r="Z11" t="s">
        <v>139</v>
      </c>
      <c r="AA11" t="s">
        <v>140</v>
      </c>
      <c r="AB11">
        <v>-1</v>
      </c>
      <c r="AC11">
        <v>-999999</v>
      </c>
      <c r="AD11">
        <v>33956</v>
      </c>
      <c r="AE11">
        <v>46</v>
      </c>
      <c r="AF11">
        <v>14951</v>
      </c>
      <c r="AG11">
        <v>0</v>
      </c>
      <c r="AH11">
        <v>5</v>
      </c>
      <c r="AI11">
        <v>19005</v>
      </c>
      <c r="AJ11">
        <v>33956</v>
      </c>
      <c r="AK11">
        <v>10</v>
      </c>
      <c r="AL11">
        <v>10</v>
      </c>
      <c r="AM11">
        <v>1</v>
      </c>
      <c r="AN11">
        <v>10</v>
      </c>
      <c r="AO11">
        <v>10</v>
      </c>
      <c r="AP11" t="s">
        <v>141</v>
      </c>
      <c r="AQ11">
        <v>4000</v>
      </c>
      <c r="AR11">
        <v>0</v>
      </c>
      <c r="AT11">
        <v>4000</v>
      </c>
      <c r="AU11">
        <v>-6</v>
      </c>
      <c r="AV11">
        <v>204856</v>
      </c>
      <c r="AW11">
        <v>0</v>
      </c>
      <c r="AX11">
        <v>204856</v>
      </c>
      <c r="AY11">
        <v>6</v>
      </c>
      <c r="AZ11">
        <v>200962</v>
      </c>
      <c r="BA11">
        <v>4003</v>
      </c>
      <c r="BB11">
        <v>100</v>
      </c>
      <c r="BD11">
        <v>0</v>
      </c>
      <c r="BE11">
        <v>0</v>
      </c>
      <c r="BF11">
        <v>200862</v>
      </c>
      <c r="BG11">
        <v>204856</v>
      </c>
      <c r="BH11">
        <v>200956</v>
      </c>
      <c r="BI11">
        <v>7000</v>
      </c>
      <c r="BJ11">
        <v>0</v>
      </c>
      <c r="BL11" t="s">
        <v>140</v>
      </c>
      <c r="BM11">
        <v>7000</v>
      </c>
      <c r="BN11">
        <v>-999999</v>
      </c>
      <c r="BO11">
        <v>207186</v>
      </c>
      <c r="BP11">
        <v>207186</v>
      </c>
      <c r="BQ11">
        <v>118</v>
      </c>
      <c r="BR11">
        <v>207000</v>
      </c>
      <c r="BS11">
        <v>0</v>
      </c>
      <c r="BT11">
        <v>100</v>
      </c>
      <c r="BU11">
        <v>1</v>
      </c>
      <c r="BV11">
        <v>186</v>
      </c>
      <c r="BW11">
        <v>207186</v>
      </c>
      <c r="BX11">
        <v>206889</v>
      </c>
      <c r="BY11">
        <v>213782</v>
      </c>
      <c r="BZ11">
        <v>206882</v>
      </c>
      <c r="CA11">
        <v>4000</v>
      </c>
      <c r="CB11">
        <v>0</v>
      </c>
      <c r="CD11">
        <v>4000</v>
      </c>
      <c r="CE11">
        <v>-14</v>
      </c>
      <c r="CF11">
        <v>215856</v>
      </c>
      <c r="CG11">
        <v>0</v>
      </c>
      <c r="CH11">
        <v>215856</v>
      </c>
      <c r="CI11">
        <v>14</v>
      </c>
      <c r="CJ11">
        <v>211970</v>
      </c>
      <c r="CK11">
        <v>0</v>
      </c>
      <c r="CL11">
        <v>100</v>
      </c>
      <c r="CN11">
        <v>0</v>
      </c>
      <c r="CO11">
        <v>0</v>
      </c>
      <c r="CP11">
        <v>211856</v>
      </c>
      <c r="CQ11">
        <v>215856</v>
      </c>
      <c r="CR11">
        <v>211956</v>
      </c>
      <c r="CS11">
        <v>15</v>
      </c>
      <c r="CT11">
        <v>4</v>
      </c>
      <c r="CU11">
        <v>0</v>
      </c>
      <c r="CV11">
        <v>9</v>
      </c>
      <c r="CW11">
        <v>10</v>
      </c>
      <c r="CX11">
        <v>1</v>
      </c>
      <c r="CY11">
        <v>2</v>
      </c>
      <c r="CZ11">
        <v>3</v>
      </c>
      <c r="DA11">
        <v>4</v>
      </c>
      <c r="DB11">
        <v>5</v>
      </c>
      <c r="DC11">
        <v>6</v>
      </c>
      <c r="DD11">
        <v>7</v>
      </c>
      <c r="DE11">
        <v>8</v>
      </c>
      <c r="DF11" t="s">
        <v>142</v>
      </c>
      <c r="DG11" t="s">
        <v>143</v>
      </c>
      <c r="DH11" t="s">
        <v>37</v>
      </c>
      <c r="DI11">
        <v>0</v>
      </c>
      <c r="DJ11">
        <v>0</v>
      </c>
      <c r="DK11">
        <v>204965</v>
      </c>
      <c r="DL11">
        <v>9</v>
      </c>
      <c r="DM11">
        <v>204965</v>
      </c>
      <c r="DN11">
        <v>66</v>
      </c>
      <c r="DO11">
        <v>7000</v>
      </c>
      <c r="DP11">
        <v>0</v>
      </c>
      <c r="DR11">
        <v>7000</v>
      </c>
      <c r="DS11">
        <v>-2361</v>
      </c>
      <c r="DT11">
        <v>211856</v>
      </c>
      <c r="DU11">
        <v>0</v>
      </c>
      <c r="DV11">
        <v>211856</v>
      </c>
      <c r="DW11">
        <v>2361</v>
      </c>
      <c r="DX11">
        <v>207317</v>
      </c>
      <c r="DY11">
        <v>4653</v>
      </c>
      <c r="DZ11">
        <v>100</v>
      </c>
      <c r="EB11">
        <v>0</v>
      </c>
      <c r="EC11">
        <v>0</v>
      </c>
      <c r="ED11">
        <v>207190</v>
      </c>
      <c r="EE11">
        <v>211856</v>
      </c>
      <c r="EF11">
        <v>204956</v>
      </c>
      <c r="EG11">
        <v>10</v>
      </c>
    </row>
    <row r="12" spans="1:137" x14ac:dyDescent="0.15">
      <c r="A12" t="s">
        <v>191</v>
      </c>
      <c r="B12">
        <v>1092</v>
      </c>
      <c r="C12">
        <v>1</v>
      </c>
      <c r="D12" t="s">
        <v>192</v>
      </c>
      <c r="E12" t="s">
        <v>193</v>
      </c>
      <c r="F12">
        <v>59.954000000000001</v>
      </c>
      <c r="G12" t="s">
        <v>194</v>
      </c>
      <c r="H12">
        <v>1</v>
      </c>
      <c r="I12">
        <v>6000</v>
      </c>
      <c r="J12">
        <v>-43</v>
      </c>
      <c r="K12">
        <v>0</v>
      </c>
      <c r="L12">
        <v>39856</v>
      </c>
      <c r="M12">
        <v>43</v>
      </c>
      <c r="N12">
        <v>33999</v>
      </c>
      <c r="O12">
        <v>5971</v>
      </c>
      <c r="Q12">
        <v>0</v>
      </c>
      <c r="R12">
        <v>0</v>
      </c>
      <c r="S12">
        <v>1945214817</v>
      </c>
      <c r="T12" t="s">
        <v>137</v>
      </c>
      <c r="U12" t="s">
        <v>138</v>
      </c>
      <c r="V12" t="s">
        <v>138</v>
      </c>
      <c r="W12" s="14">
        <v>44806</v>
      </c>
      <c r="X12" s="15">
        <v>44806.758020833331</v>
      </c>
      <c r="Y12" s="16">
        <v>0.59135416666666674</v>
      </c>
      <c r="Z12" t="s">
        <v>139</v>
      </c>
      <c r="AA12" t="s">
        <v>140</v>
      </c>
      <c r="AB12">
        <v>-1</v>
      </c>
      <c r="AC12">
        <v>-999999</v>
      </c>
      <c r="AD12">
        <v>33956</v>
      </c>
      <c r="AE12">
        <v>46</v>
      </c>
      <c r="AF12">
        <v>14951</v>
      </c>
      <c r="AG12">
        <v>0</v>
      </c>
      <c r="AH12">
        <v>5</v>
      </c>
      <c r="AI12">
        <v>19005</v>
      </c>
      <c r="AJ12">
        <v>33956</v>
      </c>
      <c r="AK12">
        <v>11</v>
      </c>
      <c r="AL12">
        <v>11</v>
      </c>
      <c r="AM12">
        <v>1</v>
      </c>
      <c r="AN12">
        <v>11</v>
      </c>
      <c r="AO12">
        <v>2</v>
      </c>
      <c r="AP12" t="s">
        <v>141</v>
      </c>
      <c r="AQ12">
        <v>4000</v>
      </c>
      <c r="AR12">
        <v>0</v>
      </c>
      <c r="AT12">
        <v>4000</v>
      </c>
      <c r="AU12">
        <v>0</v>
      </c>
      <c r="AV12">
        <v>219856</v>
      </c>
      <c r="AW12">
        <v>0</v>
      </c>
      <c r="AX12">
        <v>219856</v>
      </c>
      <c r="AY12">
        <v>0</v>
      </c>
      <c r="AZ12">
        <v>215956</v>
      </c>
      <c r="BA12">
        <v>4004</v>
      </c>
      <c r="BB12">
        <v>100</v>
      </c>
      <c r="BD12">
        <v>0</v>
      </c>
      <c r="BE12">
        <v>0</v>
      </c>
      <c r="BF12">
        <v>215861</v>
      </c>
      <c r="BG12">
        <v>219856</v>
      </c>
      <c r="BH12">
        <v>215956</v>
      </c>
      <c r="BI12">
        <v>7000</v>
      </c>
      <c r="BJ12">
        <v>0</v>
      </c>
      <c r="BL12" t="s">
        <v>140</v>
      </c>
      <c r="BM12">
        <v>7000</v>
      </c>
      <c r="BN12">
        <v>-999999</v>
      </c>
      <c r="BO12">
        <v>223289</v>
      </c>
      <c r="BP12">
        <v>223289</v>
      </c>
      <c r="BQ12">
        <v>54</v>
      </c>
      <c r="BR12">
        <v>222895</v>
      </c>
      <c r="BS12">
        <v>0</v>
      </c>
      <c r="BT12">
        <v>100</v>
      </c>
      <c r="BU12">
        <v>1</v>
      </c>
      <c r="BV12">
        <v>394</v>
      </c>
      <c r="BW12">
        <v>223289</v>
      </c>
      <c r="BX12">
        <v>222846</v>
      </c>
      <c r="BY12">
        <v>229741</v>
      </c>
      <c r="BZ12">
        <v>222841</v>
      </c>
      <c r="CA12">
        <v>4000</v>
      </c>
      <c r="CB12">
        <v>0</v>
      </c>
      <c r="CD12">
        <v>4000</v>
      </c>
      <c r="CE12">
        <v>-9</v>
      </c>
      <c r="CF12">
        <v>230856</v>
      </c>
      <c r="CG12">
        <v>0</v>
      </c>
      <c r="CH12">
        <v>230856</v>
      </c>
      <c r="CI12">
        <v>9</v>
      </c>
      <c r="CJ12">
        <v>226965</v>
      </c>
      <c r="CK12">
        <v>0</v>
      </c>
      <c r="CL12">
        <v>100</v>
      </c>
      <c r="CN12">
        <v>0</v>
      </c>
      <c r="CO12">
        <v>0</v>
      </c>
      <c r="CP12">
        <v>226856</v>
      </c>
      <c r="CQ12">
        <v>230856</v>
      </c>
      <c r="CR12">
        <v>226956</v>
      </c>
      <c r="CS12">
        <v>15</v>
      </c>
      <c r="CT12">
        <v>4</v>
      </c>
      <c r="CU12">
        <v>0</v>
      </c>
      <c r="CV12">
        <v>9</v>
      </c>
      <c r="CW12">
        <v>10</v>
      </c>
      <c r="CX12">
        <v>1</v>
      </c>
      <c r="CY12">
        <v>2</v>
      </c>
      <c r="CZ12">
        <v>3</v>
      </c>
      <c r="DA12">
        <v>4</v>
      </c>
      <c r="DB12">
        <v>5</v>
      </c>
      <c r="DC12">
        <v>6</v>
      </c>
      <c r="DD12">
        <v>7</v>
      </c>
      <c r="DE12">
        <v>8</v>
      </c>
      <c r="DF12" t="s">
        <v>149</v>
      </c>
      <c r="DG12" t="s">
        <v>143</v>
      </c>
      <c r="DH12" t="s">
        <v>37</v>
      </c>
      <c r="DI12">
        <v>0</v>
      </c>
      <c r="DJ12">
        <v>0</v>
      </c>
      <c r="DK12">
        <v>219960</v>
      </c>
      <c r="DL12">
        <v>4</v>
      </c>
      <c r="DM12">
        <v>219960</v>
      </c>
      <c r="DN12">
        <v>66</v>
      </c>
      <c r="DO12">
        <v>7000</v>
      </c>
      <c r="DP12">
        <v>0</v>
      </c>
      <c r="DR12">
        <v>7000</v>
      </c>
      <c r="DS12">
        <v>-3389</v>
      </c>
      <c r="DT12">
        <v>226856</v>
      </c>
      <c r="DU12">
        <v>0</v>
      </c>
      <c r="DV12">
        <v>226856</v>
      </c>
      <c r="DW12">
        <v>3389</v>
      </c>
      <c r="DX12">
        <v>223345</v>
      </c>
      <c r="DY12">
        <v>3620</v>
      </c>
      <c r="DZ12">
        <v>100</v>
      </c>
      <c r="EB12">
        <v>0</v>
      </c>
      <c r="EC12">
        <v>0</v>
      </c>
      <c r="ED12">
        <v>223291</v>
      </c>
      <c r="EE12">
        <v>226856</v>
      </c>
      <c r="EF12">
        <v>219956</v>
      </c>
      <c r="EG12">
        <v>11</v>
      </c>
    </row>
    <row r="13" spans="1:137" x14ac:dyDescent="0.15">
      <c r="A13" t="s">
        <v>191</v>
      </c>
      <c r="B13">
        <v>1092</v>
      </c>
      <c r="C13">
        <v>1</v>
      </c>
      <c r="D13" t="s">
        <v>192</v>
      </c>
      <c r="E13" t="s">
        <v>193</v>
      </c>
      <c r="F13">
        <v>59.954000000000001</v>
      </c>
      <c r="G13" t="s">
        <v>194</v>
      </c>
      <c r="H13">
        <v>1</v>
      </c>
      <c r="I13">
        <v>6000</v>
      </c>
      <c r="J13">
        <v>-43</v>
      </c>
      <c r="K13">
        <v>0</v>
      </c>
      <c r="L13">
        <v>39856</v>
      </c>
      <c r="M13">
        <v>43</v>
      </c>
      <c r="N13">
        <v>33999</v>
      </c>
      <c r="O13">
        <v>5971</v>
      </c>
      <c r="Q13">
        <v>0</v>
      </c>
      <c r="R13">
        <v>0</v>
      </c>
      <c r="S13">
        <v>1945214817</v>
      </c>
      <c r="T13" t="s">
        <v>137</v>
      </c>
      <c r="U13" t="s">
        <v>138</v>
      </c>
      <c r="V13" t="s">
        <v>138</v>
      </c>
      <c r="W13" s="14">
        <v>44806</v>
      </c>
      <c r="X13" s="15">
        <v>44806.758020833331</v>
      </c>
      <c r="Y13" s="16">
        <v>0.59135416666666674</v>
      </c>
      <c r="Z13" t="s">
        <v>139</v>
      </c>
      <c r="AA13" t="s">
        <v>140</v>
      </c>
      <c r="AB13">
        <v>-1</v>
      </c>
      <c r="AC13">
        <v>-999999</v>
      </c>
      <c r="AD13">
        <v>33956</v>
      </c>
      <c r="AE13">
        <v>46</v>
      </c>
      <c r="AF13">
        <v>14951</v>
      </c>
      <c r="AG13">
        <v>0</v>
      </c>
      <c r="AH13">
        <v>5</v>
      </c>
      <c r="AI13">
        <v>19005</v>
      </c>
      <c r="AJ13">
        <v>33956</v>
      </c>
      <c r="AK13">
        <v>12</v>
      </c>
      <c r="AL13">
        <v>12</v>
      </c>
      <c r="AM13">
        <v>1</v>
      </c>
      <c r="AN13">
        <v>12</v>
      </c>
      <c r="AO13">
        <v>10</v>
      </c>
      <c r="AP13" t="s">
        <v>141</v>
      </c>
      <c r="AQ13">
        <v>4000</v>
      </c>
      <c r="AR13">
        <v>0</v>
      </c>
      <c r="AT13">
        <v>4000</v>
      </c>
      <c r="AU13">
        <v>-12</v>
      </c>
      <c r="AV13">
        <v>234856</v>
      </c>
      <c r="AW13">
        <v>0</v>
      </c>
      <c r="AX13">
        <v>234856</v>
      </c>
      <c r="AY13">
        <v>12</v>
      </c>
      <c r="AZ13">
        <v>230968</v>
      </c>
      <c r="BA13">
        <v>4003</v>
      </c>
      <c r="BB13">
        <v>100</v>
      </c>
      <c r="BD13">
        <v>0</v>
      </c>
      <c r="BE13">
        <v>0</v>
      </c>
      <c r="BF13">
        <v>230861</v>
      </c>
      <c r="BG13">
        <v>234856</v>
      </c>
      <c r="BH13">
        <v>230956</v>
      </c>
      <c r="BI13">
        <v>7000</v>
      </c>
      <c r="BJ13">
        <v>0</v>
      </c>
      <c r="BL13" t="s">
        <v>140</v>
      </c>
      <c r="BM13">
        <v>7000</v>
      </c>
      <c r="BN13">
        <v>-999999</v>
      </c>
      <c r="BO13">
        <v>237136</v>
      </c>
      <c r="BP13">
        <v>237136</v>
      </c>
      <c r="BQ13">
        <v>65</v>
      </c>
      <c r="BR13">
        <v>236889</v>
      </c>
      <c r="BS13">
        <v>0</v>
      </c>
      <c r="BT13">
        <v>100</v>
      </c>
      <c r="BU13">
        <v>1</v>
      </c>
      <c r="BV13">
        <v>247</v>
      </c>
      <c r="BW13">
        <v>237136</v>
      </c>
      <c r="BX13">
        <v>236829</v>
      </c>
      <c r="BY13">
        <v>243724</v>
      </c>
      <c r="BZ13">
        <v>236824</v>
      </c>
      <c r="CA13">
        <v>2000</v>
      </c>
      <c r="CB13">
        <v>0</v>
      </c>
      <c r="CD13">
        <v>2000</v>
      </c>
      <c r="CE13">
        <v>-4</v>
      </c>
      <c r="CF13">
        <v>243856</v>
      </c>
      <c r="CG13">
        <v>0</v>
      </c>
      <c r="CH13">
        <v>243856</v>
      </c>
      <c r="CI13">
        <v>4</v>
      </c>
      <c r="CJ13">
        <v>241960</v>
      </c>
      <c r="CK13">
        <v>0</v>
      </c>
      <c r="CL13">
        <v>100</v>
      </c>
      <c r="CN13">
        <v>0</v>
      </c>
      <c r="CO13">
        <v>0</v>
      </c>
      <c r="CP13">
        <v>241856</v>
      </c>
      <c r="CQ13">
        <v>243856</v>
      </c>
      <c r="CR13">
        <v>241956</v>
      </c>
      <c r="CS13">
        <v>15</v>
      </c>
      <c r="CT13">
        <v>4</v>
      </c>
      <c r="CU13">
        <v>0</v>
      </c>
      <c r="CV13">
        <v>9</v>
      </c>
      <c r="CW13">
        <v>10</v>
      </c>
      <c r="CX13">
        <v>1</v>
      </c>
      <c r="CY13">
        <v>2</v>
      </c>
      <c r="CZ13">
        <v>3</v>
      </c>
      <c r="DA13">
        <v>4</v>
      </c>
      <c r="DB13">
        <v>5</v>
      </c>
      <c r="DC13">
        <v>6</v>
      </c>
      <c r="DD13">
        <v>7</v>
      </c>
      <c r="DE13">
        <v>8</v>
      </c>
      <c r="DF13" t="s">
        <v>150</v>
      </c>
      <c r="DG13" t="s">
        <v>143</v>
      </c>
      <c r="DH13" t="s">
        <v>37</v>
      </c>
      <c r="DI13">
        <v>0</v>
      </c>
      <c r="DJ13">
        <v>0</v>
      </c>
      <c r="DK13">
        <v>234971</v>
      </c>
      <c r="DL13">
        <v>15</v>
      </c>
      <c r="DM13">
        <v>234971</v>
      </c>
      <c r="DN13">
        <v>50</v>
      </c>
      <c r="DO13">
        <v>7000</v>
      </c>
      <c r="DP13">
        <v>0</v>
      </c>
      <c r="DR13">
        <v>7000</v>
      </c>
      <c r="DS13">
        <v>-2234</v>
      </c>
      <c r="DT13">
        <v>241856</v>
      </c>
      <c r="DU13">
        <v>0</v>
      </c>
      <c r="DV13">
        <v>241856</v>
      </c>
      <c r="DW13">
        <v>2234</v>
      </c>
      <c r="DX13">
        <v>237190</v>
      </c>
      <c r="DY13">
        <v>4770</v>
      </c>
      <c r="DZ13">
        <v>100</v>
      </c>
      <c r="EB13">
        <v>0</v>
      </c>
      <c r="EC13">
        <v>0</v>
      </c>
      <c r="ED13">
        <v>237139</v>
      </c>
      <c r="EE13">
        <v>241856</v>
      </c>
      <c r="EF13">
        <v>234956</v>
      </c>
      <c r="EG13">
        <v>12</v>
      </c>
    </row>
    <row r="14" spans="1:137" x14ac:dyDescent="0.15">
      <c r="A14" t="s">
        <v>191</v>
      </c>
      <c r="B14">
        <v>1092</v>
      </c>
      <c r="C14">
        <v>1</v>
      </c>
      <c r="D14" t="s">
        <v>192</v>
      </c>
      <c r="E14" t="s">
        <v>193</v>
      </c>
      <c r="F14">
        <v>59.954000000000001</v>
      </c>
      <c r="G14" t="s">
        <v>194</v>
      </c>
      <c r="H14">
        <v>1</v>
      </c>
      <c r="I14">
        <v>6000</v>
      </c>
      <c r="J14">
        <v>-43</v>
      </c>
      <c r="K14">
        <v>0</v>
      </c>
      <c r="L14">
        <v>39856</v>
      </c>
      <c r="M14">
        <v>43</v>
      </c>
      <c r="N14">
        <v>33999</v>
      </c>
      <c r="O14">
        <v>5971</v>
      </c>
      <c r="Q14">
        <v>0</v>
      </c>
      <c r="R14">
        <v>0</v>
      </c>
      <c r="S14">
        <v>1945214817</v>
      </c>
      <c r="T14" t="s">
        <v>137</v>
      </c>
      <c r="U14" t="s">
        <v>138</v>
      </c>
      <c r="V14" t="s">
        <v>138</v>
      </c>
      <c r="W14" s="14">
        <v>44806</v>
      </c>
      <c r="X14" s="15">
        <v>44806.758020833331</v>
      </c>
      <c r="Y14" s="16">
        <v>0.59135416666666674</v>
      </c>
      <c r="Z14" t="s">
        <v>139</v>
      </c>
      <c r="AA14" t="s">
        <v>140</v>
      </c>
      <c r="AB14">
        <v>-1</v>
      </c>
      <c r="AC14">
        <v>-999999</v>
      </c>
      <c r="AD14">
        <v>33956</v>
      </c>
      <c r="AE14">
        <v>46</v>
      </c>
      <c r="AF14">
        <v>14951</v>
      </c>
      <c r="AG14">
        <v>0</v>
      </c>
      <c r="AH14">
        <v>5</v>
      </c>
      <c r="AI14">
        <v>19005</v>
      </c>
      <c r="AJ14">
        <v>33956</v>
      </c>
      <c r="AK14">
        <v>13</v>
      </c>
      <c r="AL14">
        <v>13</v>
      </c>
      <c r="AM14">
        <v>1</v>
      </c>
      <c r="AN14">
        <v>13</v>
      </c>
      <c r="AO14">
        <v>8</v>
      </c>
      <c r="AP14" t="s">
        <v>141</v>
      </c>
      <c r="AQ14">
        <v>4000</v>
      </c>
      <c r="AR14">
        <v>0</v>
      </c>
      <c r="AT14">
        <v>4000</v>
      </c>
      <c r="AU14">
        <v>-6</v>
      </c>
      <c r="AV14">
        <v>247856</v>
      </c>
      <c r="AW14">
        <v>0</v>
      </c>
      <c r="AX14">
        <v>247856</v>
      </c>
      <c r="AY14">
        <v>6</v>
      </c>
      <c r="AZ14">
        <v>243962</v>
      </c>
      <c r="BA14">
        <v>4003</v>
      </c>
      <c r="BB14">
        <v>100</v>
      </c>
      <c r="BD14">
        <v>0</v>
      </c>
      <c r="BE14">
        <v>0</v>
      </c>
      <c r="BF14">
        <v>243861</v>
      </c>
      <c r="BG14">
        <v>247856</v>
      </c>
      <c r="BH14">
        <v>243956</v>
      </c>
      <c r="BI14">
        <v>7000</v>
      </c>
      <c r="BJ14">
        <v>0</v>
      </c>
      <c r="BL14" t="s">
        <v>140</v>
      </c>
      <c r="BM14">
        <v>7000</v>
      </c>
      <c r="BN14">
        <v>-999999</v>
      </c>
      <c r="BO14">
        <v>250432</v>
      </c>
      <c r="BP14">
        <v>250432</v>
      </c>
      <c r="BQ14">
        <v>104</v>
      </c>
      <c r="BR14">
        <v>249816</v>
      </c>
      <c r="BS14">
        <v>0</v>
      </c>
      <c r="BT14">
        <v>100</v>
      </c>
      <c r="BU14">
        <v>1</v>
      </c>
      <c r="BV14">
        <v>616</v>
      </c>
      <c r="BW14">
        <v>250432</v>
      </c>
      <c r="BX14">
        <v>249718</v>
      </c>
      <c r="BY14">
        <v>256612</v>
      </c>
      <c r="BZ14">
        <v>249712</v>
      </c>
      <c r="CA14">
        <v>12000</v>
      </c>
      <c r="CB14">
        <v>0</v>
      </c>
      <c r="CD14">
        <v>12000</v>
      </c>
      <c r="CE14">
        <v>-14</v>
      </c>
      <c r="CF14">
        <v>266856</v>
      </c>
      <c r="CG14">
        <v>0</v>
      </c>
      <c r="CH14">
        <v>266856</v>
      </c>
      <c r="CI14">
        <v>14</v>
      </c>
      <c r="CJ14">
        <v>254970</v>
      </c>
      <c r="CK14">
        <v>0</v>
      </c>
      <c r="CL14">
        <v>100</v>
      </c>
      <c r="CN14">
        <v>0</v>
      </c>
      <c r="CO14">
        <v>0</v>
      </c>
      <c r="CP14">
        <v>254856</v>
      </c>
      <c r="CQ14">
        <v>266856</v>
      </c>
      <c r="CR14">
        <v>254956</v>
      </c>
      <c r="CS14">
        <v>15</v>
      </c>
      <c r="CT14">
        <v>4</v>
      </c>
      <c r="CU14">
        <v>0</v>
      </c>
      <c r="CV14">
        <v>9</v>
      </c>
      <c r="CW14">
        <v>10</v>
      </c>
      <c r="CX14">
        <v>1</v>
      </c>
      <c r="CY14">
        <v>2</v>
      </c>
      <c r="CZ14">
        <v>3</v>
      </c>
      <c r="DA14">
        <v>4</v>
      </c>
      <c r="DB14">
        <v>5</v>
      </c>
      <c r="DC14">
        <v>6</v>
      </c>
      <c r="DD14">
        <v>7</v>
      </c>
      <c r="DE14">
        <v>8</v>
      </c>
      <c r="DF14" t="s">
        <v>195</v>
      </c>
      <c r="DG14" t="s">
        <v>143</v>
      </c>
      <c r="DH14" t="s">
        <v>37</v>
      </c>
      <c r="DI14">
        <v>0</v>
      </c>
      <c r="DJ14">
        <v>0</v>
      </c>
      <c r="DK14">
        <v>247965</v>
      </c>
      <c r="DL14">
        <v>9</v>
      </c>
      <c r="DM14">
        <v>247965</v>
      </c>
      <c r="DN14">
        <v>66</v>
      </c>
      <c r="DO14">
        <v>7000</v>
      </c>
      <c r="DP14">
        <v>0</v>
      </c>
      <c r="DR14">
        <v>7000</v>
      </c>
      <c r="DS14">
        <v>-2561</v>
      </c>
      <c r="DT14">
        <v>254856</v>
      </c>
      <c r="DU14">
        <v>0</v>
      </c>
      <c r="DV14">
        <v>254856</v>
      </c>
      <c r="DW14">
        <v>2561</v>
      </c>
      <c r="DX14">
        <v>250517</v>
      </c>
      <c r="DY14">
        <v>4453</v>
      </c>
      <c r="DZ14">
        <v>100</v>
      </c>
      <c r="EB14">
        <v>0</v>
      </c>
      <c r="EC14">
        <v>0</v>
      </c>
      <c r="ED14">
        <v>250434</v>
      </c>
      <c r="EE14">
        <v>254856</v>
      </c>
      <c r="EF14">
        <v>247956</v>
      </c>
      <c r="EG14">
        <v>13</v>
      </c>
    </row>
    <row r="15" spans="1:137" x14ac:dyDescent="0.15">
      <c r="A15" t="s">
        <v>191</v>
      </c>
      <c r="B15">
        <v>1092</v>
      </c>
      <c r="C15">
        <v>1</v>
      </c>
      <c r="D15" t="s">
        <v>192</v>
      </c>
      <c r="E15" t="s">
        <v>193</v>
      </c>
      <c r="F15">
        <v>59.954000000000001</v>
      </c>
      <c r="G15" t="s">
        <v>194</v>
      </c>
      <c r="H15">
        <v>1</v>
      </c>
      <c r="I15">
        <v>6000</v>
      </c>
      <c r="J15">
        <v>-43</v>
      </c>
      <c r="K15">
        <v>0</v>
      </c>
      <c r="L15">
        <v>39856</v>
      </c>
      <c r="M15">
        <v>43</v>
      </c>
      <c r="N15">
        <v>33999</v>
      </c>
      <c r="O15">
        <v>5971</v>
      </c>
      <c r="Q15">
        <v>0</v>
      </c>
      <c r="R15">
        <v>0</v>
      </c>
      <c r="S15">
        <v>1945214817</v>
      </c>
      <c r="T15" t="s">
        <v>137</v>
      </c>
      <c r="U15" t="s">
        <v>138</v>
      </c>
      <c r="V15" t="s">
        <v>138</v>
      </c>
      <c r="W15" s="14">
        <v>44806</v>
      </c>
      <c r="X15" s="15">
        <v>44806.758020833331</v>
      </c>
      <c r="Y15" s="16">
        <v>0.59135416666666674</v>
      </c>
      <c r="Z15" t="s">
        <v>139</v>
      </c>
      <c r="AA15" t="s">
        <v>140</v>
      </c>
      <c r="AB15">
        <v>-1</v>
      </c>
      <c r="AC15">
        <v>-999999</v>
      </c>
      <c r="AD15">
        <v>33956</v>
      </c>
      <c r="AE15">
        <v>46</v>
      </c>
      <c r="AF15">
        <v>14951</v>
      </c>
      <c r="AG15">
        <v>0</v>
      </c>
      <c r="AH15">
        <v>5</v>
      </c>
      <c r="AI15">
        <v>19005</v>
      </c>
      <c r="AJ15">
        <v>33956</v>
      </c>
      <c r="AK15">
        <v>14</v>
      </c>
      <c r="AL15">
        <v>14</v>
      </c>
      <c r="AM15">
        <v>1</v>
      </c>
      <c r="AN15">
        <v>14</v>
      </c>
      <c r="AO15">
        <v>10</v>
      </c>
      <c r="AP15" t="s">
        <v>141</v>
      </c>
      <c r="AQ15">
        <v>4000</v>
      </c>
      <c r="AR15">
        <v>0</v>
      </c>
      <c r="AT15">
        <v>4000</v>
      </c>
      <c r="AU15">
        <v>-7</v>
      </c>
      <c r="AV15">
        <v>270856</v>
      </c>
      <c r="AW15">
        <v>0</v>
      </c>
      <c r="AX15">
        <v>270856</v>
      </c>
      <c r="AY15">
        <v>7</v>
      </c>
      <c r="AZ15">
        <v>266963</v>
      </c>
      <c r="BA15">
        <v>4003</v>
      </c>
      <c r="BB15">
        <v>100</v>
      </c>
      <c r="BD15">
        <v>0</v>
      </c>
      <c r="BE15">
        <v>0</v>
      </c>
      <c r="BF15">
        <v>266861</v>
      </c>
      <c r="BG15">
        <v>270856</v>
      </c>
      <c r="BH15">
        <v>266956</v>
      </c>
      <c r="BI15">
        <v>7000</v>
      </c>
      <c r="BJ15">
        <v>0</v>
      </c>
      <c r="BL15" t="s">
        <v>140</v>
      </c>
      <c r="BM15">
        <v>7000</v>
      </c>
      <c r="BN15">
        <v>-999999</v>
      </c>
      <c r="BO15">
        <v>272910</v>
      </c>
      <c r="BP15">
        <v>272910</v>
      </c>
      <c r="BQ15">
        <v>63</v>
      </c>
      <c r="BR15">
        <v>272717</v>
      </c>
      <c r="BS15">
        <v>0</v>
      </c>
      <c r="BT15">
        <v>100</v>
      </c>
      <c r="BU15">
        <v>1</v>
      </c>
      <c r="BV15">
        <v>193</v>
      </c>
      <c r="BW15">
        <v>272910</v>
      </c>
      <c r="BX15">
        <v>272659</v>
      </c>
      <c r="BY15">
        <v>279554</v>
      </c>
      <c r="BZ15">
        <v>272654</v>
      </c>
      <c r="CA15">
        <v>4000</v>
      </c>
      <c r="CB15">
        <v>0</v>
      </c>
      <c r="CD15">
        <v>4000</v>
      </c>
      <c r="CE15">
        <v>-15</v>
      </c>
      <c r="CF15">
        <v>281856</v>
      </c>
      <c r="CG15">
        <v>0</v>
      </c>
      <c r="CH15">
        <v>281856</v>
      </c>
      <c r="CI15">
        <v>15</v>
      </c>
      <c r="CJ15">
        <v>277971</v>
      </c>
      <c r="CK15">
        <v>0</v>
      </c>
      <c r="CL15">
        <v>100</v>
      </c>
      <c r="CN15">
        <v>0</v>
      </c>
      <c r="CO15">
        <v>0</v>
      </c>
      <c r="CP15">
        <v>277856</v>
      </c>
      <c r="CQ15">
        <v>281856</v>
      </c>
      <c r="CR15">
        <v>277956</v>
      </c>
      <c r="CS15">
        <v>15</v>
      </c>
      <c r="CT15">
        <v>4</v>
      </c>
      <c r="CU15">
        <v>0</v>
      </c>
      <c r="CV15">
        <v>9</v>
      </c>
      <c r="CW15">
        <v>10</v>
      </c>
      <c r="CX15">
        <v>1</v>
      </c>
      <c r="CY15">
        <v>2</v>
      </c>
      <c r="CZ15">
        <v>3</v>
      </c>
      <c r="DA15">
        <v>4</v>
      </c>
      <c r="DB15">
        <v>5</v>
      </c>
      <c r="DC15">
        <v>6</v>
      </c>
      <c r="DD15">
        <v>7</v>
      </c>
      <c r="DE15">
        <v>8</v>
      </c>
      <c r="DF15" t="s">
        <v>152</v>
      </c>
      <c r="DG15" t="s">
        <v>143</v>
      </c>
      <c r="DH15" t="s">
        <v>37</v>
      </c>
      <c r="DI15">
        <v>0</v>
      </c>
      <c r="DJ15">
        <v>0</v>
      </c>
      <c r="DK15">
        <v>270966</v>
      </c>
      <c r="DL15">
        <v>10</v>
      </c>
      <c r="DM15">
        <v>270966</v>
      </c>
      <c r="DN15">
        <v>50</v>
      </c>
      <c r="DO15">
        <v>7000</v>
      </c>
      <c r="DP15">
        <v>0</v>
      </c>
      <c r="DR15">
        <v>7000</v>
      </c>
      <c r="DS15">
        <v>-2011</v>
      </c>
      <c r="DT15">
        <v>277856</v>
      </c>
      <c r="DU15">
        <v>0</v>
      </c>
      <c r="DV15">
        <v>277856</v>
      </c>
      <c r="DW15">
        <v>2011</v>
      </c>
      <c r="DX15">
        <v>272967</v>
      </c>
      <c r="DY15">
        <v>5004</v>
      </c>
      <c r="DZ15">
        <v>100</v>
      </c>
      <c r="EB15">
        <v>0</v>
      </c>
      <c r="EC15">
        <v>0</v>
      </c>
      <c r="ED15">
        <v>272912</v>
      </c>
      <c r="EE15">
        <v>277856</v>
      </c>
      <c r="EF15">
        <v>270956</v>
      </c>
      <c r="EG15">
        <v>14</v>
      </c>
    </row>
    <row r="16" spans="1:137" x14ac:dyDescent="0.15">
      <c r="A16" t="s">
        <v>191</v>
      </c>
      <c r="B16">
        <v>1092</v>
      </c>
      <c r="C16">
        <v>1</v>
      </c>
      <c r="D16" t="s">
        <v>192</v>
      </c>
      <c r="E16" t="s">
        <v>193</v>
      </c>
      <c r="F16">
        <v>59.954000000000001</v>
      </c>
      <c r="G16" t="s">
        <v>194</v>
      </c>
      <c r="H16">
        <v>1</v>
      </c>
      <c r="I16">
        <v>6000</v>
      </c>
      <c r="J16">
        <v>-43</v>
      </c>
      <c r="K16">
        <v>0</v>
      </c>
      <c r="L16">
        <v>39856</v>
      </c>
      <c r="M16">
        <v>43</v>
      </c>
      <c r="N16">
        <v>33999</v>
      </c>
      <c r="O16">
        <v>5971</v>
      </c>
      <c r="Q16">
        <v>0</v>
      </c>
      <c r="R16">
        <v>0</v>
      </c>
      <c r="S16">
        <v>1945214817</v>
      </c>
      <c r="T16" t="s">
        <v>137</v>
      </c>
      <c r="U16" t="s">
        <v>138</v>
      </c>
      <c r="V16" t="s">
        <v>138</v>
      </c>
      <c r="W16" s="14">
        <v>44806</v>
      </c>
      <c r="X16" s="15">
        <v>44806.758020833331</v>
      </c>
      <c r="Y16" s="16">
        <v>0.59135416666666674</v>
      </c>
      <c r="Z16" t="s">
        <v>139</v>
      </c>
      <c r="AA16" t="s">
        <v>140</v>
      </c>
      <c r="AB16">
        <v>-1</v>
      </c>
      <c r="AC16">
        <v>-999999</v>
      </c>
      <c r="AD16">
        <v>33956</v>
      </c>
      <c r="AE16">
        <v>46</v>
      </c>
      <c r="AF16">
        <v>14951</v>
      </c>
      <c r="AG16">
        <v>0</v>
      </c>
      <c r="AH16">
        <v>5</v>
      </c>
      <c r="AI16">
        <v>19005</v>
      </c>
      <c r="AJ16">
        <v>33956</v>
      </c>
      <c r="AK16">
        <v>15</v>
      </c>
      <c r="AL16">
        <v>15</v>
      </c>
      <c r="AM16">
        <v>1</v>
      </c>
      <c r="AN16">
        <v>15</v>
      </c>
      <c r="AO16">
        <v>0</v>
      </c>
      <c r="AP16" t="s">
        <v>141</v>
      </c>
      <c r="AQ16">
        <v>4000</v>
      </c>
      <c r="AR16">
        <v>0</v>
      </c>
      <c r="AT16">
        <v>4000</v>
      </c>
      <c r="AU16">
        <v>-1</v>
      </c>
      <c r="AV16">
        <v>285856</v>
      </c>
      <c r="AW16">
        <v>0</v>
      </c>
      <c r="AX16">
        <v>285856</v>
      </c>
      <c r="AY16">
        <v>1</v>
      </c>
      <c r="AZ16">
        <v>281957</v>
      </c>
      <c r="BA16">
        <v>4004</v>
      </c>
      <c r="BB16">
        <v>100</v>
      </c>
      <c r="BD16">
        <v>0</v>
      </c>
      <c r="BE16">
        <v>0</v>
      </c>
      <c r="BF16">
        <v>281863</v>
      </c>
      <c r="BG16">
        <v>285856</v>
      </c>
      <c r="BH16">
        <v>281956</v>
      </c>
      <c r="BI16">
        <v>7000</v>
      </c>
      <c r="BJ16">
        <v>0</v>
      </c>
      <c r="BL16" t="s">
        <v>140</v>
      </c>
      <c r="BM16">
        <v>7000</v>
      </c>
      <c r="BN16">
        <v>-999999</v>
      </c>
      <c r="BO16">
        <v>288357</v>
      </c>
      <c r="BP16">
        <v>288357</v>
      </c>
      <c r="BQ16">
        <v>99</v>
      </c>
      <c r="BR16">
        <v>287912</v>
      </c>
      <c r="BS16">
        <v>0</v>
      </c>
      <c r="BT16">
        <v>100</v>
      </c>
      <c r="BU16">
        <v>1</v>
      </c>
      <c r="BV16">
        <v>445</v>
      </c>
      <c r="BW16">
        <v>288357</v>
      </c>
      <c r="BX16">
        <v>287820</v>
      </c>
      <c r="BY16">
        <v>294713</v>
      </c>
      <c r="BZ16">
        <v>287813</v>
      </c>
      <c r="CA16">
        <v>6000</v>
      </c>
      <c r="CB16">
        <v>0</v>
      </c>
      <c r="CD16">
        <v>6000</v>
      </c>
      <c r="CE16">
        <v>-10</v>
      </c>
      <c r="CF16">
        <v>298856</v>
      </c>
      <c r="CG16">
        <v>0</v>
      </c>
      <c r="CH16">
        <v>298856</v>
      </c>
      <c r="CI16">
        <v>10</v>
      </c>
      <c r="CJ16">
        <v>292966</v>
      </c>
      <c r="CK16">
        <v>0</v>
      </c>
      <c r="CL16">
        <v>100</v>
      </c>
      <c r="CN16">
        <v>0</v>
      </c>
      <c r="CO16">
        <v>0</v>
      </c>
      <c r="CP16">
        <v>292856</v>
      </c>
      <c r="CQ16">
        <v>298856</v>
      </c>
      <c r="CR16">
        <v>292956</v>
      </c>
      <c r="CS16">
        <v>15</v>
      </c>
      <c r="CT16">
        <v>4</v>
      </c>
      <c r="CU16">
        <v>0</v>
      </c>
      <c r="CV16">
        <v>9</v>
      </c>
      <c r="CW16">
        <v>10</v>
      </c>
      <c r="CX16">
        <v>1</v>
      </c>
      <c r="CY16">
        <v>2</v>
      </c>
      <c r="CZ16">
        <v>3</v>
      </c>
      <c r="DA16">
        <v>4</v>
      </c>
      <c r="DB16">
        <v>5</v>
      </c>
      <c r="DC16">
        <v>6</v>
      </c>
      <c r="DD16">
        <v>7</v>
      </c>
      <c r="DE16">
        <v>8</v>
      </c>
      <c r="DF16" t="s">
        <v>188</v>
      </c>
      <c r="DG16" t="s">
        <v>143</v>
      </c>
      <c r="DH16" t="s">
        <v>37</v>
      </c>
      <c r="DI16">
        <v>0</v>
      </c>
      <c r="DJ16">
        <v>0</v>
      </c>
      <c r="DK16">
        <v>285961</v>
      </c>
      <c r="DL16">
        <v>5</v>
      </c>
      <c r="DM16">
        <v>285961</v>
      </c>
      <c r="DN16">
        <v>100</v>
      </c>
      <c r="DO16">
        <v>7000</v>
      </c>
      <c r="DP16">
        <v>0</v>
      </c>
      <c r="DR16">
        <v>7000</v>
      </c>
      <c r="DS16">
        <v>-2523</v>
      </c>
      <c r="DT16">
        <v>292856</v>
      </c>
      <c r="DU16">
        <v>0</v>
      </c>
      <c r="DV16">
        <v>292856</v>
      </c>
      <c r="DW16">
        <v>2523</v>
      </c>
      <c r="DX16">
        <v>288479</v>
      </c>
      <c r="DY16">
        <v>4487</v>
      </c>
      <c r="DZ16">
        <v>100</v>
      </c>
      <c r="EB16">
        <v>0</v>
      </c>
      <c r="EC16">
        <v>0</v>
      </c>
      <c r="ED16">
        <v>288361</v>
      </c>
      <c r="EE16">
        <v>292856</v>
      </c>
      <c r="EF16">
        <v>285956</v>
      </c>
      <c r="EG16">
        <v>15</v>
      </c>
    </row>
    <row r="17" spans="1:137" x14ac:dyDescent="0.15">
      <c r="A17" t="s">
        <v>191</v>
      </c>
      <c r="B17">
        <v>1092</v>
      </c>
      <c r="C17">
        <v>1</v>
      </c>
      <c r="D17" t="s">
        <v>192</v>
      </c>
      <c r="E17" t="s">
        <v>193</v>
      </c>
      <c r="F17">
        <v>59.954000000000001</v>
      </c>
      <c r="G17" t="s">
        <v>194</v>
      </c>
      <c r="H17">
        <v>1</v>
      </c>
      <c r="I17">
        <v>6000</v>
      </c>
      <c r="J17">
        <v>-43</v>
      </c>
      <c r="K17">
        <v>0</v>
      </c>
      <c r="L17">
        <v>39856</v>
      </c>
      <c r="M17">
        <v>43</v>
      </c>
      <c r="N17">
        <v>33999</v>
      </c>
      <c r="O17">
        <v>5971</v>
      </c>
      <c r="Q17">
        <v>0</v>
      </c>
      <c r="R17">
        <v>0</v>
      </c>
      <c r="S17">
        <v>1945214817</v>
      </c>
      <c r="T17" t="s">
        <v>137</v>
      </c>
      <c r="U17" t="s">
        <v>138</v>
      </c>
      <c r="V17" t="s">
        <v>138</v>
      </c>
      <c r="W17" s="14">
        <v>44806</v>
      </c>
      <c r="X17" s="15">
        <v>44806.758020833331</v>
      </c>
      <c r="Y17" s="16">
        <v>0.59135416666666674</v>
      </c>
      <c r="Z17" t="s">
        <v>139</v>
      </c>
      <c r="AA17" t="s">
        <v>140</v>
      </c>
      <c r="AB17">
        <v>-1</v>
      </c>
      <c r="AC17">
        <v>-999999</v>
      </c>
      <c r="AD17">
        <v>33956</v>
      </c>
      <c r="AE17">
        <v>46</v>
      </c>
      <c r="AF17">
        <v>14951</v>
      </c>
      <c r="AG17">
        <v>0</v>
      </c>
      <c r="AH17">
        <v>5</v>
      </c>
      <c r="AI17">
        <v>19005</v>
      </c>
      <c r="AJ17">
        <v>33956</v>
      </c>
      <c r="AK17">
        <v>16</v>
      </c>
      <c r="AL17">
        <v>16</v>
      </c>
      <c r="AM17">
        <v>1</v>
      </c>
      <c r="AN17">
        <v>16</v>
      </c>
      <c r="AO17">
        <v>6</v>
      </c>
      <c r="AP17" t="s">
        <v>141</v>
      </c>
      <c r="AQ17">
        <v>4000</v>
      </c>
      <c r="AR17">
        <v>0</v>
      </c>
      <c r="AT17">
        <v>4000</v>
      </c>
      <c r="AU17">
        <v>-15</v>
      </c>
      <c r="AV17">
        <v>302856</v>
      </c>
      <c r="AW17">
        <v>0</v>
      </c>
      <c r="AX17">
        <v>302856</v>
      </c>
      <c r="AY17">
        <v>15</v>
      </c>
      <c r="AZ17">
        <v>298971</v>
      </c>
      <c r="BA17">
        <v>3986</v>
      </c>
      <c r="BB17">
        <v>100</v>
      </c>
      <c r="BD17">
        <v>0</v>
      </c>
      <c r="BE17">
        <v>0</v>
      </c>
      <c r="BF17">
        <v>298863</v>
      </c>
      <c r="BG17">
        <v>302856</v>
      </c>
      <c r="BH17">
        <v>298956</v>
      </c>
      <c r="BI17">
        <v>7000</v>
      </c>
      <c r="BJ17">
        <v>0</v>
      </c>
      <c r="BL17" t="s">
        <v>140</v>
      </c>
      <c r="BM17">
        <v>7000</v>
      </c>
      <c r="BN17">
        <v>-999999</v>
      </c>
      <c r="BO17">
        <v>304413</v>
      </c>
      <c r="BP17">
        <v>304412</v>
      </c>
      <c r="BQ17">
        <v>54</v>
      </c>
      <c r="BR17">
        <v>303691</v>
      </c>
      <c r="BS17">
        <v>0</v>
      </c>
      <c r="BT17">
        <v>100</v>
      </c>
      <c r="BU17">
        <v>1</v>
      </c>
      <c r="BV17">
        <v>721</v>
      </c>
      <c r="BW17">
        <v>304412</v>
      </c>
      <c r="BX17">
        <v>303641</v>
      </c>
      <c r="BY17">
        <v>310537</v>
      </c>
      <c r="BZ17">
        <v>303637</v>
      </c>
      <c r="CA17">
        <v>4000</v>
      </c>
      <c r="CB17">
        <v>0</v>
      </c>
      <c r="CD17">
        <v>4000</v>
      </c>
      <c r="CE17">
        <v>-6</v>
      </c>
      <c r="CF17">
        <v>313856</v>
      </c>
      <c r="CG17">
        <v>0</v>
      </c>
      <c r="CH17">
        <v>313856</v>
      </c>
      <c r="CI17">
        <v>6</v>
      </c>
      <c r="CJ17">
        <v>309962</v>
      </c>
      <c r="CK17">
        <v>0</v>
      </c>
      <c r="CL17">
        <v>100</v>
      </c>
      <c r="CN17">
        <v>0</v>
      </c>
      <c r="CO17">
        <v>0</v>
      </c>
      <c r="CP17">
        <v>309856</v>
      </c>
      <c r="CQ17">
        <v>313856</v>
      </c>
      <c r="CR17">
        <v>309956</v>
      </c>
      <c r="CS17">
        <v>15</v>
      </c>
      <c r="CT17">
        <v>4</v>
      </c>
      <c r="CU17">
        <v>0</v>
      </c>
      <c r="CV17">
        <v>9</v>
      </c>
      <c r="CW17">
        <v>10</v>
      </c>
      <c r="CX17">
        <v>1</v>
      </c>
      <c r="CY17">
        <v>2</v>
      </c>
      <c r="CZ17">
        <v>3</v>
      </c>
      <c r="DA17">
        <v>4</v>
      </c>
      <c r="DB17">
        <v>5</v>
      </c>
      <c r="DC17">
        <v>6</v>
      </c>
      <c r="DD17">
        <v>7</v>
      </c>
      <c r="DE17">
        <v>8</v>
      </c>
      <c r="DF17" t="s">
        <v>190</v>
      </c>
      <c r="DG17" t="s">
        <v>143</v>
      </c>
      <c r="DH17" t="s">
        <v>37</v>
      </c>
      <c r="DI17">
        <v>0</v>
      </c>
      <c r="DJ17">
        <v>0</v>
      </c>
      <c r="DK17">
        <v>302957</v>
      </c>
      <c r="DL17">
        <v>1</v>
      </c>
      <c r="DM17">
        <v>302957</v>
      </c>
      <c r="DN17">
        <v>50</v>
      </c>
      <c r="DO17">
        <v>7000</v>
      </c>
      <c r="DP17">
        <v>0</v>
      </c>
      <c r="DR17">
        <v>7000</v>
      </c>
      <c r="DS17">
        <v>-1502</v>
      </c>
      <c r="DT17">
        <v>309856</v>
      </c>
      <c r="DU17">
        <v>0</v>
      </c>
      <c r="DV17">
        <v>309856</v>
      </c>
      <c r="DW17">
        <v>1502</v>
      </c>
      <c r="DX17">
        <v>304458</v>
      </c>
      <c r="DY17">
        <v>5504</v>
      </c>
      <c r="DZ17">
        <v>100</v>
      </c>
      <c r="EB17">
        <v>0</v>
      </c>
      <c r="EC17">
        <v>0</v>
      </c>
      <c r="ED17">
        <v>304415</v>
      </c>
      <c r="EE17">
        <v>309856</v>
      </c>
      <c r="EF17">
        <v>302956</v>
      </c>
      <c r="EG17">
        <v>16</v>
      </c>
    </row>
    <row r="18" spans="1:137" x14ac:dyDescent="0.15">
      <c r="A18" t="s">
        <v>191</v>
      </c>
      <c r="B18">
        <v>1092</v>
      </c>
      <c r="C18">
        <v>1</v>
      </c>
      <c r="D18" t="s">
        <v>192</v>
      </c>
      <c r="E18" t="s">
        <v>193</v>
      </c>
      <c r="F18">
        <v>59.954000000000001</v>
      </c>
      <c r="G18" t="s">
        <v>194</v>
      </c>
      <c r="H18">
        <v>1</v>
      </c>
      <c r="I18">
        <v>6000</v>
      </c>
      <c r="J18">
        <v>-43</v>
      </c>
      <c r="K18">
        <v>0</v>
      </c>
      <c r="L18">
        <v>39856</v>
      </c>
      <c r="M18">
        <v>43</v>
      </c>
      <c r="N18">
        <v>33999</v>
      </c>
      <c r="O18">
        <v>5971</v>
      </c>
      <c r="Q18">
        <v>0</v>
      </c>
      <c r="R18">
        <v>0</v>
      </c>
      <c r="S18">
        <v>1945214817</v>
      </c>
      <c r="T18" t="s">
        <v>137</v>
      </c>
      <c r="U18" t="s">
        <v>138</v>
      </c>
      <c r="V18" t="s">
        <v>138</v>
      </c>
      <c r="W18" s="14">
        <v>44806</v>
      </c>
      <c r="X18" s="15">
        <v>44806.758020833331</v>
      </c>
      <c r="Y18" s="16">
        <v>0.59135416666666674</v>
      </c>
      <c r="Z18" t="s">
        <v>139</v>
      </c>
      <c r="AA18" t="s">
        <v>140</v>
      </c>
      <c r="AB18">
        <v>-1</v>
      </c>
      <c r="AC18">
        <v>-999999</v>
      </c>
      <c r="AD18">
        <v>33956</v>
      </c>
      <c r="AE18">
        <v>46</v>
      </c>
      <c r="AF18">
        <v>14951</v>
      </c>
      <c r="AG18">
        <v>0</v>
      </c>
      <c r="AH18">
        <v>5</v>
      </c>
      <c r="AI18">
        <v>19005</v>
      </c>
      <c r="AJ18">
        <v>33956</v>
      </c>
      <c r="AK18">
        <v>17</v>
      </c>
      <c r="AL18">
        <v>17</v>
      </c>
      <c r="AM18">
        <v>1</v>
      </c>
      <c r="AN18">
        <v>17</v>
      </c>
      <c r="AO18">
        <v>10</v>
      </c>
      <c r="AP18" t="s">
        <v>141</v>
      </c>
      <c r="AQ18">
        <v>4000</v>
      </c>
      <c r="AR18">
        <v>0</v>
      </c>
      <c r="AT18">
        <v>4000</v>
      </c>
      <c r="AU18">
        <v>-10</v>
      </c>
      <c r="AV18">
        <v>317856</v>
      </c>
      <c r="AW18">
        <v>0</v>
      </c>
      <c r="AX18">
        <v>317856</v>
      </c>
      <c r="AY18">
        <v>10</v>
      </c>
      <c r="AZ18">
        <v>313966</v>
      </c>
      <c r="BA18">
        <v>4003</v>
      </c>
      <c r="BB18">
        <v>100</v>
      </c>
      <c r="BD18">
        <v>0</v>
      </c>
      <c r="BE18">
        <v>0</v>
      </c>
      <c r="BF18">
        <v>313865</v>
      </c>
      <c r="BG18">
        <v>317856</v>
      </c>
      <c r="BH18">
        <v>313956</v>
      </c>
      <c r="BI18">
        <v>7000</v>
      </c>
      <c r="BJ18">
        <v>0</v>
      </c>
      <c r="BL18" t="s">
        <v>140</v>
      </c>
      <c r="BM18">
        <v>7000</v>
      </c>
      <c r="BN18">
        <v>-999999</v>
      </c>
      <c r="BO18">
        <v>319828</v>
      </c>
      <c r="BP18">
        <v>319827</v>
      </c>
      <c r="BQ18">
        <v>89</v>
      </c>
      <c r="BR18">
        <v>319637</v>
      </c>
      <c r="BS18">
        <v>0</v>
      </c>
      <c r="BT18">
        <v>100</v>
      </c>
      <c r="BU18">
        <v>1</v>
      </c>
      <c r="BV18">
        <v>190</v>
      </c>
      <c r="BW18">
        <v>319827</v>
      </c>
      <c r="BX18">
        <v>319555</v>
      </c>
      <c r="BY18">
        <v>326448</v>
      </c>
      <c r="BZ18">
        <v>319548</v>
      </c>
      <c r="CA18">
        <v>10000</v>
      </c>
      <c r="CB18">
        <v>0</v>
      </c>
      <c r="CD18">
        <v>10000</v>
      </c>
      <c r="CE18">
        <v>-1</v>
      </c>
      <c r="CF18">
        <v>334856</v>
      </c>
      <c r="CG18">
        <v>0</v>
      </c>
      <c r="CH18">
        <v>334856</v>
      </c>
      <c r="CI18">
        <v>1</v>
      </c>
      <c r="CJ18">
        <v>324957</v>
      </c>
      <c r="CK18">
        <v>0</v>
      </c>
      <c r="CL18">
        <v>100</v>
      </c>
      <c r="CN18">
        <v>0</v>
      </c>
      <c r="CO18">
        <v>0</v>
      </c>
      <c r="CP18">
        <v>324857</v>
      </c>
      <c r="CQ18">
        <v>334856</v>
      </c>
      <c r="CR18">
        <v>324956</v>
      </c>
      <c r="CS18">
        <v>15</v>
      </c>
      <c r="CT18">
        <v>4</v>
      </c>
      <c r="CU18">
        <v>0</v>
      </c>
      <c r="CV18">
        <v>9</v>
      </c>
      <c r="CW18">
        <v>10</v>
      </c>
      <c r="CX18">
        <v>1</v>
      </c>
      <c r="CY18">
        <v>2</v>
      </c>
      <c r="CZ18">
        <v>3</v>
      </c>
      <c r="DA18">
        <v>4</v>
      </c>
      <c r="DB18">
        <v>5</v>
      </c>
      <c r="DC18">
        <v>6</v>
      </c>
      <c r="DD18">
        <v>7</v>
      </c>
      <c r="DE18">
        <v>8</v>
      </c>
      <c r="DF18" t="s">
        <v>189</v>
      </c>
      <c r="DG18" t="s">
        <v>143</v>
      </c>
      <c r="DH18" t="s">
        <v>37</v>
      </c>
      <c r="DI18">
        <v>0</v>
      </c>
      <c r="DJ18">
        <v>0</v>
      </c>
      <c r="DK18">
        <v>317969</v>
      </c>
      <c r="DL18">
        <v>13</v>
      </c>
      <c r="DM18">
        <v>317969</v>
      </c>
      <c r="DN18">
        <v>50</v>
      </c>
      <c r="DO18">
        <v>7000</v>
      </c>
      <c r="DP18">
        <v>0</v>
      </c>
      <c r="DR18">
        <v>7000</v>
      </c>
      <c r="DS18">
        <v>-1981</v>
      </c>
      <c r="DT18">
        <v>324856</v>
      </c>
      <c r="DU18">
        <v>0</v>
      </c>
      <c r="DV18">
        <v>324856</v>
      </c>
      <c r="DW18">
        <v>1981</v>
      </c>
      <c r="DX18">
        <v>319937</v>
      </c>
      <c r="DY18">
        <v>5020</v>
      </c>
      <c r="DZ18">
        <v>100</v>
      </c>
      <c r="EB18">
        <v>0</v>
      </c>
      <c r="EC18">
        <v>0</v>
      </c>
      <c r="ED18">
        <v>319832</v>
      </c>
      <c r="EE18">
        <v>324856</v>
      </c>
      <c r="EF18">
        <v>317956</v>
      </c>
      <c r="EG18">
        <v>17</v>
      </c>
    </row>
    <row r="19" spans="1:137" x14ac:dyDescent="0.15">
      <c r="A19" t="s">
        <v>191</v>
      </c>
      <c r="B19">
        <v>1092</v>
      </c>
      <c r="C19">
        <v>1</v>
      </c>
      <c r="D19" t="s">
        <v>192</v>
      </c>
      <c r="E19" t="s">
        <v>193</v>
      </c>
      <c r="F19">
        <v>59.954000000000001</v>
      </c>
      <c r="G19" t="s">
        <v>194</v>
      </c>
      <c r="H19">
        <v>1</v>
      </c>
      <c r="I19">
        <v>6000</v>
      </c>
      <c r="J19">
        <v>-43</v>
      </c>
      <c r="K19">
        <v>0</v>
      </c>
      <c r="L19">
        <v>39856</v>
      </c>
      <c r="M19">
        <v>43</v>
      </c>
      <c r="N19">
        <v>33999</v>
      </c>
      <c r="O19">
        <v>5971</v>
      </c>
      <c r="Q19">
        <v>0</v>
      </c>
      <c r="R19">
        <v>0</v>
      </c>
      <c r="S19">
        <v>1945214817</v>
      </c>
      <c r="T19" t="s">
        <v>137</v>
      </c>
      <c r="U19" t="s">
        <v>138</v>
      </c>
      <c r="V19" t="s">
        <v>138</v>
      </c>
      <c r="W19" s="14">
        <v>44806</v>
      </c>
      <c r="X19" s="15">
        <v>44806.758020833331</v>
      </c>
      <c r="Y19" s="16">
        <v>0.59135416666666674</v>
      </c>
      <c r="Z19" t="s">
        <v>139</v>
      </c>
      <c r="AA19" t="s">
        <v>140</v>
      </c>
      <c r="AB19">
        <v>-1</v>
      </c>
      <c r="AC19">
        <v>-999999</v>
      </c>
      <c r="AD19">
        <v>33956</v>
      </c>
      <c r="AE19">
        <v>46</v>
      </c>
      <c r="AF19">
        <v>14951</v>
      </c>
      <c r="AG19">
        <v>0</v>
      </c>
      <c r="AH19">
        <v>5</v>
      </c>
      <c r="AI19">
        <v>19005</v>
      </c>
      <c r="AJ19">
        <v>33956</v>
      </c>
      <c r="AK19">
        <v>18</v>
      </c>
      <c r="AL19">
        <v>18</v>
      </c>
      <c r="AM19">
        <v>1</v>
      </c>
      <c r="AN19">
        <v>18</v>
      </c>
      <c r="AO19">
        <v>8</v>
      </c>
      <c r="AP19" t="s">
        <v>141</v>
      </c>
      <c r="AQ19">
        <v>4000</v>
      </c>
      <c r="AR19">
        <v>0</v>
      </c>
      <c r="AT19">
        <v>4000</v>
      </c>
      <c r="AU19">
        <v>-9</v>
      </c>
      <c r="AV19">
        <v>338856</v>
      </c>
      <c r="AW19">
        <v>0</v>
      </c>
      <c r="AX19">
        <v>338856</v>
      </c>
      <c r="AY19">
        <v>9</v>
      </c>
      <c r="AZ19">
        <v>334965</v>
      </c>
      <c r="BA19">
        <v>4003</v>
      </c>
      <c r="BB19">
        <v>100</v>
      </c>
      <c r="BD19">
        <v>0</v>
      </c>
      <c r="BE19">
        <v>0</v>
      </c>
      <c r="BF19">
        <v>334863</v>
      </c>
      <c r="BG19">
        <v>338856</v>
      </c>
      <c r="BH19">
        <v>334956</v>
      </c>
      <c r="BI19">
        <v>7000</v>
      </c>
      <c r="BJ19">
        <v>0</v>
      </c>
      <c r="BL19" t="s">
        <v>140</v>
      </c>
      <c r="BM19">
        <v>7000</v>
      </c>
      <c r="BN19">
        <v>-999999</v>
      </c>
      <c r="BO19">
        <v>341754</v>
      </c>
      <c r="BP19">
        <v>341754</v>
      </c>
      <c r="BQ19">
        <v>83</v>
      </c>
      <c r="BR19">
        <v>340653</v>
      </c>
      <c r="BS19">
        <v>0</v>
      </c>
      <c r="BT19">
        <v>100</v>
      </c>
      <c r="BU19">
        <v>1</v>
      </c>
      <c r="BV19">
        <v>1101</v>
      </c>
      <c r="BW19">
        <v>341754</v>
      </c>
      <c r="BX19">
        <v>340577</v>
      </c>
      <c r="BY19">
        <v>347470</v>
      </c>
      <c r="BZ19">
        <v>340570</v>
      </c>
      <c r="CA19">
        <v>2000</v>
      </c>
      <c r="CB19">
        <v>0</v>
      </c>
      <c r="CD19">
        <v>2000</v>
      </c>
      <c r="CE19">
        <v>-1</v>
      </c>
      <c r="CF19">
        <v>347856</v>
      </c>
      <c r="CG19">
        <v>0</v>
      </c>
      <c r="CH19">
        <v>347856</v>
      </c>
      <c r="CI19">
        <v>1</v>
      </c>
      <c r="CJ19">
        <v>345957</v>
      </c>
      <c r="CK19">
        <v>0</v>
      </c>
      <c r="CL19">
        <v>100</v>
      </c>
      <c r="CN19">
        <v>0</v>
      </c>
      <c r="CO19">
        <v>0</v>
      </c>
      <c r="CP19">
        <v>345856</v>
      </c>
      <c r="CQ19">
        <v>347856</v>
      </c>
      <c r="CR19">
        <v>345956</v>
      </c>
      <c r="CS19">
        <v>15</v>
      </c>
      <c r="CT19">
        <v>4</v>
      </c>
      <c r="CU19">
        <v>0</v>
      </c>
      <c r="CV19">
        <v>9</v>
      </c>
      <c r="CW19">
        <v>10</v>
      </c>
      <c r="CX19">
        <v>1</v>
      </c>
      <c r="CY19">
        <v>2</v>
      </c>
      <c r="CZ19">
        <v>3</v>
      </c>
      <c r="DA19">
        <v>4</v>
      </c>
      <c r="DB19">
        <v>5</v>
      </c>
      <c r="DC19">
        <v>6</v>
      </c>
      <c r="DD19">
        <v>7</v>
      </c>
      <c r="DE19">
        <v>8</v>
      </c>
      <c r="DF19" t="s">
        <v>195</v>
      </c>
      <c r="DG19" t="s">
        <v>143</v>
      </c>
      <c r="DH19" t="s">
        <v>37</v>
      </c>
      <c r="DI19">
        <v>0</v>
      </c>
      <c r="DJ19">
        <v>0</v>
      </c>
      <c r="DK19">
        <v>338968</v>
      </c>
      <c r="DL19">
        <v>12</v>
      </c>
      <c r="DM19">
        <v>338968</v>
      </c>
      <c r="DN19">
        <v>50</v>
      </c>
      <c r="DO19">
        <v>7000</v>
      </c>
      <c r="DP19">
        <v>0</v>
      </c>
      <c r="DR19">
        <v>7000</v>
      </c>
      <c r="DS19">
        <v>-2881</v>
      </c>
      <c r="DT19">
        <v>345856</v>
      </c>
      <c r="DU19">
        <v>0</v>
      </c>
      <c r="DV19">
        <v>345856</v>
      </c>
      <c r="DW19">
        <v>2881</v>
      </c>
      <c r="DX19">
        <v>341837</v>
      </c>
      <c r="DY19">
        <v>4120</v>
      </c>
      <c r="DZ19">
        <v>100</v>
      </c>
      <c r="EB19">
        <v>0</v>
      </c>
      <c r="EC19">
        <v>0</v>
      </c>
      <c r="ED19">
        <v>341757</v>
      </c>
      <c r="EE19">
        <v>345856</v>
      </c>
      <c r="EF19">
        <v>338956</v>
      </c>
      <c r="EG19">
        <v>18</v>
      </c>
    </row>
    <row r="20" spans="1:137" x14ac:dyDescent="0.15">
      <c r="A20" t="s">
        <v>191</v>
      </c>
      <c r="B20">
        <v>1092</v>
      </c>
      <c r="C20">
        <v>1</v>
      </c>
      <c r="D20" t="s">
        <v>192</v>
      </c>
      <c r="E20" t="s">
        <v>193</v>
      </c>
      <c r="F20">
        <v>59.954000000000001</v>
      </c>
      <c r="G20" t="s">
        <v>194</v>
      </c>
      <c r="H20">
        <v>1</v>
      </c>
      <c r="I20">
        <v>6000</v>
      </c>
      <c r="J20">
        <v>-43</v>
      </c>
      <c r="K20">
        <v>0</v>
      </c>
      <c r="L20">
        <v>39856</v>
      </c>
      <c r="M20">
        <v>43</v>
      </c>
      <c r="N20">
        <v>33999</v>
      </c>
      <c r="O20">
        <v>5971</v>
      </c>
      <c r="Q20">
        <v>0</v>
      </c>
      <c r="R20">
        <v>0</v>
      </c>
      <c r="S20">
        <v>1945214817</v>
      </c>
      <c r="T20" t="s">
        <v>137</v>
      </c>
      <c r="U20" t="s">
        <v>138</v>
      </c>
      <c r="V20" t="s">
        <v>138</v>
      </c>
      <c r="W20" s="14">
        <v>44806</v>
      </c>
      <c r="X20" s="15">
        <v>44806.758020833331</v>
      </c>
      <c r="Y20" s="16">
        <v>0.59135416666666674</v>
      </c>
      <c r="Z20" t="s">
        <v>139</v>
      </c>
      <c r="AA20" t="s">
        <v>140</v>
      </c>
      <c r="AB20">
        <v>-1</v>
      </c>
      <c r="AC20">
        <v>-999999</v>
      </c>
      <c r="AD20">
        <v>33956</v>
      </c>
      <c r="AE20">
        <v>46</v>
      </c>
      <c r="AF20">
        <v>14951</v>
      </c>
      <c r="AG20">
        <v>0</v>
      </c>
      <c r="AH20">
        <v>5</v>
      </c>
      <c r="AI20">
        <v>19005</v>
      </c>
      <c r="AJ20">
        <v>33956</v>
      </c>
      <c r="AK20">
        <v>19</v>
      </c>
      <c r="AL20">
        <v>19</v>
      </c>
      <c r="AM20">
        <v>1</v>
      </c>
      <c r="AN20">
        <v>19</v>
      </c>
      <c r="AO20">
        <v>1</v>
      </c>
      <c r="AP20" t="s">
        <v>141</v>
      </c>
      <c r="AQ20">
        <v>4000</v>
      </c>
      <c r="AR20">
        <v>0</v>
      </c>
      <c r="AT20">
        <v>4000</v>
      </c>
      <c r="AU20">
        <v>-2</v>
      </c>
      <c r="AV20">
        <v>351856</v>
      </c>
      <c r="AW20">
        <v>0</v>
      </c>
      <c r="AX20">
        <v>351856</v>
      </c>
      <c r="AY20">
        <v>2</v>
      </c>
      <c r="AZ20">
        <v>347958</v>
      </c>
      <c r="BA20">
        <v>4004</v>
      </c>
      <c r="BB20">
        <v>100</v>
      </c>
      <c r="BD20">
        <v>0</v>
      </c>
      <c r="BE20">
        <v>0</v>
      </c>
      <c r="BF20">
        <v>347861</v>
      </c>
      <c r="BG20">
        <v>351856</v>
      </c>
      <c r="BH20">
        <v>347956</v>
      </c>
      <c r="BI20">
        <v>7000</v>
      </c>
      <c r="BJ20">
        <v>0</v>
      </c>
      <c r="BL20" t="s">
        <v>140</v>
      </c>
      <c r="BM20">
        <v>7000</v>
      </c>
      <c r="BN20">
        <v>-999999</v>
      </c>
      <c r="BO20">
        <v>354146</v>
      </c>
      <c r="BP20">
        <v>354146</v>
      </c>
      <c r="BQ20">
        <v>59</v>
      </c>
      <c r="BR20">
        <v>353596</v>
      </c>
      <c r="BS20">
        <v>0</v>
      </c>
      <c r="BT20">
        <v>100</v>
      </c>
      <c r="BU20">
        <v>1</v>
      </c>
      <c r="BV20">
        <v>549</v>
      </c>
      <c r="BW20">
        <v>354145</v>
      </c>
      <c r="BX20">
        <v>353542</v>
      </c>
      <c r="BY20">
        <v>360437</v>
      </c>
      <c r="BZ20">
        <v>353537</v>
      </c>
      <c r="CA20">
        <v>4000</v>
      </c>
      <c r="CB20">
        <v>0</v>
      </c>
      <c r="CD20">
        <v>4000</v>
      </c>
      <c r="CE20">
        <v>-11</v>
      </c>
      <c r="CF20">
        <v>362856</v>
      </c>
      <c r="CG20">
        <v>0</v>
      </c>
      <c r="CH20">
        <v>362856</v>
      </c>
      <c r="CI20">
        <v>11</v>
      </c>
      <c r="CJ20">
        <v>358967</v>
      </c>
      <c r="CK20">
        <v>0</v>
      </c>
      <c r="CL20">
        <v>100</v>
      </c>
      <c r="CN20">
        <v>0</v>
      </c>
      <c r="CO20">
        <v>0</v>
      </c>
      <c r="CP20">
        <v>358856</v>
      </c>
      <c r="CQ20">
        <v>362856</v>
      </c>
      <c r="CR20">
        <v>358956</v>
      </c>
      <c r="CS20">
        <v>15</v>
      </c>
      <c r="CT20">
        <v>4</v>
      </c>
      <c r="CU20">
        <v>0</v>
      </c>
      <c r="CV20">
        <v>9</v>
      </c>
      <c r="CW20">
        <v>10</v>
      </c>
      <c r="CX20">
        <v>1</v>
      </c>
      <c r="CY20">
        <v>2</v>
      </c>
      <c r="CZ20">
        <v>3</v>
      </c>
      <c r="DA20">
        <v>4</v>
      </c>
      <c r="DB20">
        <v>5</v>
      </c>
      <c r="DC20">
        <v>6</v>
      </c>
      <c r="DD20">
        <v>7</v>
      </c>
      <c r="DE20">
        <v>8</v>
      </c>
      <c r="DF20" t="s">
        <v>153</v>
      </c>
      <c r="DG20" t="s">
        <v>143</v>
      </c>
      <c r="DH20" t="s">
        <v>37</v>
      </c>
      <c r="DI20">
        <v>0</v>
      </c>
      <c r="DJ20">
        <v>0</v>
      </c>
      <c r="DK20">
        <v>351962</v>
      </c>
      <c r="DL20">
        <v>6</v>
      </c>
      <c r="DM20">
        <v>351962</v>
      </c>
      <c r="DN20">
        <v>50</v>
      </c>
      <c r="DO20">
        <v>7000</v>
      </c>
      <c r="DP20">
        <v>0</v>
      </c>
      <c r="DR20">
        <v>7000</v>
      </c>
      <c r="DS20">
        <v>-2241</v>
      </c>
      <c r="DT20">
        <v>358856</v>
      </c>
      <c r="DU20">
        <v>0</v>
      </c>
      <c r="DV20">
        <v>358856</v>
      </c>
      <c r="DW20">
        <v>2241</v>
      </c>
      <c r="DX20">
        <v>354197</v>
      </c>
      <c r="DY20">
        <v>4770</v>
      </c>
      <c r="DZ20">
        <v>100</v>
      </c>
      <c r="EB20">
        <v>0</v>
      </c>
      <c r="EC20">
        <v>0</v>
      </c>
      <c r="ED20">
        <v>354148</v>
      </c>
      <c r="EE20">
        <v>358856</v>
      </c>
      <c r="EF20">
        <v>351956</v>
      </c>
      <c r="EG20">
        <v>19</v>
      </c>
    </row>
    <row r="21" spans="1:137" x14ac:dyDescent="0.15">
      <c r="A21" t="s">
        <v>191</v>
      </c>
      <c r="B21">
        <v>1092</v>
      </c>
      <c r="C21">
        <v>1</v>
      </c>
      <c r="D21" t="s">
        <v>192</v>
      </c>
      <c r="E21" t="s">
        <v>193</v>
      </c>
      <c r="F21">
        <v>59.954000000000001</v>
      </c>
      <c r="G21" t="s">
        <v>194</v>
      </c>
      <c r="H21">
        <v>1</v>
      </c>
      <c r="I21">
        <v>6000</v>
      </c>
      <c r="J21">
        <v>-43</v>
      </c>
      <c r="K21">
        <v>0</v>
      </c>
      <c r="L21">
        <v>39856</v>
      </c>
      <c r="M21">
        <v>43</v>
      </c>
      <c r="N21">
        <v>33999</v>
      </c>
      <c r="O21">
        <v>5971</v>
      </c>
      <c r="Q21">
        <v>0</v>
      </c>
      <c r="R21">
        <v>0</v>
      </c>
      <c r="S21">
        <v>1945214817</v>
      </c>
      <c r="T21" t="s">
        <v>137</v>
      </c>
      <c r="U21" t="s">
        <v>138</v>
      </c>
      <c r="V21" t="s">
        <v>138</v>
      </c>
      <c r="W21" s="14">
        <v>44806</v>
      </c>
      <c r="X21" s="15">
        <v>44806.758020833331</v>
      </c>
      <c r="Y21" s="16">
        <v>0.59135416666666674</v>
      </c>
      <c r="Z21" t="s">
        <v>139</v>
      </c>
      <c r="AA21" t="s">
        <v>140</v>
      </c>
      <c r="AB21">
        <v>-1</v>
      </c>
      <c r="AC21">
        <v>-999999</v>
      </c>
      <c r="AD21">
        <v>33956</v>
      </c>
      <c r="AE21">
        <v>46</v>
      </c>
      <c r="AF21">
        <v>14951</v>
      </c>
      <c r="AG21">
        <v>0</v>
      </c>
      <c r="AH21">
        <v>5</v>
      </c>
      <c r="AI21">
        <v>19005</v>
      </c>
      <c r="AJ21">
        <v>33956</v>
      </c>
      <c r="AK21">
        <v>20</v>
      </c>
      <c r="AL21">
        <v>20</v>
      </c>
      <c r="AM21">
        <v>1</v>
      </c>
      <c r="AN21">
        <v>20</v>
      </c>
      <c r="AO21">
        <v>8</v>
      </c>
      <c r="AP21" t="s">
        <v>141</v>
      </c>
      <c r="AQ21">
        <v>4000</v>
      </c>
      <c r="AR21">
        <v>0</v>
      </c>
      <c r="AT21">
        <v>4000</v>
      </c>
      <c r="AU21">
        <v>-14</v>
      </c>
      <c r="AV21">
        <v>366856</v>
      </c>
      <c r="AW21">
        <v>0</v>
      </c>
      <c r="AX21">
        <v>366856</v>
      </c>
      <c r="AY21">
        <v>14</v>
      </c>
      <c r="AZ21">
        <v>362970</v>
      </c>
      <c r="BA21">
        <v>3986</v>
      </c>
      <c r="BB21">
        <v>100</v>
      </c>
      <c r="BD21">
        <v>0</v>
      </c>
      <c r="BE21">
        <v>0</v>
      </c>
      <c r="BF21">
        <v>362861</v>
      </c>
      <c r="BG21">
        <v>366856</v>
      </c>
      <c r="BH21">
        <v>362956</v>
      </c>
      <c r="BI21">
        <v>7000</v>
      </c>
      <c r="BJ21">
        <v>0</v>
      </c>
      <c r="BL21" t="s">
        <v>140</v>
      </c>
      <c r="BM21">
        <v>7000</v>
      </c>
      <c r="BN21">
        <v>-999999</v>
      </c>
      <c r="BO21">
        <v>368513</v>
      </c>
      <c r="BP21">
        <v>368513</v>
      </c>
      <c r="BQ21">
        <v>52</v>
      </c>
      <c r="BR21">
        <v>368157</v>
      </c>
      <c r="BS21">
        <v>0</v>
      </c>
      <c r="BT21">
        <v>100</v>
      </c>
      <c r="BU21">
        <v>1</v>
      </c>
      <c r="BV21">
        <v>356</v>
      </c>
      <c r="BW21">
        <v>368513</v>
      </c>
      <c r="BX21">
        <v>368109</v>
      </c>
      <c r="BY21">
        <v>375005</v>
      </c>
      <c r="BZ21">
        <v>368105</v>
      </c>
      <c r="CA21">
        <v>4000</v>
      </c>
      <c r="CB21">
        <v>0</v>
      </c>
      <c r="CD21">
        <v>4000</v>
      </c>
      <c r="CE21">
        <v>-6</v>
      </c>
      <c r="CF21">
        <v>377856</v>
      </c>
      <c r="CG21">
        <v>0</v>
      </c>
      <c r="CH21">
        <v>377856</v>
      </c>
      <c r="CI21">
        <v>6</v>
      </c>
      <c r="CJ21">
        <v>373962</v>
      </c>
      <c r="CK21">
        <v>0</v>
      </c>
      <c r="CL21">
        <v>100</v>
      </c>
      <c r="CN21">
        <v>0</v>
      </c>
      <c r="CO21">
        <v>0</v>
      </c>
      <c r="CP21">
        <v>373856</v>
      </c>
      <c r="CQ21">
        <v>377856</v>
      </c>
      <c r="CR21">
        <v>373956</v>
      </c>
      <c r="CS21">
        <v>15</v>
      </c>
      <c r="CT21">
        <v>4</v>
      </c>
      <c r="CU21">
        <v>0</v>
      </c>
      <c r="CV21">
        <v>9</v>
      </c>
      <c r="CW21">
        <v>10</v>
      </c>
      <c r="CX21">
        <v>1</v>
      </c>
      <c r="CY21">
        <v>2</v>
      </c>
      <c r="CZ21">
        <v>3</v>
      </c>
      <c r="DA21">
        <v>4</v>
      </c>
      <c r="DB21">
        <v>5</v>
      </c>
      <c r="DC21">
        <v>6</v>
      </c>
      <c r="DD21">
        <v>7</v>
      </c>
      <c r="DE21">
        <v>8</v>
      </c>
      <c r="DF21" t="s">
        <v>186</v>
      </c>
      <c r="DG21" t="s">
        <v>143</v>
      </c>
      <c r="DH21" t="s">
        <v>37</v>
      </c>
      <c r="DI21">
        <v>0</v>
      </c>
      <c r="DJ21">
        <v>1</v>
      </c>
      <c r="DK21">
        <v>366957</v>
      </c>
      <c r="DL21">
        <v>0</v>
      </c>
      <c r="DM21">
        <v>366956</v>
      </c>
      <c r="DN21">
        <v>51</v>
      </c>
      <c r="DO21">
        <v>7000</v>
      </c>
      <c r="DP21">
        <v>0</v>
      </c>
      <c r="DR21">
        <v>7000</v>
      </c>
      <c r="DS21">
        <v>-1602</v>
      </c>
      <c r="DT21">
        <v>373856</v>
      </c>
      <c r="DU21">
        <v>0</v>
      </c>
      <c r="DV21">
        <v>373856</v>
      </c>
      <c r="DW21">
        <v>1602</v>
      </c>
      <c r="DX21">
        <v>368558</v>
      </c>
      <c r="DY21">
        <v>5404</v>
      </c>
      <c r="DZ21">
        <v>100</v>
      </c>
      <c r="EB21">
        <v>0</v>
      </c>
      <c r="EC21">
        <v>0</v>
      </c>
      <c r="ED21">
        <v>368514</v>
      </c>
      <c r="EE21">
        <v>373856</v>
      </c>
      <c r="EF21">
        <v>366956</v>
      </c>
      <c r="EG21">
        <v>20</v>
      </c>
    </row>
    <row r="22" spans="1:137" x14ac:dyDescent="0.15">
      <c r="A22" t="s">
        <v>191</v>
      </c>
      <c r="B22">
        <v>1092</v>
      </c>
      <c r="C22">
        <v>1</v>
      </c>
      <c r="D22" t="s">
        <v>192</v>
      </c>
      <c r="E22" t="s">
        <v>193</v>
      </c>
      <c r="F22">
        <v>59.954000000000001</v>
      </c>
      <c r="G22" t="s">
        <v>194</v>
      </c>
      <c r="H22">
        <v>1</v>
      </c>
      <c r="I22">
        <v>6000</v>
      </c>
      <c r="J22">
        <v>-43</v>
      </c>
      <c r="K22">
        <v>0</v>
      </c>
      <c r="L22">
        <v>39856</v>
      </c>
      <c r="M22">
        <v>43</v>
      </c>
      <c r="N22">
        <v>33999</v>
      </c>
      <c r="O22">
        <v>5971</v>
      </c>
      <c r="Q22">
        <v>0</v>
      </c>
      <c r="R22">
        <v>0</v>
      </c>
      <c r="S22">
        <v>1945214817</v>
      </c>
      <c r="T22" t="s">
        <v>137</v>
      </c>
      <c r="U22" t="s">
        <v>138</v>
      </c>
      <c r="V22" t="s">
        <v>138</v>
      </c>
      <c r="W22" s="14">
        <v>44806</v>
      </c>
      <c r="X22" s="15">
        <v>44806.758020833331</v>
      </c>
      <c r="Y22" s="16">
        <v>0.59135416666666674</v>
      </c>
      <c r="Z22" t="s">
        <v>139</v>
      </c>
      <c r="AA22" t="s">
        <v>140</v>
      </c>
      <c r="AB22">
        <v>-1</v>
      </c>
      <c r="AC22">
        <v>-999999</v>
      </c>
      <c r="AD22">
        <v>33956</v>
      </c>
      <c r="AE22">
        <v>46</v>
      </c>
      <c r="AF22">
        <v>14951</v>
      </c>
      <c r="AG22">
        <v>0</v>
      </c>
      <c r="AH22">
        <v>5</v>
      </c>
      <c r="AI22">
        <v>19005</v>
      </c>
      <c r="AJ22">
        <v>33956</v>
      </c>
      <c r="AK22">
        <v>21</v>
      </c>
      <c r="AL22">
        <v>21</v>
      </c>
      <c r="AM22">
        <v>1</v>
      </c>
      <c r="AN22">
        <v>21</v>
      </c>
      <c r="AO22">
        <v>2</v>
      </c>
      <c r="AP22" t="s">
        <v>141</v>
      </c>
      <c r="AQ22">
        <v>4000</v>
      </c>
      <c r="AR22">
        <v>0</v>
      </c>
      <c r="AT22">
        <v>4000</v>
      </c>
      <c r="AU22">
        <v>-9</v>
      </c>
      <c r="AV22">
        <v>381856</v>
      </c>
      <c r="AW22">
        <v>0</v>
      </c>
      <c r="AX22">
        <v>381856</v>
      </c>
      <c r="AY22">
        <v>9</v>
      </c>
      <c r="AZ22">
        <v>377965</v>
      </c>
      <c r="BA22">
        <v>4003</v>
      </c>
      <c r="BB22">
        <v>100</v>
      </c>
      <c r="BD22">
        <v>0</v>
      </c>
      <c r="BE22">
        <v>0</v>
      </c>
      <c r="BF22">
        <v>377861</v>
      </c>
      <c r="BG22">
        <v>381856</v>
      </c>
      <c r="BH22">
        <v>377956</v>
      </c>
      <c r="BI22">
        <v>7000</v>
      </c>
      <c r="BJ22">
        <v>0</v>
      </c>
      <c r="BL22" t="s">
        <v>140</v>
      </c>
      <c r="BM22">
        <v>7000</v>
      </c>
      <c r="BN22">
        <v>-999999</v>
      </c>
      <c r="BO22">
        <v>383520</v>
      </c>
      <c r="BP22">
        <v>383520</v>
      </c>
      <c r="BQ22">
        <v>52</v>
      </c>
      <c r="BR22">
        <v>383236</v>
      </c>
      <c r="BS22">
        <v>0</v>
      </c>
      <c r="BT22">
        <v>100</v>
      </c>
      <c r="BU22">
        <v>1</v>
      </c>
      <c r="BV22">
        <v>284</v>
      </c>
      <c r="BW22">
        <v>383520</v>
      </c>
      <c r="BX22">
        <v>383188</v>
      </c>
      <c r="BY22">
        <v>390084</v>
      </c>
      <c r="BZ22">
        <v>383184</v>
      </c>
      <c r="CA22">
        <v>2000</v>
      </c>
      <c r="CB22">
        <v>0</v>
      </c>
      <c r="CD22">
        <v>2000</v>
      </c>
      <c r="CE22">
        <v>-1</v>
      </c>
      <c r="CF22">
        <v>390856</v>
      </c>
      <c r="CG22">
        <v>0</v>
      </c>
      <c r="CH22">
        <v>390856</v>
      </c>
      <c r="CI22">
        <v>1</v>
      </c>
      <c r="CJ22">
        <v>388957</v>
      </c>
      <c r="CK22">
        <v>0</v>
      </c>
      <c r="CL22">
        <v>100</v>
      </c>
      <c r="CN22">
        <v>0</v>
      </c>
      <c r="CO22">
        <v>0</v>
      </c>
      <c r="CP22">
        <v>388856</v>
      </c>
      <c r="CQ22">
        <v>390856</v>
      </c>
      <c r="CR22">
        <v>388956</v>
      </c>
      <c r="CS22">
        <v>15</v>
      </c>
      <c r="CT22">
        <v>4</v>
      </c>
      <c r="CU22">
        <v>0</v>
      </c>
      <c r="CV22">
        <v>9</v>
      </c>
      <c r="CW22">
        <v>10</v>
      </c>
      <c r="CX22">
        <v>1</v>
      </c>
      <c r="CY22">
        <v>2</v>
      </c>
      <c r="CZ22">
        <v>3</v>
      </c>
      <c r="DA22">
        <v>4</v>
      </c>
      <c r="DB22">
        <v>5</v>
      </c>
      <c r="DC22">
        <v>6</v>
      </c>
      <c r="DD22">
        <v>7</v>
      </c>
      <c r="DE22">
        <v>8</v>
      </c>
      <c r="DF22" t="s">
        <v>147</v>
      </c>
      <c r="DG22" t="s">
        <v>143</v>
      </c>
      <c r="DH22" t="s">
        <v>37</v>
      </c>
      <c r="DI22">
        <v>0</v>
      </c>
      <c r="DJ22">
        <v>0</v>
      </c>
      <c r="DK22">
        <v>381968</v>
      </c>
      <c r="DL22">
        <v>12</v>
      </c>
      <c r="DM22">
        <v>381968</v>
      </c>
      <c r="DN22">
        <v>50</v>
      </c>
      <c r="DO22">
        <v>7000</v>
      </c>
      <c r="DP22">
        <v>0</v>
      </c>
      <c r="DR22">
        <v>7000</v>
      </c>
      <c r="DS22">
        <v>-1613</v>
      </c>
      <c r="DT22">
        <v>388856</v>
      </c>
      <c r="DU22">
        <v>0</v>
      </c>
      <c r="DV22">
        <v>388856</v>
      </c>
      <c r="DW22">
        <v>1613</v>
      </c>
      <c r="DX22">
        <v>383569</v>
      </c>
      <c r="DY22">
        <v>5388</v>
      </c>
      <c r="DZ22">
        <v>100</v>
      </c>
      <c r="EB22">
        <v>0</v>
      </c>
      <c r="EC22">
        <v>0</v>
      </c>
      <c r="ED22">
        <v>383523</v>
      </c>
      <c r="EE22">
        <v>388856</v>
      </c>
      <c r="EF22">
        <v>381956</v>
      </c>
      <c r="EG22">
        <v>21</v>
      </c>
    </row>
    <row r="23" spans="1:137" x14ac:dyDescent="0.15">
      <c r="A23" t="s">
        <v>191</v>
      </c>
      <c r="B23">
        <v>1092</v>
      </c>
      <c r="C23">
        <v>1</v>
      </c>
      <c r="D23" t="s">
        <v>192</v>
      </c>
      <c r="E23" t="s">
        <v>193</v>
      </c>
      <c r="F23">
        <v>59.954000000000001</v>
      </c>
      <c r="G23" t="s">
        <v>194</v>
      </c>
      <c r="H23">
        <v>1</v>
      </c>
      <c r="I23">
        <v>6000</v>
      </c>
      <c r="J23">
        <v>-43</v>
      </c>
      <c r="K23">
        <v>0</v>
      </c>
      <c r="L23">
        <v>39856</v>
      </c>
      <c r="M23">
        <v>43</v>
      </c>
      <c r="N23">
        <v>33999</v>
      </c>
      <c r="O23">
        <v>5971</v>
      </c>
      <c r="Q23">
        <v>0</v>
      </c>
      <c r="R23">
        <v>0</v>
      </c>
      <c r="S23">
        <v>1945214817</v>
      </c>
      <c r="T23" t="s">
        <v>137</v>
      </c>
      <c r="U23" t="s">
        <v>138</v>
      </c>
      <c r="V23" t="s">
        <v>138</v>
      </c>
      <c r="W23" s="14">
        <v>44806</v>
      </c>
      <c r="X23" s="15">
        <v>44806.758020833331</v>
      </c>
      <c r="Y23" s="16">
        <v>0.59135416666666674</v>
      </c>
      <c r="Z23" t="s">
        <v>139</v>
      </c>
      <c r="AA23" t="s">
        <v>140</v>
      </c>
      <c r="AB23">
        <v>-1</v>
      </c>
      <c r="AC23">
        <v>-999999</v>
      </c>
      <c r="AD23">
        <v>33956</v>
      </c>
      <c r="AE23">
        <v>46</v>
      </c>
      <c r="AF23">
        <v>14951</v>
      </c>
      <c r="AG23">
        <v>0</v>
      </c>
      <c r="AH23">
        <v>5</v>
      </c>
      <c r="AI23">
        <v>19005</v>
      </c>
      <c r="AJ23">
        <v>33956</v>
      </c>
      <c r="AK23">
        <v>22</v>
      </c>
      <c r="AL23">
        <v>22</v>
      </c>
      <c r="AM23">
        <v>1</v>
      </c>
      <c r="AN23">
        <v>22</v>
      </c>
      <c r="AO23">
        <v>8</v>
      </c>
      <c r="AP23" t="s">
        <v>141</v>
      </c>
      <c r="AQ23">
        <v>4000</v>
      </c>
      <c r="AR23">
        <v>0</v>
      </c>
      <c r="AT23">
        <v>4000</v>
      </c>
      <c r="AU23">
        <v>-2</v>
      </c>
      <c r="AV23">
        <v>394856</v>
      </c>
      <c r="AW23">
        <v>0</v>
      </c>
      <c r="AX23">
        <v>394856</v>
      </c>
      <c r="AY23">
        <v>2</v>
      </c>
      <c r="AZ23">
        <v>390958</v>
      </c>
      <c r="BA23">
        <v>4003</v>
      </c>
      <c r="BB23">
        <v>100</v>
      </c>
      <c r="BD23">
        <v>0</v>
      </c>
      <c r="BE23">
        <v>0</v>
      </c>
      <c r="BF23">
        <v>390861</v>
      </c>
      <c r="BG23">
        <v>394856</v>
      </c>
      <c r="BH23">
        <v>390956</v>
      </c>
      <c r="BI23">
        <v>7000</v>
      </c>
      <c r="BJ23">
        <v>0</v>
      </c>
      <c r="BL23" t="s">
        <v>140</v>
      </c>
      <c r="BM23">
        <v>7000</v>
      </c>
      <c r="BN23">
        <v>-999999</v>
      </c>
      <c r="BO23">
        <v>398151</v>
      </c>
      <c r="BP23">
        <v>398151</v>
      </c>
      <c r="BQ23">
        <v>37</v>
      </c>
      <c r="BR23">
        <v>397964</v>
      </c>
      <c r="BS23">
        <v>0</v>
      </c>
      <c r="BT23">
        <v>100</v>
      </c>
      <c r="BU23">
        <v>1</v>
      </c>
      <c r="BV23">
        <v>187</v>
      </c>
      <c r="BW23">
        <v>398151</v>
      </c>
      <c r="BX23">
        <v>397931</v>
      </c>
      <c r="BY23">
        <v>404827</v>
      </c>
      <c r="BZ23">
        <v>397927</v>
      </c>
      <c r="CA23">
        <v>10000</v>
      </c>
      <c r="CB23">
        <v>0</v>
      </c>
      <c r="CD23">
        <v>10000</v>
      </c>
      <c r="CE23">
        <v>-11</v>
      </c>
      <c r="CF23">
        <v>411856</v>
      </c>
      <c r="CG23">
        <v>0</v>
      </c>
      <c r="CH23">
        <v>411856</v>
      </c>
      <c r="CI23">
        <v>11</v>
      </c>
      <c r="CJ23">
        <v>401967</v>
      </c>
      <c r="CK23">
        <v>0</v>
      </c>
      <c r="CL23">
        <v>100</v>
      </c>
      <c r="CN23">
        <v>0</v>
      </c>
      <c r="CO23">
        <v>0</v>
      </c>
      <c r="CP23">
        <v>401856</v>
      </c>
      <c r="CQ23">
        <v>411856</v>
      </c>
      <c r="CR23">
        <v>401956</v>
      </c>
      <c r="CS23">
        <v>15</v>
      </c>
      <c r="CT23">
        <v>4</v>
      </c>
      <c r="CU23">
        <v>0</v>
      </c>
      <c r="CV23">
        <v>9</v>
      </c>
      <c r="CW23">
        <v>10</v>
      </c>
      <c r="CX23">
        <v>1</v>
      </c>
      <c r="CY23">
        <v>2</v>
      </c>
      <c r="CZ23">
        <v>3</v>
      </c>
      <c r="DA23">
        <v>4</v>
      </c>
      <c r="DB23">
        <v>5</v>
      </c>
      <c r="DC23">
        <v>6</v>
      </c>
      <c r="DD23">
        <v>7</v>
      </c>
      <c r="DE23">
        <v>8</v>
      </c>
      <c r="DF23" t="s">
        <v>186</v>
      </c>
      <c r="DG23" t="s">
        <v>143</v>
      </c>
      <c r="DH23" t="s">
        <v>37</v>
      </c>
      <c r="DI23">
        <v>0</v>
      </c>
      <c r="DJ23">
        <v>0</v>
      </c>
      <c r="DK23">
        <v>394961</v>
      </c>
      <c r="DL23">
        <v>5</v>
      </c>
      <c r="DM23">
        <v>394961</v>
      </c>
      <c r="DN23">
        <v>51</v>
      </c>
      <c r="DO23">
        <v>7000</v>
      </c>
      <c r="DP23">
        <v>0</v>
      </c>
      <c r="DR23">
        <v>7000</v>
      </c>
      <c r="DS23">
        <v>-3241</v>
      </c>
      <c r="DT23">
        <v>401856</v>
      </c>
      <c r="DU23">
        <v>0</v>
      </c>
      <c r="DV23">
        <v>401856</v>
      </c>
      <c r="DW23">
        <v>3241</v>
      </c>
      <c r="DX23">
        <v>398197</v>
      </c>
      <c r="DY23">
        <v>3770</v>
      </c>
      <c r="DZ23">
        <v>100</v>
      </c>
      <c r="EB23">
        <v>0</v>
      </c>
      <c r="EC23">
        <v>0</v>
      </c>
      <c r="ED23">
        <v>398153</v>
      </c>
      <c r="EE23">
        <v>401856</v>
      </c>
      <c r="EF23">
        <v>394956</v>
      </c>
      <c r="EG23">
        <v>22</v>
      </c>
    </row>
    <row r="24" spans="1:137" x14ac:dyDescent="0.15">
      <c r="A24" t="s">
        <v>191</v>
      </c>
      <c r="B24">
        <v>1092</v>
      </c>
      <c r="C24">
        <v>1</v>
      </c>
      <c r="D24" t="s">
        <v>192</v>
      </c>
      <c r="E24" t="s">
        <v>193</v>
      </c>
      <c r="F24">
        <v>59.954000000000001</v>
      </c>
      <c r="G24" t="s">
        <v>194</v>
      </c>
      <c r="H24">
        <v>1</v>
      </c>
      <c r="I24">
        <v>6000</v>
      </c>
      <c r="J24">
        <v>-43</v>
      </c>
      <c r="K24">
        <v>0</v>
      </c>
      <c r="L24">
        <v>39856</v>
      </c>
      <c r="M24">
        <v>43</v>
      </c>
      <c r="N24">
        <v>33999</v>
      </c>
      <c r="O24">
        <v>5971</v>
      </c>
      <c r="Q24">
        <v>0</v>
      </c>
      <c r="R24">
        <v>0</v>
      </c>
      <c r="S24">
        <v>1945214817</v>
      </c>
      <c r="T24" t="s">
        <v>137</v>
      </c>
      <c r="U24" t="s">
        <v>138</v>
      </c>
      <c r="V24" t="s">
        <v>138</v>
      </c>
      <c r="W24" s="14">
        <v>44806</v>
      </c>
      <c r="X24" s="15">
        <v>44806.758020833331</v>
      </c>
      <c r="Y24" s="16">
        <v>0.59135416666666674</v>
      </c>
      <c r="Z24" t="s">
        <v>139</v>
      </c>
      <c r="AA24" t="s">
        <v>140</v>
      </c>
      <c r="AB24">
        <v>-1</v>
      </c>
      <c r="AC24">
        <v>-999999</v>
      </c>
      <c r="AD24">
        <v>33956</v>
      </c>
      <c r="AE24">
        <v>46</v>
      </c>
      <c r="AF24">
        <v>14951</v>
      </c>
      <c r="AG24">
        <v>0</v>
      </c>
      <c r="AH24">
        <v>5</v>
      </c>
      <c r="AI24">
        <v>19005</v>
      </c>
      <c r="AJ24">
        <v>33956</v>
      </c>
      <c r="AK24">
        <v>23</v>
      </c>
      <c r="AL24">
        <v>23</v>
      </c>
      <c r="AM24">
        <v>1</v>
      </c>
      <c r="AN24">
        <v>23</v>
      </c>
      <c r="AO24">
        <v>10</v>
      </c>
      <c r="AP24" t="s">
        <v>141</v>
      </c>
      <c r="AQ24">
        <v>4000</v>
      </c>
      <c r="AR24">
        <v>0</v>
      </c>
      <c r="AT24">
        <v>4000</v>
      </c>
      <c r="AU24">
        <v>-2</v>
      </c>
      <c r="AV24">
        <v>415856</v>
      </c>
      <c r="AW24">
        <v>0</v>
      </c>
      <c r="AX24">
        <v>415856</v>
      </c>
      <c r="AY24">
        <v>2</v>
      </c>
      <c r="AZ24">
        <v>411958</v>
      </c>
      <c r="BA24">
        <v>4003</v>
      </c>
      <c r="BB24">
        <v>100</v>
      </c>
      <c r="BD24">
        <v>0</v>
      </c>
      <c r="BE24">
        <v>0</v>
      </c>
      <c r="BF24">
        <v>411861</v>
      </c>
      <c r="BG24">
        <v>415856</v>
      </c>
      <c r="BH24">
        <v>411956</v>
      </c>
      <c r="BI24">
        <v>7000</v>
      </c>
      <c r="BJ24">
        <v>0</v>
      </c>
      <c r="BL24" t="s">
        <v>140</v>
      </c>
      <c r="BM24">
        <v>7000</v>
      </c>
      <c r="BN24">
        <v>-999999</v>
      </c>
      <c r="BO24">
        <v>417870</v>
      </c>
      <c r="BP24">
        <v>417870</v>
      </c>
      <c r="BQ24">
        <v>47</v>
      </c>
      <c r="BR24">
        <v>417629</v>
      </c>
      <c r="BS24">
        <v>0</v>
      </c>
      <c r="BT24">
        <v>100</v>
      </c>
      <c r="BU24">
        <v>1</v>
      </c>
      <c r="BV24">
        <v>241</v>
      </c>
      <c r="BW24">
        <v>417870</v>
      </c>
      <c r="BX24">
        <v>417586</v>
      </c>
      <c r="BY24">
        <v>424482</v>
      </c>
      <c r="BZ24">
        <v>417582</v>
      </c>
      <c r="CA24">
        <v>4000</v>
      </c>
      <c r="CB24">
        <v>0</v>
      </c>
      <c r="CD24">
        <v>4000</v>
      </c>
      <c r="CE24">
        <v>-10</v>
      </c>
      <c r="CF24">
        <v>426856</v>
      </c>
      <c r="CG24">
        <v>0</v>
      </c>
      <c r="CH24">
        <v>426856</v>
      </c>
      <c r="CI24">
        <v>10</v>
      </c>
      <c r="CJ24">
        <v>422966</v>
      </c>
      <c r="CK24">
        <v>0</v>
      </c>
      <c r="CL24">
        <v>100</v>
      </c>
      <c r="CN24">
        <v>0</v>
      </c>
      <c r="CO24">
        <v>0</v>
      </c>
      <c r="CP24">
        <v>422856</v>
      </c>
      <c r="CQ24">
        <v>426856</v>
      </c>
      <c r="CR24">
        <v>422956</v>
      </c>
      <c r="CS24">
        <v>15</v>
      </c>
      <c r="CT24">
        <v>4</v>
      </c>
      <c r="CU24">
        <v>0</v>
      </c>
      <c r="CV24">
        <v>9</v>
      </c>
      <c r="CW24">
        <v>10</v>
      </c>
      <c r="CX24">
        <v>1</v>
      </c>
      <c r="CY24">
        <v>2</v>
      </c>
      <c r="CZ24">
        <v>3</v>
      </c>
      <c r="DA24">
        <v>4</v>
      </c>
      <c r="DB24">
        <v>5</v>
      </c>
      <c r="DC24">
        <v>6</v>
      </c>
      <c r="DD24">
        <v>7</v>
      </c>
      <c r="DE24">
        <v>8</v>
      </c>
      <c r="DF24" t="s">
        <v>146</v>
      </c>
      <c r="DG24" t="s">
        <v>143</v>
      </c>
      <c r="DH24" t="s">
        <v>37</v>
      </c>
      <c r="DI24">
        <v>0</v>
      </c>
      <c r="DJ24">
        <v>0</v>
      </c>
      <c r="DK24">
        <v>415961</v>
      </c>
      <c r="DL24">
        <v>5</v>
      </c>
      <c r="DM24">
        <v>415961</v>
      </c>
      <c r="DN24">
        <v>50</v>
      </c>
      <c r="DO24">
        <v>7000</v>
      </c>
      <c r="DP24">
        <v>0</v>
      </c>
      <c r="DR24">
        <v>7000</v>
      </c>
      <c r="DS24">
        <v>-1956</v>
      </c>
      <c r="DT24">
        <v>422856</v>
      </c>
      <c r="DU24">
        <v>0</v>
      </c>
      <c r="DV24">
        <v>422856</v>
      </c>
      <c r="DW24">
        <v>1956</v>
      </c>
      <c r="DX24">
        <v>417912</v>
      </c>
      <c r="DY24">
        <v>5054</v>
      </c>
      <c r="DZ24">
        <v>100</v>
      </c>
      <c r="EB24">
        <v>0</v>
      </c>
      <c r="EC24">
        <v>0</v>
      </c>
      <c r="ED24">
        <v>417873</v>
      </c>
      <c r="EE24">
        <v>422856</v>
      </c>
      <c r="EF24">
        <v>415956</v>
      </c>
      <c r="EG24">
        <v>23</v>
      </c>
    </row>
    <row r="25" spans="1:137" x14ac:dyDescent="0.15">
      <c r="A25" t="s">
        <v>191</v>
      </c>
      <c r="B25">
        <v>1092</v>
      </c>
      <c r="C25">
        <v>1</v>
      </c>
      <c r="D25" t="s">
        <v>192</v>
      </c>
      <c r="E25" t="s">
        <v>193</v>
      </c>
      <c r="F25">
        <v>59.954000000000001</v>
      </c>
      <c r="G25" t="s">
        <v>194</v>
      </c>
      <c r="H25">
        <v>1</v>
      </c>
      <c r="I25">
        <v>6000</v>
      </c>
      <c r="J25">
        <v>-43</v>
      </c>
      <c r="K25">
        <v>0</v>
      </c>
      <c r="L25">
        <v>39856</v>
      </c>
      <c r="M25">
        <v>43</v>
      </c>
      <c r="N25">
        <v>33999</v>
      </c>
      <c r="O25">
        <v>5971</v>
      </c>
      <c r="Q25">
        <v>0</v>
      </c>
      <c r="R25">
        <v>0</v>
      </c>
      <c r="S25">
        <v>1945214817</v>
      </c>
      <c r="T25" t="s">
        <v>137</v>
      </c>
      <c r="U25" t="s">
        <v>138</v>
      </c>
      <c r="V25" t="s">
        <v>138</v>
      </c>
      <c r="W25" s="14">
        <v>44806</v>
      </c>
      <c r="X25" s="15">
        <v>44806.758020833331</v>
      </c>
      <c r="Y25" s="16">
        <v>0.59135416666666674</v>
      </c>
      <c r="Z25" t="s">
        <v>139</v>
      </c>
      <c r="AA25" t="s">
        <v>140</v>
      </c>
      <c r="AB25">
        <v>-1</v>
      </c>
      <c r="AC25">
        <v>-999999</v>
      </c>
      <c r="AD25">
        <v>33956</v>
      </c>
      <c r="AE25">
        <v>46</v>
      </c>
      <c r="AF25">
        <v>14951</v>
      </c>
      <c r="AG25">
        <v>0</v>
      </c>
      <c r="AH25">
        <v>5</v>
      </c>
      <c r="AI25">
        <v>19005</v>
      </c>
      <c r="AJ25">
        <v>33956</v>
      </c>
      <c r="AK25">
        <v>24</v>
      </c>
      <c r="AL25">
        <v>24</v>
      </c>
      <c r="AM25">
        <v>1</v>
      </c>
      <c r="AN25">
        <v>24</v>
      </c>
      <c r="AO25">
        <v>7</v>
      </c>
      <c r="AP25" t="s">
        <v>141</v>
      </c>
      <c r="AQ25">
        <v>4000</v>
      </c>
      <c r="AR25">
        <v>0</v>
      </c>
      <c r="AT25">
        <v>4000</v>
      </c>
      <c r="AU25">
        <v>-13</v>
      </c>
      <c r="AV25">
        <v>430856</v>
      </c>
      <c r="AW25">
        <v>0</v>
      </c>
      <c r="AX25">
        <v>430856</v>
      </c>
      <c r="AY25">
        <v>13</v>
      </c>
      <c r="AZ25">
        <v>426969</v>
      </c>
      <c r="BA25">
        <v>3987</v>
      </c>
      <c r="BB25">
        <v>100</v>
      </c>
      <c r="BD25">
        <v>0</v>
      </c>
      <c r="BE25">
        <v>0</v>
      </c>
      <c r="BF25">
        <v>426861</v>
      </c>
      <c r="BG25">
        <v>430856</v>
      </c>
      <c r="BH25">
        <v>426956</v>
      </c>
      <c r="BI25">
        <v>7000</v>
      </c>
      <c r="BJ25">
        <v>0</v>
      </c>
      <c r="BL25" t="s">
        <v>140</v>
      </c>
      <c r="BM25">
        <v>7000</v>
      </c>
      <c r="BN25">
        <v>-999999</v>
      </c>
      <c r="BO25">
        <v>432533</v>
      </c>
      <c r="BP25">
        <v>432533</v>
      </c>
      <c r="BQ25">
        <v>44</v>
      </c>
      <c r="BR25">
        <v>432257</v>
      </c>
      <c r="BS25">
        <v>0</v>
      </c>
      <c r="BT25">
        <v>100</v>
      </c>
      <c r="BU25">
        <v>1</v>
      </c>
      <c r="BV25">
        <v>276</v>
      </c>
      <c r="BW25">
        <v>432533</v>
      </c>
      <c r="BX25">
        <v>432217</v>
      </c>
      <c r="BY25">
        <v>439113</v>
      </c>
      <c r="BZ25">
        <v>432213</v>
      </c>
      <c r="CA25">
        <v>2000</v>
      </c>
      <c r="CB25">
        <v>0</v>
      </c>
      <c r="CD25">
        <v>2000</v>
      </c>
      <c r="CE25">
        <v>-5</v>
      </c>
      <c r="CF25">
        <v>439856</v>
      </c>
      <c r="CG25">
        <v>0</v>
      </c>
      <c r="CH25">
        <v>439856</v>
      </c>
      <c r="CI25">
        <v>5</v>
      </c>
      <c r="CJ25">
        <v>437961</v>
      </c>
      <c r="CK25">
        <v>0</v>
      </c>
      <c r="CL25">
        <v>100</v>
      </c>
      <c r="CN25">
        <v>0</v>
      </c>
      <c r="CO25">
        <v>0</v>
      </c>
      <c r="CP25">
        <v>437856</v>
      </c>
      <c r="CQ25">
        <v>439856</v>
      </c>
      <c r="CR25">
        <v>437956</v>
      </c>
      <c r="CS25">
        <v>15</v>
      </c>
      <c r="CT25">
        <v>4</v>
      </c>
      <c r="CU25">
        <v>0</v>
      </c>
      <c r="CV25">
        <v>9</v>
      </c>
      <c r="CW25">
        <v>10</v>
      </c>
      <c r="CX25">
        <v>1</v>
      </c>
      <c r="CY25">
        <v>2</v>
      </c>
      <c r="CZ25">
        <v>3</v>
      </c>
      <c r="DA25">
        <v>4</v>
      </c>
      <c r="DB25">
        <v>5</v>
      </c>
      <c r="DC25">
        <v>6</v>
      </c>
      <c r="DD25">
        <v>7</v>
      </c>
      <c r="DE25">
        <v>8</v>
      </c>
      <c r="DF25" t="s">
        <v>187</v>
      </c>
      <c r="DG25" t="s">
        <v>143</v>
      </c>
      <c r="DH25" t="s">
        <v>37</v>
      </c>
      <c r="DI25">
        <v>0</v>
      </c>
      <c r="DJ25">
        <v>0</v>
      </c>
      <c r="DK25">
        <v>430956</v>
      </c>
      <c r="DL25">
        <v>0</v>
      </c>
      <c r="DM25">
        <v>430956</v>
      </c>
      <c r="DN25">
        <v>50</v>
      </c>
      <c r="DO25">
        <v>7000</v>
      </c>
      <c r="DP25">
        <v>0</v>
      </c>
      <c r="DR25">
        <v>7000</v>
      </c>
      <c r="DS25">
        <v>-1618</v>
      </c>
      <c r="DT25">
        <v>437856</v>
      </c>
      <c r="DU25">
        <v>0</v>
      </c>
      <c r="DV25">
        <v>437856</v>
      </c>
      <c r="DW25">
        <v>1618</v>
      </c>
      <c r="DX25">
        <v>432574</v>
      </c>
      <c r="DY25">
        <v>5387</v>
      </c>
      <c r="DZ25">
        <v>100</v>
      </c>
      <c r="EB25">
        <v>0</v>
      </c>
      <c r="EC25">
        <v>0</v>
      </c>
      <c r="ED25">
        <v>432535</v>
      </c>
      <c r="EE25">
        <v>437856</v>
      </c>
      <c r="EF25">
        <v>430956</v>
      </c>
      <c r="EG25">
        <v>24</v>
      </c>
    </row>
    <row r="26" spans="1:137" x14ac:dyDescent="0.15">
      <c r="A26" t="s">
        <v>191</v>
      </c>
      <c r="B26">
        <v>1092</v>
      </c>
      <c r="C26">
        <v>1</v>
      </c>
      <c r="D26" t="s">
        <v>192</v>
      </c>
      <c r="E26" t="s">
        <v>193</v>
      </c>
      <c r="F26">
        <v>59.954000000000001</v>
      </c>
      <c r="G26" t="s">
        <v>194</v>
      </c>
      <c r="H26">
        <v>1</v>
      </c>
      <c r="I26">
        <v>6000</v>
      </c>
      <c r="J26">
        <v>-43</v>
      </c>
      <c r="K26">
        <v>0</v>
      </c>
      <c r="L26">
        <v>39856</v>
      </c>
      <c r="M26">
        <v>43</v>
      </c>
      <c r="N26">
        <v>33999</v>
      </c>
      <c r="O26">
        <v>5971</v>
      </c>
      <c r="Q26">
        <v>0</v>
      </c>
      <c r="R26">
        <v>0</v>
      </c>
      <c r="S26">
        <v>1945214817</v>
      </c>
      <c r="T26" t="s">
        <v>137</v>
      </c>
      <c r="U26" t="s">
        <v>138</v>
      </c>
      <c r="V26" t="s">
        <v>138</v>
      </c>
      <c r="W26" s="14">
        <v>44806</v>
      </c>
      <c r="X26" s="15">
        <v>44806.758020833331</v>
      </c>
      <c r="Y26" s="16">
        <v>0.59135416666666674</v>
      </c>
      <c r="Z26" t="s">
        <v>139</v>
      </c>
      <c r="AA26" t="s">
        <v>140</v>
      </c>
      <c r="AB26">
        <v>-1</v>
      </c>
      <c r="AC26">
        <v>-999999</v>
      </c>
      <c r="AD26">
        <v>33956</v>
      </c>
      <c r="AE26">
        <v>46</v>
      </c>
      <c r="AF26">
        <v>14951</v>
      </c>
      <c r="AG26">
        <v>0</v>
      </c>
      <c r="AH26">
        <v>5</v>
      </c>
      <c r="AI26">
        <v>19005</v>
      </c>
      <c r="AJ26">
        <v>33956</v>
      </c>
      <c r="AK26">
        <v>25</v>
      </c>
      <c r="AL26">
        <v>25</v>
      </c>
      <c r="AM26">
        <v>1</v>
      </c>
      <c r="AN26">
        <v>25</v>
      </c>
      <c r="AO26">
        <v>2</v>
      </c>
      <c r="AP26" t="s">
        <v>141</v>
      </c>
      <c r="AQ26">
        <v>4000</v>
      </c>
      <c r="AR26">
        <v>0</v>
      </c>
      <c r="AT26">
        <v>4000</v>
      </c>
      <c r="AU26">
        <v>-7</v>
      </c>
      <c r="AV26">
        <v>443856</v>
      </c>
      <c r="AW26">
        <v>0</v>
      </c>
      <c r="AX26">
        <v>443856</v>
      </c>
      <c r="AY26">
        <v>7</v>
      </c>
      <c r="AZ26">
        <v>439963</v>
      </c>
      <c r="BA26">
        <v>4003</v>
      </c>
      <c r="BB26">
        <v>100</v>
      </c>
      <c r="BD26">
        <v>0</v>
      </c>
      <c r="BE26">
        <v>0</v>
      </c>
      <c r="BF26">
        <v>439861</v>
      </c>
      <c r="BG26">
        <v>443856</v>
      </c>
      <c r="BH26">
        <v>439956</v>
      </c>
      <c r="BI26">
        <v>7000</v>
      </c>
      <c r="BJ26">
        <v>0</v>
      </c>
      <c r="BL26" t="s">
        <v>140</v>
      </c>
      <c r="BM26">
        <v>7000</v>
      </c>
      <c r="BN26">
        <v>-999999</v>
      </c>
      <c r="BO26">
        <v>445428</v>
      </c>
      <c r="BP26">
        <v>445428</v>
      </c>
      <c r="BQ26">
        <v>36</v>
      </c>
      <c r="BR26">
        <v>445184</v>
      </c>
      <c r="BS26">
        <v>0</v>
      </c>
      <c r="BT26">
        <v>100</v>
      </c>
      <c r="BU26">
        <v>1</v>
      </c>
      <c r="BV26">
        <v>244</v>
      </c>
      <c r="BW26">
        <v>445428</v>
      </c>
      <c r="BX26">
        <v>445152</v>
      </c>
      <c r="BY26">
        <v>452048</v>
      </c>
      <c r="BZ26">
        <v>445148</v>
      </c>
      <c r="CA26">
        <v>4000</v>
      </c>
      <c r="CB26">
        <v>0</v>
      </c>
      <c r="CD26">
        <v>4000</v>
      </c>
      <c r="CE26">
        <v>-15</v>
      </c>
      <c r="CF26">
        <v>454856</v>
      </c>
      <c r="CG26">
        <v>0</v>
      </c>
      <c r="CH26">
        <v>454856</v>
      </c>
      <c r="CI26">
        <v>15</v>
      </c>
      <c r="CJ26">
        <v>450971</v>
      </c>
      <c r="CK26">
        <v>0</v>
      </c>
      <c r="CL26">
        <v>100</v>
      </c>
      <c r="CN26">
        <v>0</v>
      </c>
      <c r="CO26">
        <v>0</v>
      </c>
      <c r="CP26">
        <v>450856</v>
      </c>
      <c r="CQ26">
        <v>454856</v>
      </c>
      <c r="CR26">
        <v>450956</v>
      </c>
      <c r="CS26">
        <v>15</v>
      </c>
      <c r="CT26">
        <v>4</v>
      </c>
      <c r="CU26">
        <v>0</v>
      </c>
      <c r="CV26">
        <v>9</v>
      </c>
      <c r="CW26">
        <v>10</v>
      </c>
      <c r="CX26">
        <v>1</v>
      </c>
      <c r="CY26">
        <v>2</v>
      </c>
      <c r="CZ26">
        <v>3</v>
      </c>
      <c r="DA26">
        <v>4</v>
      </c>
      <c r="DB26">
        <v>5</v>
      </c>
      <c r="DC26">
        <v>6</v>
      </c>
      <c r="DD26">
        <v>7</v>
      </c>
      <c r="DE26">
        <v>8</v>
      </c>
      <c r="DF26" t="s">
        <v>149</v>
      </c>
      <c r="DG26" t="s">
        <v>143</v>
      </c>
      <c r="DH26" t="s">
        <v>37</v>
      </c>
      <c r="DI26">
        <v>0</v>
      </c>
      <c r="DJ26">
        <v>0</v>
      </c>
      <c r="DK26">
        <v>443966</v>
      </c>
      <c r="DL26">
        <v>10</v>
      </c>
      <c r="DM26">
        <v>443966</v>
      </c>
      <c r="DN26">
        <v>50</v>
      </c>
      <c r="DO26">
        <v>7000</v>
      </c>
      <c r="DP26">
        <v>0</v>
      </c>
      <c r="DR26">
        <v>7000</v>
      </c>
      <c r="DS26">
        <v>-1511</v>
      </c>
      <c r="DT26">
        <v>450856</v>
      </c>
      <c r="DU26">
        <v>0</v>
      </c>
      <c r="DV26">
        <v>450856</v>
      </c>
      <c r="DW26">
        <v>1511</v>
      </c>
      <c r="DX26">
        <v>445467</v>
      </c>
      <c r="DY26">
        <v>5504</v>
      </c>
      <c r="DZ26">
        <v>100</v>
      </c>
      <c r="EB26">
        <v>0</v>
      </c>
      <c r="EC26">
        <v>0</v>
      </c>
      <c r="ED26">
        <v>445430</v>
      </c>
      <c r="EE26">
        <v>450856</v>
      </c>
      <c r="EF26">
        <v>443956</v>
      </c>
      <c r="EG26">
        <v>25</v>
      </c>
    </row>
    <row r="27" spans="1:137" x14ac:dyDescent="0.15">
      <c r="A27" t="s">
        <v>191</v>
      </c>
      <c r="B27">
        <v>1092</v>
      </c>
      <c r="C27">
        <v>1</v>
      </c>
      <c r="D27" t="s">
        <v>192</v>
      </c>
      <c r="E27" t="s">
        <v>193</v>
      </c>
      <c r="F27">
        <v>59.954000000000001</v>
      </c>
      <c r="G27" t="s">
        <v>194</v>
      </c>
      <c r="H27">
        <v>1</v>
      </c>
      <c r="I27">
        <v>6000</v>
      </c>
      <c r="J27">
        <v>-43</v>
      </c>
      <c r="K27">
        <v>0</v>
      </c>
      <c r="L27">
        <v>39856</v>
      </c>
      <c r="M27">
        <v>43</v>
      </c>
      <c r="N27">
        <v>33999</v>
      </c>
      <c r="O27">
        <v>5971</v>
      </c>
      <c r="Q27">
        <v>0</v>
      </c>
      <c r="R27">
        <v>0</v>
      </c>
      <c r="S27">
        <v>1945214817</v>
      </c>
      <c r="T27" t="s">
        <v>137</v>
      </c>
      <c r="U27" t="s">
        <v>138</v>
      </c>
      <c r="V27" t="s">
        <v>138</v>
      </c>
      <c r="W27" s="14">
        <v>44806</v>
      </c>
      <c r="X27" s="15">
        <v>44806.758020833331</v>
      </c>
      <c r="Y27" s="16">
        <v>0.59135416666666674</v>
      </c>
      <c r="Z27" t="s">
        <v>139</v>
      </c>
      <c r="AA27" t="s">
        <v>140</v>
      </c>
      <c r="AB27">
        <v>-1</v>
      </c>
      <c r="AC27">
        <v>-999999</v>
      </c>
      <c r="AD27">
        <v>33956</v>
      </c>
      <c r="AE27">
        <v>46</v>
      </c>
      <c r="AF27">
        <v>14951</v>
      </c>
      <c r="AG27">
        <v>0</v>
      </c>
      <c r="AH27">
        <v>5</v>
      </c>
      <c r="AI27">
        <v>19005</v>
      </c>
      <c r="AJ27">
        <v>33956</v>
      </c>
      <c r="AK27">
        <v>26</v>
      </c>
      <c r="AL27">
        <v>26</v>
      </c>
      <c r="AM27">
        <v>1</v>
      </c>
      <c r="AN27">
        <v>26</v>
      </c>
      <c r="AO27">
        <v>10</v>
      </c>
      <c r="AP27" t="s">
        <v>141</v>
      </c>
      <c r="AQ27">
        <v>4000</v>
      </c>
      <c r="AR27">
        <v>0</v>
      </c>
      <c r="AT27">
        <v>4000</v>
      </c>
      <c r="AU27">
        <v>-2</v>
      </c>
      <c r="AV27">
        <v>458856</v>
      </c>
      <c r="AW27">
        <v>0</v>
      </c>
      <c r="AX27">
        <v>458856</v>
      </c>
      <c r="AY27">
        <v>2</v>
      </c>
      <c r="AZ27">
        <v>454958</v>
      </c>
      <c r="BA27">
        <v>4003</v>
      </c>
      <c r="BB27">
        <v>100</v>
      </c>
      <c r="BD27">
        <v>0</v>
      </c>
      <c r="BE27">
        <v>0</v>
      </c>
      <c r="BF27">
        <v>454861</v>
      </c>
      <c r="BG27">
        <v>458856</v>
      </c>
      <c r="BH27">
        <v>454956</v>
      </c>
      <c r="BI27">
        <v>7000</v>
      </c>
      <c r="BJ27">
        <v>0</v>
      </c>
      <c r="BL27" t="s">
        <v>140</v>
      </c>
      <c r="BM27">
        <v>7000</v>
      </c>
      <c r="BN27">
        <v>-999999</v>
      </c>
      <c r="BO27">
        <v>460660</v>
      </c>
      <c r="BP27">
        <v>460659</v>
      </c>
      <c r="BQ27">
        <v>43</v>
      </c>
      <c r="BR27">
        <v>460462</v>
      </c>
      <c r="BS27">
        <v>0</v>
      </c>
      <c r="BT27">
        <v>100</v>
      </c>
      <c r="BU27">
        <v>1</v>
      </c>
      <c r="BV27">
        <v>197</v>
      </c>
      <c r="BW27">
        <v>460659</v>
      </c>
      <c r="BX27">
        <v>460425</v>
      </c>
      <c r="BY27">
        <v>467319</v>
      </c>
      <c r="BZ27">
        <v>460419</v>
      </c>
      <c r="CA27">
        <v>6000</v>
      </c>
      <c r="CB27">
        <v>0</v>
      </c>
      <c r="CD27">
        <v>6000</v>
      </c>
      <c r="CE27">
        <v>-10</v>
      </c>
      <c r="CF27">
        <v>471856</v>
      </c>
      <c r="CG27">
        <v>0</v>
      </c>
      <c r="CH27">
        <v>471856</v>
      </c>
      <c r="CI27">
        <v>10</v>
      </c>
      <c r="CJ27">
        <v>465966</v>
      </c>
      <c r="CK27">
        <v>0</v>
      </c>
      <c r="CL27">
        <v>100</v>
      </c>
      <c r="CN27">
        <v>0</v>
      </c>
      <c r="CO27">
        <v>0</v>
      </c>
      <c r="CP27">
        <v>465856</v>
      </c>
      <c r="CQ27">
        <v>471856</v>
      </c>
      <c r="CR27">
        <v>465956</v>
      </c>
      <c r="CS27">
        <v>15</v>
      </c>
      <c r="CT27">
        <v>4</v>
      </c>
      <c r="CU27">
        <v>0</v>
      </c>
      <c r="CV27">
        <v>9</v>
      </c>
      <c r="CW27">
        <v>10</v>
      </c>
      <c r="CX27">
        <v>1</v>
      </c>
      <c r="CY27">
        <v>2</v>
      </c>
      <c r="CZ27">
        <v>3</v>
      </c>
      <c r="DA27">
        <v>4</v>
      </c>
      <c r="DB27">
        <v>5</v>
      </c>
      <c r="DC27">
        <v>6</v>
      </c>
      <c r="DD27">
        <v>7</v>
      </c>
      <c r="DE27">
        <v>8</v>
      </c>
      <c r="DF27" t="s">
        <v>154</v>
      </c>
      <c r="DG27" t="s">
        <v>143</v>
      </c>
      <c r="DH27" t="s">
        <v>37</v>
      </c>
      <c r="DI27">
        <v>0</v>
      </c>
      <c r="DJ27">
        <v>0</v>
      </c>
      <c r="DK27">
        <v>458961</v>
      </c>
      <c r="DL27">
        <v>5</v>
      </c>
      <c r="DM27">
        <v>458961</v>
      </c>
      <c r="DN27">
        <v>50</v>
      </c>
      <c r="DO27">
        <v>7000</v>
      </c>
      <c r="DP27">
        <v>0</v>
      </c>
      <c r="DR27">
        <v>7000</v>
      </c>
      <c r="DS27">
        <v>-1756</v>
      </c>
      <c r="DT27">
        <v>465856</v>
      </c>
      <c r="DU27">
        <v>0</v>
      </c>
      <c r="DV27">
        <v>465856</v>
      </c>
      <c r="DW27">
        <v>1756</v>
      </c>
      <c r="DX27">
        <v>460712</v>
      </c>
      <c r="DY27">
        <v>5254</v>
      </c>
      <c r="DZ27">
        <v>100</v>
      </c>
      <c r="EB27">
        <v>0</v>
      </c>
      <c r="EC27">
        <v>0</v>
      </c>
      <c r="ED27">
        <v>460663</v>
      </c>
      <c r="EE27">
        <v>465856</v>
      </c>
      <c r="EF27">
        <v>458956</v>
      </c>
      <c r="EG27">
        <v>26</v>
      </c>
    </row>
    <row r="28" spans="1:137" x14ac:dyDescent="0.15">
      <c r="A28" t="s">
        <v>191</v>
      </c>
      <c r="B28">
        <v>1092</v>
      </c>
      <c r="C28">
        <v>1</v>
      </c>
      <c r="D28" t="s">
        <v>192</v>
      </c>
      <c r="E28" t="s">
        <v>193</v>
      </c>
      <c r="F28">
        <v>59.954000000000001</v>
      </c>
      <c r="G28" t="s">
        <v>194</v>
      </c>
      <c r="H28">
        <v>1</v>
      </c>
      <c r="I28">
        <v>6000</v>
      </c>
      <c r="J28">
        <v>-43</v>
      </c>
      <c r="K28">
        <v>0</v>
      </c>
      <c r="L28">
        <v>39856</v>
      </c>
      <c r="M28">
        <v>43</v>
      </c>
      <c r="N28">
        <v>33999</v>
      </c>
      <c r="O28">
        <v>5971</v>
      </c>
      <c r="Q28">
        <v>0</v>
      </c>
      <c r="R28">
        <v>0</v>
      </c>
      <c r="S28">
        <v>1945214817</v>
      </c>
      <c r="T28" t="s">
        <v>137</v>
      </c>
      <c r="U28" t="s">
        <v>138</v>
      </c>
      <c r="V28" t="s">
        <v>138</v>
      </c>
      <c r="W28" s="14">
        <v>44806</v>
      </c>
      <c r="X28" s="15">
        <v>44806.758020833331</v>
      </c>
      <c r="Y28" s="16">
        <v>0.59135416666666674</v>
      </c>
      <c r="Z28" t="s">
        <v>139</v>
      </c>
      <c r="AA28" t="s">
        <v>140</v>
      </c>
      <c r="AB28">
        <v>-1</v>
      </c>
      <c r="AC28">
        <v>-999999</v>
      </c>
      <c r="AD28">
        <v>33956</v>
      </c>
      <c r="AE28">
        <v>46</v>
      </c>
      <c r="AF28">
        <v>14951</v>
      </c>
      <c r="AG28">
        <v>0</v>
      </c>
      <c r="AH28">
        <v>5</v>
      </c>
      <c r="AI28">
        <v>19005</v>
      </c>
      <c r="AJ28">
        <v>33956</v>
      </c>
      <c r="AK28">
        <v>27</v>
      </c>
      <c r="AL28">
        <v>27</v>
      </c>
      <c r="AM28">
        <v>1</v>
      </c>
      <c r="AN28">
        <v>27</v>
      </c>
      <c r="AO28">
        <v>0</v>
      </c>
      <c r="AP28" t="s">
        <v>141</v>
      </c>
      <c r="AQ28">
        <v>4000</v>
      </c>
      <c r="AR28">
        <v>0</v>
      </c>
      <c r="AT28">
        <v>4000</v>
      </c>
      <c r="AU28">
        <v>-15</v>
      </c>
      <c r="AV28">
        <v>475856</v>
      </c>
      <c r="AW28">
        <v>0</v>
      </c>
      <c r="AX28">
        <v>475856</v>
      </c>
      <c r="AY28">
        <v>15</v>
      </c>
      <c r="AZ28">
        <v>471971</v>
      </c>
      <c r="BA28">
        <v>3986</v>
      </c>
      <c r="BB28">
        <v>100</v>
      </c>
      <c r="BD28">
        <v>0</v>
      </c>
      <c r="BE28">
        <v>0</v>
      </c>
      <c r="BF28">
        <v>471861</v>
      </c>
      <c r="BG28">
        <v>475856</v>
      </c>
      <c r="BH28">
        <v>471956</v>
      </c>
      <c r="BI28">
        <v>7000</v>
      </c>
      <c r="BJ28">
        <v>0</v>
      </c>
      <c r="BL28" t="s">
        <v>140</v>
      </c>
      <c r="BM28">
        <v>7000</v>
      </c>
      <c r="BN28">
        <v>-999999</v>
      </c>
      <c r="BO28">
        <v>477891</v>
      </c>
      <c r="BP28">
        <v>477890</v>
      </c>
      <c r="BQ28">
        <v>57</v>
      </c>
      <c r="BR28">
        <v>477659</v>
      </c>
      <c r="BS28">
        <v>0</v>
      </c>
      <c r="BT28">
        <v>100</v>
      </c>
      <c r="BU28">
        <v>1</v>
      </c>
      <c r="BV28">
        <v>231</v>
      </c>
      <c r="BW28">
        <v>477890</v>
      </c>
      <c r="BX28">
        <v>477607</v>
      </c>
      <c r="BY28">
        <v>484502</v>
      </c>
      <c r="BZ28">
        <v>477602</v>
      </c>
      <c r="CA28">
        <v>4000</v>
      </c>
      <c r="CB28">
        <v>0</v>
      </c>
      <c r="CD28">
        <v>4000</v>
      </c>
      <c r="CE28">
        <v>-7</v>
      </c>
      <c r="CF28">
        <v>486856</v>
      </c>
      <c r="CG28">
        <v>0</v>
      </c>
      <c r="CH28">
        <v>486856</v>
      </c>
      <c r="CI28">
        <v>7</v>
      </c>
      <c r="CJ28">
        <v>482963</v>
      </c>
      <c r="CK28">
        <v>0</v>
      </c>
      <c r="CL28">
        <v>100</v>
      </c>
      <c r="CN28">
        <v>0</v>
      </c>
      <c r="CO28">
        <v>0</v>
      </c>
      <c r="CP28">
        <v>482856</v>
      </c>
      <c r="CQ28">
        <v>486856</v>
      </c>
      <c r="CR28">
        <v>482956</v>
      </c>
      <c r="CS28">
        <v>15</v>
      </c>
      <c r="CT28">
        <v>4</v>
      </c>
      <c r="CU28">
        <v>0</v>
      </c>
      <c r="CV28">
        <v>9</v>
      </c>
      <c r="CW28">
        <v>10</v>
      </c>
      <c r="CX28">
        <v>1</v>
      </c>
      <c r="CY28">
        <v>2</v>
      </c>
      <c r="CZ28">
        <v>3</v>
      </c>
      <c r="DA28">
        <v>4</v>
      </c>
      <c r="DB28">
        <v>5</v>
      </c>
      <c r="DC28">
        <v>6</v>
      </c>
      <c r="DD28">
        <v>7</v>
      </c>
      <c r="DE28">
        <v>8</v>
      </c>
      <c r="DF28" t="s">
        <v>153</v>
      </c>
      <c r="DG28" t="s">
        <v>143</v>
      </c>
      <c r="DH28" t="s">
        <v>37</v>
      </c>
      <c r="DI28">
        <v>0</v>
      </c>
      <c r="DJ28">
        <v>0</v>
      </c>
      <c r="DK28">
        <v>475957</v>
      </c>
      <c r="DL28">
        <v>1</v>
      </c>
      <c r="DM28">
        <v>475957</v>
      </c>
      <c r="DN28">
        <v>50</v>
      </c>
      <c r="DO28">
        <v>7000</v>
      </c>
      <c r="DP28">
        <v>0</v>
      </c>
      <c r="DR28">
        <v>7000</v>
      </c>
      <c r="DS28">
        <v>-1986</v>
      </c>
      <c r="DT28">
        <v>482856</v>
      </c>
      <c r="DU28">
        <v>0</v>
      </c>
      <c r="DV28">
        <v>482856</v>
      </c>
      <c r="DW28">
        <v>1986</v>
      </c>
      <c r="DX28">
        <v>477942</v>
      </c>
      <c r="DY28">
        <v>5021</v>
      </c>
      <c r="DZ28">
        <v>100</v>
      </c>
      <c r="EB28">
        <v>0</v>
      </c>
      <c r="EC28">
        <v>0</v>
      </c>
      <c r="ED28">
        <v>477894</v>
      </c>
      <c r="EE28">
        <v>482856</v>
      </c>
      <c r="EF28">
        <v>475956</v>
      </c>
      <c r="EG28">
        <v>27</v>
      </c>
    </row>
    <row r="29" spans="1:137" x14ac:dyDescent="0.15">
      <c r="A29" t="s">
        <v>191</v>
      </c>
      <c r="B29">
        <v>1092</v>
      </c>
      <c r="C29">
        <v>1</v>
      </c>
      <c r="D29" t="s">
        <v>192</v>
      </c>
      <c r="E29" t="s">
        <v>193</v>
      </c>
      <c r="F29">
        <v>59.954000000000001</v>
      </c>
      <c r="G29" t="s">
        <v>194</v>
      </c>
      <c r="H29">
        <v>1</v>
      </c>
      <c r="I29">
        <v>6000</v>
      </c>
      <c r="J29">
        <v>-43</v>
      </c>
      <c r="K29">
        <v>0</v>
      </c>
      <c r="L29">
        <v>39856</v>
      </c>
      <c r="M29">
        <v>43</v>
      </c>
      <c r="N29">
        <v>33999</v>
      </c>
      <c r="O29">
        <v>5971</v>
      </c>
      <c r="Q29">
        <v>0</v>
      </c>
      <c r="R29">
        <v>0</v>
      </c>
      <c r="S29">
        <v>1945214817</v>
      </c>
      <c r="T29" t="s">
        <v>137</v>
      </c>
      <c r="U29" t="s">
        <v>138</v>
      </c>
      <c r="V29" t="s">
        <v>138</v>
      </c>
      <c r="W29" s="14">
        <v>44806</v>
      </c>
      <c r="X29" s="15">
        <v>44806.758020833331</v>
      </c>
      <c r="Y29" s="16">
        <v>0.59135416666666674</v>
      </c>
      <c r="Z29" t="s">
        <v>139</v>
      </c>
      <c r="AA29" t="s">
        <v>140</v>
      </c>
      <c r="AB29">
        <v>-1</v>
      </c>
      <c r="AC29">
        <v>-999999</v>
      </c>
      <c r="AD29">
        <v>33956</v>
      </c>
      <c r="AE29">
        <v>46</v>
      </c>
      <c r="AF29">
        <v>14951</v>
      </c>
      <c r="AG29">
        <v>0</v>
      </c>
      <c r="AH29">
        <v>5</v>
      </c>
      <c r="AI29">
        <v>19005</v>
      </c>
      <c r="AJ29">
        <v>33956</v>
      </c>
      <c r="AK29">
        <v>28</v>
      </c>
      <c r="AL29">
        <v>28</v>
      </c>
      <c r="AM29">
        <v>1</v>
      </c>
      <c r="AN29">
        <v>28</v>
      </c>
      <c r="AO29">
        <v>10</v>
      </c>
      <c r="AP29" t="s">
        <v>141</v>
      </c>
      <c r="AQ29">
        <v>4000</v>
      </c>
      <c r="AR29">
        <v>0</v>
      </c>
      <c r="AT29">
        <v>4000</v>
      </c>
      <c r="AU29">
        <v>-10</v>
      </c>
      <c r="AV29">
        <v>490856</v>
      </c>
      <c r="AW29">
        <v>0</v>
      </c>
      <c r="AX29">
        <v>490856</v>
      </c>
      <c r="AY29">
        <v>10</v>
      </c>
      <c r="AZ29">
        <v>486966</v>
      </c>
      <c r="BA29">
        <v>4003</v>
      </c>
      <c r="BB29">
        <v>100</v>
      </c>
      <c r="BD29">
        <v>0</v>
      </c>
      <c r="BE29">
        <v>0</v>
      </c>
      <c r="BF29">
        <v>486861</v>
      </c>
      <c r="BG29">
        <v>490856</v>
      </c>
      <c r="BH29">
        <v>486956</v>
      </c>
      <c r="BI29">
        <v>7000</v>
      </c>
      <c r="BJ29">
        <v>0</v>
      </c>
      <c r="BL29" t="s">
        <v>140</v>
      </c>
      <c r="BM29">
        <v>7000</v>
      </c>
      <c r="BN29">
        <v>-999999</v>
      </c>
      <c r="BO29">
        <v>492794</v>
      </c>
      <c r="BP29">
        <v>492794</v>
      </c>
      <c r="BQ29">
        <v>48</v>
      </c>
      <c r="BR29">
        <v>492570</v>
      </c>
      <c r="BS29">
        <v>0</v>
      </c>
      <c r="BT29">
        <v>100</v>
      </c>
      <c r="BU29">
        <v>1</v>
      </c>
      <c r="BV29">
        <v>223</v>
      </c>
      <c r="BW29">
        <v>492793</v>
      </c>
      <c r="BX29">
        <v>492526</v>
      </c>
      <c r="BY29">
        <v>499422</v>
      </c>
      <c r="BZ29">
        <v>492522</v>
      </c>
      <c r="CA29">
        <v>12000</v>
      </c>
      <c r="CB29">
        <v>0</v>
      </c>
      <c r="CD29">
        <v>12000</v>
      </c>
      <c r="CE29">
        <v>-2</v>
      </c>
      <c r="CF29">
        <v>509856</v>
      </c>
      <c r="CG29">
        <v>0</v>
      </c>
      <c r="CH29">
        <v>509856</v>
      </c>
      <c r="CI29">
        <v>2</v>
      </c>
      <c r="CJ29">
        <v>497958</v>
      </c>
      <c r="CK29">
        <v>0</v>
      </c>
      <c r="CL29">
        <v>100</v>
      </c>
      <c r="CN29">
        <v>0</v>
      </c>
      <c r="CO29">
        <v>0</v>
      </c>
      <c r="CP29">
        <v>497856</v>
      </c>
      <c r="CQ29">
        <v>509856</v>
      </c>
      <c r="CR29">
        <v>497956</v>
      </c>
      <c r="CS29">
        <v>15</v>
      </c>
      <c r="CT29">
        <v>4</v>
      </c>
      <c r="CU29">
        <v>0</v>
      </c>
      <c r="CV29">
        <v>9</v>
      </c>
      <c r="CW29">
        <v>10</v>
      </c>
      <c r="CX29">
        <v>1</v>
      </c>
      <c r="CY29">
        <v>2</v>
      </c>
      <c r="CZ29">
        <v>3</v>
      </c>
      <c r="DA29">
        <v>4</v>
      </c>
      <c r="DB29">
        <v>5</v>
      </c>
      <c r="DC29">
        <v>6</v>
      </c>
      <c r="DD29">
        <v>7</v>
      </c>
      <c r="DE29">
        <v>8</v>
      </c>
      <c r="DF29" t="s">
        <v>150</v>
      </c>
      <c r="DG29" t="s">
        <v>143</v>
      </c>
      <c r="DH29" t="s">
        <v>37</v>
      </c>
      <c r="DI29">
        <v>0</v>
      </c>
      <c r="DJ29">
        <v>0</v>
      </c>
      <c r="DK29">
        <v>490969</v>
      </c>
      <c r="DL29">
        <v>13</v>
      </c>
      <c r="DM29">
        <v>490969</v>
      </c>
      <c r="DN29">
        <v>50</v>
      </c>
      <c r="DO29">
        <v>7000</v>
      </c>
      <c r="DP29">
        <v>0</v>
      </c>
      <c r="DR29">
        <v>7000</v>
      </c>
      <c r="DS29">
        <v>-1881</v>
      </c>
      <c r="DT29">
        <v>497856</v>
      </c>
      <c r="DU29">
        <v>0</v>
      </c>
      <c r="DV29">
        <v>497856</v>
      </c>
      <c r="DW29">
        <v>1881</v>
      </c>
      <c r="DX29">
        <v>492837</v>
      </c>
      <c r="DY29">
        <v>5121</v>
      </c>
      <c r="DZ29">
        <v>100</v>
      </c>
      <c r="EB29">
        <v>0</v>
      </c>
      <c r="EC29">
        <v>0</v>
      </c>
      <c r="ED29">
        <v>492796</v>
      </c>
      <c r="EE29">
        <v>497856</v>
      </c>
      <c r="EF29">
        <v>490956</v>
      </c>
      <c r="EG29">
        <v>28</v>
      </c>
    </row>
    <row r="30" spans="1:137" x14ac:dyDescent="0.15">
      <c r="A30" t="s">
        <v>191</v>
      </c>
      <c r="B30">
        <v>1092</v>
      </c>
      <c r="C30">
        <v>1</v>
      </c>
      <c r="D30" t="s">
        <v>192</v>
      </c>
      <c r="E30" t="s">
        <v>193</v>
      </c>
      <c r="F30">
        <v>59.954000000000001</v>
      </c>
      <c r="G30" t="s">
        <v>194</v>
      </c>
      <c r="H30">
        <v>1</v>
      </c>
      <c r="I30">
        <v>6000</v>
      </c>
      <c r="J30">
        <v>-43</v>
      </c>
      <c r="K30">
        <v>0</v>
      </c>
      <c r="L30">
        <v>39856</v>
      </c>
      <c r="M30">
        <v>43</v>
      </c>
      <c r="N30">
        <v>33999</v>
      </c>
      <c r="O30">
        <v>5971</v>
      </c>
      <c r="Q30">
        <v>0</v>
      </c>
      <c r="R30">
        <v>0</v>
      </c>
      <c r="S30">
        <v>1945214817</v>
      </c>
      <c r="T30" t="s">
        <v>137</v>
      </c>
      <c r="U30" t="s">
        <v>138</v>
      </c>
      <c r="V30" t="s">
        <v>138</v>
      </c>
      <c r="W30" s="14">
        <v>44806</v>
      </c>
      <c r="X30" s="15">
        <v>44806.758020833331</v>
      </c>
      <c r="Y30" s="16">
        <v>0.59135416666666674</v>
      </c>
      <c r="Z30" t="s">
        <v>139</v>
      </c>
      <c r="AA30" t="s">
        <v>140</v>
      </c>
      <c r="AB30">
        <v>-1</v>
      </c>
      <c r="AC30">
        <v>-999999</v>
      </c>
      <c r="AD30">
        <v>33956</v>
      </c>
      <c r="AE30">
        <v>46</v>
      </c>
      <c r="AF30">
        <v>14951</v>
      </c>
      <c r="AG30">
        <v>0</v>
      </c>
      <c r="AH30">
        <v>5</v>
      </c>
      <c r="AI30">
        <v>19005</v>
      </c>
      <c r="AJ30">
        <v>33956</v>
      </c>
      <c r="AK30">
        <v>29</v>
      </c>
      <c r="AL30">
        <v>29</v>
      </c>
      <c r="AM30">
        <v>1</v>
      </c>
      <c r="AN30">
        <v>29</v>
      </c>
      <c r="AO30">
        <v>0</v>
      </c>
      <c r="AP30" t="s">
        <v>141</v>
      </c>
      <c r="AQ30">
        <v>4000</v>
      </c>
      <c r="AR30">
        <v>0</v>
      </c>
      <c r="AT30">
        <v>4000</v>
      </c>
      <c r="AU30">
        <v>-11</v>
      </c>
      <c r="AV30">
        <v>513856</v>
      </c>
      <c r="AW30">
        <v>0</v>
      </c>
      <c r="AX30">
        <v>513856</v>
      </c>
      <c r="AY30">
        <v>11</v>
      </c>
      <c r="AZ30">
        <v>509967</v>
      </c>
      <c r="BA30">
        <v>4003</v>
      </c>
      <c r="BB30">
        <v>100</v>
      </c>
      <c r="BD30">
        <v>0</v>
      </c>
      <c r="BE30">
        <v>0</v>
      </c>
      <c r="BF30">
        <v>509865</v>
      </c>
      <c r="BG30">
        <v>513856</v>
      </c>
      <c r="BH30">
        <v>509956</v>
      </c>
      <c r="BI30">
        <v>7000</v>
      </c>
      <c r="BJ30">
        <v>0</v>
      </c>
      <c r="BL30" t="s">
        <v>140</v>
      </c>
      <c r="BM30">
        <v>7000</v>
      </c>
      <c r="BN30">
        <v>-999999</v>
      </c>
      <c r="BO30">
        <v>515880</v>
      </c>
      <c r="BP30">
        <v>515880</v>
      </c>
      <c r="BQ30">
        <v>71</v>
      </c>
      <c r="BR30">
        <v>515671</v>
      </c>
      <c r="BS30">
        <v>0</v>
      </c>
      <c r="BT30">
        <v>100</v>
      </c>
      <c r="BU30">
        <v>1</v>
      </c>
      <c r="BV30">
        <v>209</v>
      </c>
      <c r="BW30">
        <v>515880</v>
      </c>
      <c r="BX30">
        <v>515606</v>
      </c>
      <c r="BY30">
        <v>522500</v>
      </c>
      <c r="BZ30">
        <v>515600</v>
      </c>
      <c r="CA30">
        <v>2000</v>
      </c>
      <c r="CB30">
        <v>0</v>
      </c>
      <c r="CD30">
        <v>2000</v>
      </c>
      <c r="CE30">
        <v>-3</v>
      </c>
      <c r="CF30">
        <v>522856</v>
      </c>
      <c r="CG30">
        <v>0</v>
      </c>
      <c r="CH30">
        <v>522856</v>
      </c>
      <c r="CI30">
        <v>3</v>
      </c>
      <c r="CJ30">
        <v>520959</v>
      </c>
      <c r="CK30">
        <v>0</v>
      </c>
      <c r="CL30">
        <v>100</v>
      </c>
      <c r="CN30">
        <v>0</v>
      </c>
      <c r="CO30">
        <v>0</v>
      </c>
      <c r="CP30">
        <v>520857</v>
      </c>
      <c r="CQ30">
        <v>522856</v>
      </c>
      <c r="CR30">
        <v>520956</v>
      </c>
      <c r="CS30">
        <v>15</v>
      </c>
      <c r="CT30">
        <v>4</v>
      </c>
      <c r="CU30">
        <v>0</v>
      </c>
      <c r="CV30">
        <v>9</v>
      </c>
      <c r="CW30">
        <v>10</v>
      </c>
      <c r="CX30">
        <v>1</v>
      </c>
      <c r="CY30">
        <v>2</v>
      </c>
      <c r="CZ30">
        <v>3</v>
      </c>
      <c r="DA30">
        <v>4</v>
      </c>
      <c r="DB30">
        <v>5</v>
      </c>
      <c r="DC30">
        <v>6</v>
      </c>
      <c r="DD30">
        <v>7</v>
      </c>
      <c r="DE30">
        <v>8</v>
      </c>
      <c r="DF30" t="s">
        <v>188</v>
      </c>
      <c r="DG30" t="s">
        <v>143</v>
      </c>
      <c r="DH30" t="s">
        <v>37</v>
      </c>
      <c r="DI30">
        <v>0</v>
      </c>
      <c r="DJ30">
        <v>0</v>
      </c>
      <c r="DK30">
        <v>513970</v>
      </c>
      <c r="DL30">
        <v>14</v>
      </c>
      <c r="DM30">
        <v>513970</v>
      </c>
      <c r="DN30">
        <v>50</v>
      </c>
      <c r="DO30">
        <v>7000</v>
      </c>
      <c r="DP30">
        <v>0</v>
      </c>
      <c r="DR30">
        <v>7000</v>
      </c>
      <c r="DS30">
        <v>-1982</v>
      </c>
      <c r="DT30">
        <v>520856</v>
      </c>
      <c r="DU30">
        <v>0</v>
      </c>
      <c r="DV30">
        <v>520856</v>
      </c>
      <c r="DW30">
        <v>1982</v>
      </c>
      <c r="DX30">
        <v>515938</v>
      </c>
      <c r="DY30">
        <v>5021</v>
      </c>
      <c r="DZ30">
        <v>100</v>
      </c>
      <c r="EB30">
        <v>0</v>
      </c>
      <c r="EC30">
        <v>0</v>
      </c>
      <c r="ED30">
        <v>515885</v>
      </c>
      <c r="EE30">
        <v>520856</v>
      </c>
      <c r="EF30">
        <v>513956</v>
      </c>
      <c r="EG30">
        <v>29</v>
      </c>
    </row>
    <row r="31" spans="1:137" x14ac:dyDescent="0.15">
      <c r="A31" t="s">
        <v>191</v>
      </c>
      <c r="B31">
        <v>1092</v>
      </c>
      <c r="C31">
        <v>1</v>
      </c>
      <c r="D31" t="s">
        <v>192</v>
      </c>
      <c r="E31" t="s">
        <v>193</v>
      </c>
      <c r="F31">
        <v>59.954000000000001</v>
      </c>
      <c r="G31" t="s">
        <v>194</v>
      </c>
      <c r="H31">
        <v>1</v>
      </c>
      <c r="I31">
        <v>6000</v>
      </c>
      <c r="J31">
        <v>-43</v>
      </c>
      <c r="K31">
        <v>0</v>
      </c>
      <c r="L31">
        <v>39856</v>
      </c>
      <c r="M31">
        <v>43</v>
      </c>
      <c r="N31">
        <v>33999</v>
      </c>
      <c r="O31">
        <v>5971</v>
      </c>
      <c r="Q31">
        <v>0</v>
      </c>
      <c r="R31">
        <v>0</v>
      </c>
      <c r="S31">
        <v>1945214817</v>
      </c>
      <c r="T31" t="s">
        <v>137</v>
      </c>
      <c r="U31" t="s">
        <v>138</v>
      </c>
      <c r="V31" t="s">
        <v>138</v>
      </c>
      <c r="W31" s="14">
        <v>44806</v>
      </c>
      <c r="X31" s="15">
        <v>44806.758020833331</v>
      </c>
      <c r="Y31" s="16">
        <v>0.59135416666666674</v>
      </c>
      <c r="Z31" t="s">
        <v>139</v>
      </c>
      <c r="AA31" t="s">
        <v>140</v>
      </c>
      <c r="AB31">
        <v>-1</v>
      </c>
      <c r="AC31">
        <v>-999999</v>
      </c>
      <c r="AD31">
        <v>33956</v>
      </c>
      <c r="AE31">
        <v>46</v>
      </c>
      <c r="AF31">
        <v>14951</v>
      </c>
      <c r="AG31">
        <v>0</v>
      </c>
      <c r="AH31">
        <v>5</v>
      </c>
      <c r="AI31">
        <v>19005</v>
      </c>
      <c r="AJ31">
        <v>33956</v>
      </c>
      <c r="AK31">
        <v>30</v>
      </c>
      <c r="AL31">
        <v>30</v>
      </c>
      <c r="AM31">
        <v>1</v>
      </c>
      <c r="AN31">
        <v>30</v>
      </c>
      <c r="AO31">
        <v>5</v>
      </c>
      <c r="AP31" t="s">
        <v>141</v>
      </c>
      <c r="AQ31">
        <v>4000</v>
      </c>
      <c r="AR31">
        <v>0</v>
      </c>
      <c r="AT31">
        <v>4000</v>
      </c>
      <c r="AU31">
        <v>-4</v>
      </c>
      <c r="AV31">
        <v>526856</v>
      </c>
      <c r="AW31">
        <v>0</v>
      </c>
      <c r="AX31">
        <v>526856</v>
      </c>
      <c r="AY31">
        <v>4</v>
      </c>
      <c r="AZ31">
        <v>522960</v>
      </c>
      <c r="BA31">
        <v>4003</v>
      </c>
      <c r="BB31">
        <v>100</v>
      </c>
      <c r="BD31">
        <v>0</v>
      </c>
      <c r="BE31">
        <v>0</v>
      </c>
      <c r="BF31">
        <v>522864</v>
      </c>
      <c r="BG31">
        <v>526856</v>
      </c>
      <c r="BH31">
        <v>522956</v>
      </c>
      <c r="BI31">
        <v>7000</v>
      </c>
      <c r="BJ31">
        <v>0</v>
      </c>
      <c r="BL31" t="s">
        <v>140</v>
      </c>
      <c r="BM31">
        <v>7000</v>
      </c>
      <c r="BN31">
        <v>-999999</v>
      </c>
      <c r="BO31">
        <v>528864</v>
      </c>
      <c r="BP31">
        <v>528863</v>
      </c>
      <c r="BQ31">
        <v>49</v>
      </c>
      <c r="BR31">
        <v>527497</v>
      </c>
      <c r="BS31">
        <v>0</v>
      </c>
      <c r="BT31">
        <v>100</v>
      </c>
      <c r="BU31">
        <v>1</v>
      </c>
      <c r="BV31">
        <v>1366</v>
      </c>
      <c r="BW31">
        <v>528863</v>
      </c>
      <c r="BX31">
        <v>527451</v>
      </c>
      <c r="BY31">
        <v>534348</v>
      </c>
      <c r="BZ31">
        <v>527448</v>
      </c>
      <c r="CA31">
        <v>4000</v>
      </c>
      <c r="CB31">
        <v>0</v>
      </c>
      <c r="CD31">
        <v>4000</v>
      </c>
      <c r="CE31">
        <v>-13</v>
      </c>
      <c r="CF31">
        <v>537856</v>
      </c>
      <c r="CG31">
        <v>0</v>
      </c>
      <c r="CH31">
        <v>537856</v>
      </c>
      <c r="CI31">
        <v>13</v>
      </c>
      <c r="CJ31">
        <v>533969</v>
      </c>
      <c r="CK31">
        <v>0</v>
      </c>
      <c r="CL31">
        <v>100</v>
      </c>
      <c r="CN31">
        <v>0</v>
      </c>
      <c r="CO31">
        <v>0</v>
      </c>
      <c r="CP31">
        <v>533856</v>
      </c>
      <c r="CQ31">
        <v>537856</v>
      </c>
      <c r="CR31">
        <v>533956</v>
      </c>
      <c r="CS31">
        <v>15</v>
      </c>
      <c r="CT31">
        <v>4</v>
      </c>
      <c r="CU31">
        <v>0</v>
      </c>
      <c r="CV31">
        <v>9</v>
      </c>
      <c r="CW31">
        <v>10</v>
      </c>
      <c r="CX31">
        <v>1</v>
      </c>
      <c r="CY31">
        <v>2</v>
      </c>
      <c r="CZ31">
        <v>3</v>
      </c>
      <c r="DA31">
        <v>4</v>
      </c>
      <c r="DB31">
        <v>5</v>
      </c>
      <c r="DC31">
        <v>6</v>
      </c>
      <c r="DD31">
        <v>7</v>
      </c>
      <c r="DE31">
        <v>8</v>
      </c>
      <c r="DF31" t="s">
        <v>148</v>
      </c>
      <c r="DG31" t="s">
        <v>143</v>
      </c>
      <c r="DH31" t="s">
        <v>37</v>
      </c>
      <c r="DI31">
        <v>0</v>
      </c>
      <c r="DJ31">
        <v>0</v>
      </c>
      <c r="DK31">
        <v>526963</v>
      </c>
      <c r="DL31">
        <v>7</v>
      </c>
      <c r="DM31">
        <v>526963</v>
      </c>
      <c r="DN31">
        <v>51</v>
      </c>
      <c r="DO31">
        <v>7000</v>
      </c>
      <c r="DP31">
        <v>0</v>
      </c>
      <c r="DR31">
        <v>7000</v>
      </c>
      <c r="DS31">
        <v>-1942</v>
      </c>
      <c r="DT31">
        <v>533856</v>
      </c>
      <c r="DU31">
        <v>0</v>
      </c>
      <c r="DV31">
        <v>533856</v>
      </c>
      <c r="DW31">
        <v>1942</v>
      </c>
      <c r="DX31">
        <v>528898</v>
      </c>
      <c r="DY31">
        <v>5071</v>
      </c>
      <c r="DZ31">
        <v>100</v>
      </c>
      <c r="EB31">
        <v>0</v>
      </c>
      <c r="EC31">
        <v>0</v>
      </c>
      <c r="ED31">
        <v>528866</v>
      </c>
      <c r="EE31">
        <v>533856</v>
      </c>
      <c r="EF31">
        <v>526956</v>
      </c>
      <c r="EG3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32"/>
  <sheetViews>
    <sheetView workbookViewId="0">
      <selection activeCell="C8" sqref="C8"/>
    </sheetView>
  </sheetViews>
  <sheetFormatPr baseColWidth="10" defaultColWidth="12.6640625" defaultRowHeight="15.75" customHeight="1" x14ac:dyDescent="0.15"/>
  <cols>
    <col min="1" max="1" width="16.1640625" style="21" customWidth="1"/>
    <col min="2" max="5" width="12.6640625" style="21"/>
    <col min="7" max="7" width="15.5" customWidth="1"/>
    <col min="8" max="8" width="20.1640625" customWidth="1"/>
  </cols>
  <sheetData>
    <row r="1" spans="1:9" ht="16" thickBot="1" x14ac:dyDescent="0.25">
      <c r="A1" s="18"/>
      <c r="B1" s="18" t="s">
        <v>155</v>
      </c>
      <c r="C1" s="18"/>
      <c r="D1" s="18"/>
      <c r="E1" s="18"/>
    </row>
    <row r="2" spans="1:9" ht="15" x14ac:dyDescent="0.2">
      <c r="A2" s="19" t="s">
        <v>109</v>
      </c>
      <c r="B2" s="19" t="s">
        <v>37</v>
      </c>
      <c r="C2" s="19" t="s">
        <v>40</v>
      </c>
      <c r="D2" s="19" t="s">
        <v>156</v>
      </c>
      <c r="E2" s="19" t="s">
        <v>157</v>
      </c>
      <c r="G2" s="8" t="s">
        <v>158</v>
      </c>
      <c r="H2" s="9" t="s">
        <v>159</v>
      </c>
      <c r="I2" s="10" t="s">
        <v>160</v>
      </c>
    </row>
    <row r="3" spans="1:9" ht="16" thickBot="1" x14ac:dyDescent="0.25">
      <c r="A3" s="22">
        <v>0.01</v>
      </c>
      <c r="B3" s="20">
        <v>1</v>
      </c>
      <c r="C3" s="20">
        <f>'R1_Specifics'!D3</f>
        <v>10</v>
      </c>
      <c r="D3" s="20">
        <f>'R1_Sequential'!F$6</f>
        <v>10</v>
      </c>
      <c r="E3" s="23" t="str">
        <f>IF(C3&lt;&gt;"xxx",IF(C3=D3,"Approach",IF(C3&lt;&gt;0,"Ambivalent","Avoid")),"Missing")</f>
        <v>Approach</v>
      </c>
      <c r="G3" s="11">
        <f>COUNTIF(E3:E32,"Ambivalent")</f>
        <v>15</v>
      </c>
      <c r="H3" s="12">
        <f>COUNTIF(E3:E32,"Approach")</f>
        <v>11</v>
      </c>
      <c r="I3" s="13">
        <f>COUNTIF(E3:E32,"Avoid")</f>
        <v>4</v>
      </c>
    </row>
    <row r="4" spans="1:9" ht="15" x14ac:dyDescent="0.2">
      <c r="A4" s="24">
        <v>5</v>
      </c>
      <c r="B4" s="20">
        <v>2</v>
      </c>
      <c r="C4" s="20">
        <f>'R1_Specifics'!D4</f>
        <v>10</v>
      </c>
      <c r="D4" s="20">
        <f>'R1_Sequential'!F$6</f>
        <v>10</v>
      </c>
      <c r="E4" s="23" t="str">
        <f t="shared" ref="E3:E32" si="0">IF(C4&lt;&gt;"xxx",IF(C4=D4,"Approach",IF(C4&lt;&gt;0,"Ambivalent","Avoid")),"Missing")</f>
        <v>Approach</v>
      </c>
    </row>
    <row r="5" spans="1:9" ht="15" x14ac:dyDescent="0.2">
      <c r="A5" s="25">
        <v>50</v>
      </c>
      <c r="B5" s="20">
        <v>3</v>
      </c>
      <c r="C5" s="20">
        <f>'R1_Specifics'!D5</f>
        <v>1</v>
      </c>
      <c r="D5" s="20">
        <f>'R1_Sequential'!F$6</f>
        <v>10</v>
      </c>
      <c r="E5" s="23" t="str">
        <f t="shared" si="0"/>
        <v>Ambivalent</v>
      </c>
    </row>
    <row r="6" spans="1:9" ht="15" x14ac:dyDescent="0.2">
      <c r="A6" s="22">
        <v>0</v>
      </c>
      <c r="B6" s="20">
        <v>4</v>
      </c>
      <c r="C6" s="20">
        <f>'R1_Specifics'!D6</f>
        <v>10</v>
      </c>
      <c r="D6" s="20">
        <f>'R1_Sequential'!F$6</f>
        <v>10</v>
      </c>
      <c r="E6" s="23" t="str">
        <f t="shared" si="0"/>
        <v>Approach</v>
      </c>
    </row>
    <row r="7" spans="1:9" ht="15" x14ac:dyDescent="0.2">
      <c r="A7" s="24">
        <v>15</v>
      </c>
      <c r="B7" s="20">
        <v>5</v>
      </c>
      <c r="C7" s="20">
        <f>'R1_Specifics'!D7</f>
        <v>5</v>
      </c>
      <c r="D7" s="20">
        <f>'R1_Sequential'!F$6</f>
        <v>10</v>
      </c>
      <c r="E7" s="23" t="str">
        <f t="shared" si="0"/>
        <v>Ambivalent</v>
      </c>
    </row>
    <row r="8" spans="1:9" ht="15" x14ac:dyDescent="0.2">
      <c r="A8" s="22">
        <v>0.05</v>
      </c>
      <c r="B8" s="20">
        <v>6</v>
      </c>
      <c r="C8" s="20">
        <f>'R1_Specifics'!D8</f>
        <v>10</v>
      </c>
      <c r="D8" s="20">
        <f>'R1_Sequential'!F$6</f>
        <v>10</v>
      </c>
      <c r="E8" s="23" t="str">
        <f t="shared" si="0"/>
        <v>Approach</v>
      </c>
    </row>
    <row r="9" spans="1:9" ht="15" x14ac:dyDescent="0.2">
      <c r="A9" s="25">
        <v>40</v>
      </c>
      <c r="B9" s="20">
        <v>7</v>
      </c>
      <c r="C9" s="20">
        <f>'R1_Specifics'!D9</f>
        <v>2</v>
      </c>
      <c r="D9" s="20">
        <f>'R1_Sequential'!F$6</f>
        <v>10</v>
      </c>
      <c r="E9" s="23" t="str">
        <f t="shared" si="0"/>
        <v>Ambivalent</v>
      </c>
    </row>
    <row r="10" spans="1:9" ht="15" x14ac:dyDescent="0.2">
      <c r="A10" s="24">
        <v>13</v>
      </c>
      <c r="B10" s="20">
        <v>8</v>
      </c>
      <c r="C10" s="20">
        <f>'R1_Specifics'!D10</f>
        <v>6</v>
      </c>
      <c r="D10" s="20">
        <f>'R1_Sequential'!F$6</f>
        <v>10</v>
      </c>
      <c r="E10" s="23" t="str">
        <f t="shared" si="0"/>
        <v>Ambivalent</v>
      </c>
    </row>
    <row r="11" spans="1:9" ht="15" x14ac:dyDescent="0.2">
      <c r="A11" s="25">
        <v>80</v>
      </c>
      <c r="B11" s="20">
        <v>9</v>
      </c>
      <c r="C11" s="20">
        <f>'R1_Specifics'!D11</f>
        <v>0</v>
      </c>
      <c r="D11" s="20">
        <f>'R1_Sequential'!F$6</f>
        <v>10</v>
      </c>
      <c r="E11" s="23" t="str">
        <f t="shared" si="0"/>
        <v>Avoid</v>
      </c>
    </row>
    <row r="12" spans="1:9" ht="15" x14ac:dyDescent="0.2">
      <c r="A12" s="22">
        <v>0.01</v>
      </c>
      <c r="B12" s="20">
        <v>10</v>
      </c>
      <c r="C12" s="20">
        <f>'R1_Specifics'!D12</f>
        <v>10</v>
      </c>
      <c r="D12" s="20">
        <f>'R1_Sequential'!F$6</f>
        <v>10</v>
      </c>
      <c r="E12" s="23" t="str">
        <f t="shared" si="0"/>
        <v>Approach</v>
      </c>
    </row>
    <row r="13" spans="1:9" ht="15" x14ac:dyDescent="0.2">
      <c r="A13" s="25">
        <v>30</v>
      </c>
      <c r="B13" s="20">
        <v>11</v>
      </c>
      <c r="C13" s="20">
        <f>'R1_Specifics'!D13</f>
        <v>2</v>
      </c>
      <c r="D13" s="20">
        <f>'R1_Sequential'!F$6</f>
        <v>10</v>
      </c>
      <c r="E13" s="23" t="str">
        <f t="shared" si="0"/>
        <v>Ambivalent</v>
      </c>
    </row>
    <row r="14" spans="1:9" ht="15" x14ac:dyDescent="0.2">
      <c r="A14" s="22">
        <v>0.02</v>
      </c>
      <c r="B14" s="20">
        <v>12</v>
      </c>
      <c r="C14" s="20">
        <f>'R1_Specifics'!D14</f>
        <v>10</v>
      </c>
      <c r="D14" s="20">
        <f>'R1_Sequential'!F$6</f>
        <v>10</v>
      </c>
      <c r="E14" s="23" t="str">
        <f t="shared" si="0"/>
        <v>Approach</v>
      </c>
    </row>
    <row r="15" spans="1:9" ht="15" x14ac:dyDescent="0.2">
      <c r="A15" s="24">
        <v>9</v>
      </c>
      <c r="B15" s="20">
        <v>13</v>
      </c>
      <c r="C15" s="20">
        <f>'R1_Specifics'!D15</f>
        <v>8</v>
      </c>
      <c r="D15" s="20">
        <f>'R1_Sequential'!F$6</f>
        <v>10</v>
      </c>
      <c r="E15" s="23" t="str">
        <f t="shared" si="0"/>
        <v>Ambivalent</v>
      </c>
    </row>
    <row r="16" spans="1:9" ht="15" x14ac:dyDescent="0.2">
      <c r="A16" s="22">
        <v>0.05</v>
      </c>
      <c r="B16" s="20">
        <v>14</v>
      </c>
      <c r="C16" s="20">
        <f>'R1_Specifics'!D16</f>
        <v>10</v>
      </c>
      <c r="D16" s="20">
        <f>'R1_Sequential'!F$6</f>
        <v>10</v>
      </c>
      <c r="E16" s="23" t="str">
        <f t="shared" si="0"/>
        <v>Approach</v>
      </c>
    </row>
    <row r="17" spans="1:8" ht="15" x14ac:dyDescent="0.2">
      <c r="A17" s="25">
        <v>70</v>
      </c>
      <c r="B17" s="20">
        <v>15</v>
      </c>
      <c r="C17" s="20">
        <f>'R1_Specifics'!D17</f>
        <v>0</v>
      </c>
      <c r="D17" s="20">
        <f>'R1_Sequential'!F$6</f>
        <v>10</v>
      </c>
      <c r="E17" s="23" t="str">
        <f t="shared" si="0"/>
        <v>Avoid</v>
      </c>
    </row>
    <row r="18" spans="1:8" ht="15" x14ac:dyDescent="0.2">
      <c r="A18" s="24">
        <v>13</v>
      </c>
      <c r="B18" s="20">
        <v>16</v>
      </c>
      <c r="C18" s="20">
        <f>'R1_Specifics'!D18</f>
        <v>6</v>
      </c>
      <c r="D18" s="20">
        <f>'R1_Sequential'!F$6</f>
        <v>10</v>
      </c>
      <c r="E18" s="23" t="str">
        <f t="shared" si="0"/>
        <v>Ambivalent</v>
      </c>
    </row>
    <row r="19" spans="1:8" ht="16" thickBot="1" x14ac:dyDescent="0.25">
      <c r="A19" s="22">
        <v>0.04</v>
      </c>
      <c r="B19" s="20">
        <v>17</v>
      </c>
      <c r="C19" s="20">
        <f>'R1_Specifics'!D19</f>
        <v>10</v>
      </c>
      <c r="D19" s="20">
        <f>'R1_Sequential'!F$6</f>
        <v>10</v>
      </c>
      <c r="E19" s="23" t="str">
        <f t="shared" si="0"/>
        <v>Approach</v>
      </c>
      <c r="G19" s="17"/>
    </row>
    <row r="20" spans="1:8" ht="16" thickBot="1" x14ac:dyDescent="0.25">
      <c r="A20" s="24">
        <v>9</v>
      </c>
      <c r="B20" s="20">
        <v>18</v>
      </c>
      <c r="C20" s="20">
        <f>'R1_Specifics'!D20</f>
        <v>8</v>
      </c>
      <c r="D20" s="20">
        <f>'R1_Sequential'!F$6</f>
        <v>10</v>
      </c>
      <c r="E20" s="23" t="str">
        <f t="shared" si="0"/>
        <v>Ambivalent</v>
      </c>
      <c r="G20" s="26" t="s">
        <v>184</v>
      </c>
      <c r="H20" s="27" t="str" cm="1">
        <f t="array" ref="H20">_xlfn.IFS(H3&lt;=4,"Oversample Low",I3&lt;=4,"Oversample High")</f>
        <v>Oversample High</v>
      </c>
    </row>
    <row r="21" spans="1:8" ht="15" x14ac:dyDescent="0.2">
      <c r="A21" s="25">
        <v>60</v>
      </c>
      <c r="B21" s="20">
        <v>19</v>
      </c>
      <c r="C21" s="20">
        <f>'R1_Specifics'!D21</f>
        <v>1</v>
      </c>
      <c r="D21" s="20">
        <f>'R1_Sequential'!F$6</f>
        <v>10</v>
      </c>
      <c r="E21" s="23" t="str">
        <f t="shared" si="0"/>
        <v>Ambivalent</v>
      </c>
      <c r="G21" s="17"/>
      <c r="H21" s="17" t="s">
        <v>185</v>
      </c>
    </row>
    <row r="22" spans="1:8" ht="15" x14ac:dyDescent="0.2">
      <c r="A22" s="24">
        <v>7</v>
      </c>
      <c r="B22" s="20">
        <v>20</v>
      </c>
      <c r="C22" s="20">
        <f>'R1_Specifics'!D22</f>
        <v>8</v>
      </c>
      <c r="D22" s="20">
        <f>'R1_Sequential'!F$6</f>
        <v>10</v>
      </c>
      <c r="E22" s="23" t="str">
        <f t="shared" si="0"/>
        <v>Ambivalent</v>
      </c>
      <c r="G22" s="17"/>
    </row>
    <row r="23" spans="1:8" ht="15" x14ac:dyDescent="0.2">
      <c r="A23" s="25">
        <v>40</v>
      </c>
      <c r="B23" s="20">
        <v>21</v>
      </c>
      <c r="C23" s="20">
        <f>'R1_Specifics'!D23</f>
        <v>2</v>
      </c>
      <c r="D23" s="20">
        <f>'R1_Sequential'!F$6</f>
        <v>10</v>
      </c>
      <c r="E23" s="23" t="str">
        <f t="shared" si="0"/>
        <v>Ambivalent</v>
      </c>
    </row>
    <row r="24" spans="1:8" ht="15" x14ac:dyDescent="0.2">
      <c r="A24" s="24">
        <v>7</v>
      </c>
      <c r="B24" s="20">
        <v>22</v>
      </c>
      <c r="C24" s="20">
        <f>'R1_Specifics'!D24</f>
        <v>8</v>
      </c>
      <c r="D24" s="20">
        <f>'R1_Sequential'!F$6</f>
        <v>10</v>
      </c>
      <c r="E24" s="23" t="str">
        <f t="shared" si="0"/>
        <v>Ambivalent</v>
      </c>
    </row>
    <row r="25" spans="1:8" ht="15" x14ac:dyDescent="0.2">
      <c r="A25" s="22">
        <v>0</v>
      </c>
      <c r="B25" s="20">
        <v>23</v>
      </c>
      <c r="C25" s="20">
        <f>'R1_Specifics'!D25</f>
        <v>10</v>
      </c>
      <c r="D25" s="20">
        <f>'R1_Sequential'!F$6</f>
        <v>10</v>
      </c>
      <c r="E25" s="23" t="str">
        <f t="shared" si="0"/>
        <v>Approach</v>
      </c>
    </row>
    <row r="26" spans="1:8" ht="15" x14ac:dyDescent="0.2">
      <c r="A26" s="24">
        <v>11</v>
      </c>
      <c r="B26" s="20">
        <v>24</v>
      </c>
      <c r="C26" s="20">
        <f>'R1_Specifics'!D26</f>
        <v>7</v>
      </c>
      <c r="D26" s="20">
        <f>'R1_Sequential'!F$6</f>
        <v>10</v>
      </c>
      <c r="E26" s="23" t="str">
        <f t="shared" si="0"/>
        <v>Ambivalent</v>
      </c>
    </row>
    <row r="27" spans="1:8" ht="15" x14ac:dyDescent="0.2">
      <c r="A27" s="25">
        <v>30</v>
      </c>
      <c r="B27" s="20">
        <v>25</v>
      </c>
      <c r="C27" s="20">
        <f>'R1_Specifics'!D27</f>
        <v>2</v>
      </c>
      <c r="D27" s="20">
        <f>'R1_Sequential'!F$6</f>
        <v>10</v>
      </c>
      <c r="E27" s="23" t="str">
        <f t="shared" si="0"/>
        <v>Ambivalent</v>
      </c>
    </row>
    <row r="28" spans="1:8" ht="15" x14ac:dyDescent="0.2">
      <c r="A28" s="22">
        <v>0.03</v>
      </c>
      <c r="B28" s="20">
        <v>26</v>
      </c>
      <c r="C28" s="20">
        <f>'R1_Specifics'!D28</f>
        <v>10</v>
      </c>
      <c r="D28" s="20">
        <f>'R1_Sequential'!F$6</f>
        <v>10</v>
      </c>
      <c r="E28" s="23" t="str">
        <f t="shared" si="0"/>
        <v>Approach</v>
      </c>
    </row>
    <row r="29" spans="1:8" ht="15" x14ac:dyDescent="0.2">
      <c r="A29" s="25">
        <v>60</v>
      </c>
      <c r="B29" s="20">
        <v>27</v>
      </c>
      <c r="C29" s="20">
        <f>'R1_Specifics'!D29</f>
        <v>0</v>
      </c>
      <c r="D29" s="20">
        <f>'R1_Sequential'!F$6</f>
        <v>10</v>
      </c>
      <c r="E29" s="23" t="str">
        <f t="shared" si="0"/>
        <v>Avoid</v>
      </c>
    </row>
    <row r="30" spans="1:8" ht="15" x14ac:dyDescent="0.2">
      <c r="A30" s="22">
        <v>0.02</v>
      </c>
      <c r="B30" s="20">
        <v>28</v>
      </c>
      <c r="C30" s="20">
        <f>'R1_Specifics'!D30</f>
        <v>10</v>
      </c>
      <c r="D30" s="20">
        <f>'R1_Sequential'!F$6</f>
        <v>10</v>
      </c>
      <c r="E30" s="23" t="str">
        <f t="shared" si="0"/>
        <v>Approach</v>
      </c>
    </row>
    <row r="31" spans="1:8" ht="15" x14ac:dyDescent="0.2">
      <c r="A31" s="25">
        <v>70</v>
      </c>
      <c r="B31" s="20">
        <v>29</v>
      </c>
      <c r="C31" s="20">
        <f>'R1_Specifics'!D31</f>
        <v>0</v>
      </c>
      <c r="D31" s="20">
        <f>'R1_Sequential'!F$6</f>
        <v>10</v>
      </c>
      <c r="E31" s="23" t="str">
        <f t="shared" si="0"/>
        <v>Avoid</v>
      </c>
    </row>
    <row r="32" spans="1:8" ht="15" x14ac:dyDescent="0.2">
      <c r="A32" s="24">
        <v>15</v>
      </c>
      <c r="B32" s="20">
        <v>30</v>
      </c>
      <c r="C32" s="20">
        <f>'R1_Specifics'!D32</f>
        <v>5</v>
      </c>
      <c r="D32" s="20">
        <f>'R1_Sequential'!F$6</f>
        <v>10</v>
      </c>
      <c r="E32" s="23" t="str">
        <f t="shared" si="0"/>
        <v>Ambivalent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2"/>
  <sheetViews>
    <sheetView workbookViewId="0">
      <selection activeCell="E46" sqref="E46"/>
    </sheetView>
  </sheetViews>
  <sheetFormatPr baseColWidth="10" defaultColWidth="12.6640625" defaultRowHeight="15.75" customHeight="1" x14ac:dyDescent="0.15"/>
  <sheetData>
    <row r="1" spans="1:4" x14ac:dyDescent="0.2">
      <c r="A1" s="3"/>
      <c r="B1" s="3"/>
      <c r="C1" s="3" t="s">
        <v>155</v>
      </c>
      <c r="D1" s="3"/>
    </row>
    <row r="2" spans="1:4" x14ac:dyDescent="0.2">
      <c r="A2" s="1" t="s">
        <v>109</v>
      </c>
      <c r="B2" s="1" t="s">
        <v>161</v>
      </c>
      <c r="C2" s="1" t="s">
        <v>162</v>
      </c>
      <c r="D2" s="1" t="s">
        <v>40</v>
      </c>
    </row>
    <row r="3" spans="1:4" x14ac:dyDescent="0.2">
      <c r="A3" s="4">
        <v>0.01</v>
      </c>
      <c r="B3" s="1" t="s">
        <v>163</v>
      </c>
      <c r="C3" s="2">
        <v>1</v>
      </c>
      <c r="D3" s="2">
        <f>IF('Paste Run 1'!AO2="?","xxx",'Paste Run 1'!AO2)</f>
        <v>10</v>
      </c>
    </row>
    <row r="4" spans="1:4" x14ac:dyDescent="0.2">
      <c r="A4" s="5">
        <v>5</v>
      </c>
      <c r="B4" s="1" t="s">
        <v>164</v>
      </c>
      <c r="C4" s="2">
        <v>2</v>
      </c>
      <c r="D4" s="2">
        <f>IF('Paste Run 1'!AO3="?","xxx",'Paste Run 1'!AO3)</f>
        <v>10</v>
      </c>
    </row>
    <row r="5" spans="1:4" x14ac:dyDescent="0.2">
      <c r="A5" s="6">
        <v>50</v>
      </c>
      <c r="B5" s="1" t="s">
        <v>165</v>
      </c>
      <c r="C5" s="2">
        <v>3</v>
      </c>
      <c r="D5" s="2">
        <f>IF('Paste Run 1'!AO4="?","xxx",'Paste Run 1'!AO4)</f>
        <v>1</v>
      </c>
    </row>
    <row r="6" spans="1:4" x14ac:dyDescent="0.2">
      <c r="A6" s="4">
        <v>0</v>
      </c>
      <c r="B6" s="1" t="s">
        <v>166</v>
      </c>
      <c r="C6" s="2">
        <v>4</v>
      </c>
      <c r="D6" s="2">
        <f>IF('Paste Run 1'!AO5="?","xxx",'Paste Run 1'!AO5)</f>
        <v>10</v>
      </c>
    </row>
    <row r="7" spans="1:4" x14ac:dyDescent="0.2">
      <c r="A7" s="5">
        <v>15</v>
      </c>
      <c r="B7" s="1" t="s">
        <v>167</v>
      </c>
      <c r="C7" s="2">
        <v>5</v>
      </c>
      <c r="D7" s="2">
        <f>IF('Paste Run 1'!AO6="?","xxx",'Paste Run 1'!AO6)</f>
        <v>5</v>
      </c>
    </row>
    <row r="8" spans="1:4" x14ac:dyDescent="0.2">
      <c r="A8" s="4">
        <v>0.05</v>
      </c>
      <c r="B8" s="1" t="s">
        <v>168</v>
      </c>
      <c r="C8" s="2">
        <v>6</v>
      </c>
      <c r="D8" s="2">
        <f>IF('Paste Run 1'!AO7="?","xxx",'Paste Run 1'!AO7)</f>
        <v>10</v>
      </c>
    </row>
    <row r="9" spans="1:4" x14ac:dyDescent="0.2">
      <c r="A9" s="6">
        <v>40</v>
      </c>
      <c r="B9" s="1" t="s">
        <v>169</v>
      </c>
      <c r="C9" s="2">
        <v>7</v>
      </c>
      <c r="D9" s="2">
        <f>IF('Paste Run 1'!AO8="?","xxx",'Paste Run 1'!AO8)</f>
        <v>2</v>
      </c>
    </row>
    <row r="10" spans="1:4" x14ac:dyDescent="0.2">
      <c r="A10" s="5">
        <v>13</v>
      </c>
      <c r="B10" s="1" t="s">
        <v>170</v>
      </c>
      <c r="C10" s="2">
        <v>8</v>
      </c>
      <c r="D10" s="2">
        <f>IF('Paste Run 1'!AO9="?","xxx",'Paste Run 1'!AO9)</f>
        <v>6</v>
      </c>
    </row>
    <row r="11" spans="1:4" x14ac:dyDescent="0.2">
      <c r="A11" s="6">
        <v>80</v>
      </c>
      <c r="B11" s="1" t="s">
        <v>171</v>
      </c>
      <c r="C11" s="2">
        <v>9</v>
      </c>
      <c r="D11" s="2">
        <f>IF('Paste Run 1'!AO10="?","xxx",'Paste Run 1'!AO10)</f>
        <v>0</v>
      </c>
    </row>
    <row r="12" spans="1:4" x14ac:dyDescent="0.2">
      <c r="A12" s="4">
        <v>0.01</v>
      </c>
      <c r="B12" s="1" t="s">
        <v>163</v>
      </c>
      <c r="C12" s="2">
        <v>10</v>
      </c>
      <c r="D12" s="2">
        <f>IF('Paste Run 1'!AO11="?","xxx",'Paste Run 1'!AO11)</f>
        <v>10</v>
      </c>
    </row>
    <row r="13" spans="1:4" x14ac:dyDescent="0.2">
      <c r="A13" s="6">
        <v>30</v>
      </c>
      <c r="B13" s="1" t="s">
        <v>172</v>
      </c>
      <c r="C13" s="2">
        <v>11</v>
      </c>
      <c r="D13" s="2">
        <f>IF('Paste Run 1'!AO12="?","xxx",'Paste Run 1'!AO12)</f>
        <v>2</v>
      </c>
    </row>
    <row r="14" spans="1:4" x14ac:dyDescent="0.2">
      <c r="A14" s="4">
        <v>0.02</v>
      </c>
      <c r="B14" s="1" t="s">
        <v>173</v>
      </c>
      <c r="C14" s="2">
        <v>12</v>
      </c>
      <c r="D14" s="2">
        <f>IF('Paste Run 1'!AO13="?","xxx",'Paste Run 1'!AO13)</f>
        <v>10</v>
      </c>
    </row>
    <row r="15" spans="1:4" x14ac:dyDescent="0.2">
      <c r="A15" s="5">
        <v>9</v>
      </c>
      <c r="B15" s="1" t="s">
        <v>174</v>
      </c>
      <c r="C15" s="2">
        <v>13</v>
      </c>
      <c r="D15" s="2">
        <f>IF('Paste Run 1'!AO14="?","xxx",'Paste Run 1'!AO14)</f>
        <v>8</v>
      </c>
    </row>
    <row r="16" spans="1:4" x14ac:dyDescent="0.2">
      <c r="A16" s="4">
        <v>0.05</v>
      </c>
      <c r="B16" s="1" t="s">
        <v>168</v>
      </c>
      <c r="C16" s="2">
        <v>14</v>
      </c>
      <c r="D16" s="2">
        <f>IF('Paste Run 1'!AO15="?","xxx",'Paste Run 1'!AO15)</f>
        <v>10</v>
      </c>
    </row>
    <row r="17" spans="1:4" x14ac:dyDescent="0.2">
      <c r="A17" s="6">
        <v>70</v>
      </c>
      <c r="B17" s="1" t="s">
        <v>175</v>
      </c>
      <c r="C17" s="2">
        <v>15</v>
      </c>
      <c r="D17" s="2">
        <f>IF('Paste Run 1'!AO16="?","xxx",'Paste Run 1'!AO16)</f>
        <v>0</v>
      </c>
    </row>
    <row r="18" spans="1:4" x14ac:dyDescent="0.2">
      <c r="A18" s="5">
        <v>13</v>
      </c>
      <c r="B18" s="1" t="s">
        <v>170</v>
      </c>
      <c r="C18" s="2">
        <v>16</v>
      </c>
      <c r="D18" s="2">
        <f>IF('Paste Run 1'!AO17="?","xxx",'Paste Run 1'!AO17)</f>
        <v>6</v>
      </c>
    </row>
    <row r="19" spans="1:4" x14ac:dyDescent="0.2">
      <c r="A19" s="4">
        <v>0.04</v>
      </c>
      <c r="B19" s="1" t="s">
        <v>176</v>
      </c>
      <c r="C19" s="2">
        <v>17</v>
      </c>
      <c r="D19" s="2">
        <f>IF('Paste Run 1'!AO18="?","xxx",'Paste Run 1'!AO18)</f>
        <v>10</v>
      </c>
    </row>
    <row r="20" spans="1:4" x14ac:dyDescent="0.2">
      <c r="A20" s="5">
        <v>9</v>
      </c>
      <c r="B20" s="1" t="s">
        <v>174</v>
      </c>
      <c r="C20" s="2">
        <v>18</v>
      </c>
      <c r="D20" s="2">
        <f>IF('Paste Run 1'!AO19="?","xxx",'Paste Run 1'!AO19)</f>
        <v>8</v>
      </c>
    </row>
    <row r="21" spans="1:4" x14ac:dyDescent="0.2">
      <c r="A21" s="6">
        <v>60</v>
      </c>
      <c r="B21" s="1" t="s">
        <v>177</v>
      </c>
      <c r="C21" s="2">
        <v>19</v>
      </c>
      <c r="D21" s="2">
        <f>IF('Paste Run 1'!AO20="?","xxx",'Paste Run 1'!AO20)</f>
        <v>1</v>
      </c>
    </row>
    <row r="22" spans="1:4" x14ac:dyDescent="0.2">
      <c r="A22" s="5">
        <v>7</v>
      </c>
      <c r="B22" s="1" t="s">
        <v>178</v>
      </c>
      <c r="C22" s="2">
        <v>20</v>
      </c>
      <c r="D22" s="2">
        <f>IF('Paste Run 1'!AO21="?","xxx",'Paste Run 1'!AO21)</f>
        <v>8</v>
      </c>
    </row>
    <row r="23" spans="1:4" x14ac:dyDescent="0.2">
      <c r="A23" s="6">
        <v>40</v>
      </c>
      <c r="B23" s="1" t="s">
        <v>169</v>
      </c>
      <c r="C23" s="2">
        <v>21</v>
      </c>
      <c r="D23" s="2">
        <f>IF('Paste Run 1'!AO22="?","xxx",'Paste Run 1'!AO22)</f>
        <v>2</v>
      </c>
    </row>
    <row r="24" spans="1:4" x14ac:dyDescent="0.2">
      <c r="A24" s="5">
        <v>7</v>
      </c>
      <c r="B24" s="1" t="s">
        <v>178</v>
      </c>
      <c r="C24" s="2">
        <v>22</v>
      </c>
      <c r="D24" s="2">
        <f>IF('Paste Run 1'!AO23="?","xxx",'Paste Run 1'!AO23)</f>
        <v>8</v>
      </c>
    </row>
    <row r="25" spans="1:4" x14ac:dyDescent="0.2">
      <c r="A25" s="4">
        <v>0</v>
      </c>
      <c r="B25" s="1" t="s">
        <v>166</v>
      </c>
      <c r="C25" s="2">
        <v>23</v>
      </c>
      <c r="D25" s="2">
        <f>IF('Paste Run 1'!AO24="?","xxx",'Paste Run 1'!AO24)</f>
        <v>10</v>
      </c>
    </row>
    <row r="26" spans="1:4" x14ac:dyDescent="0.2">
      <c r="A26" s="5">
        <v>11</v>
      </c>
      <c r="B26" s="1" t="s">
        <v>179</v>
      </c>
      <c r="C26" s="2">
        <v>24</v>
      </c>
      <c r="D26" s="2">
        <f>IF('Paste Run 1'!AO25="?","xxx",'Paste Run 1'!AO25)</f>
        <v>7</v>
      </c>
    </row>
    <row r="27" spans="1:4" x14ac:dyDescent="0.2">
      <c r="A27" s="6">
        <v>30</v>
      </c>
      <c r="B27" s="1" t="s">
        <v>172</v>
      </c>
      <c r="C27" s="2">
        <v>25</v>
      </c>
      <c r="D27" s="2">
        <f>IF('Paste Run 1'!AO26="?","xxx",'Paste Run 1'!AO26)</f>
        <v>2</v>
      </c>
    </row>
    <row r="28" spans="1:4" x14ac:dyDescent="0.2">
      <c r="A28" s="4">
        <v>0.03</v>
      </c>
      <c r="B28" s="1" t="s">
        <v>180</v>
      </c>
      <c r="C28" s="2">
        <v>26</v>
      </c>
      <c r="D28" s="2">
        <f>IF('Paste Run 1'!AO27="?","xxx",'Paste Run 1'!AO27)</f>
        <v>10</v>
      </c>
    </row>
    <row r="29" spans="1:4" x14ac:dyDescent="0.2">
      <c r="A29" s="6">
        <v>60</v>
      </c>
      <c r="B29" s="1" t="s">
        <v>177</v>
      </c>
      <c r="C29" s="2">
        <v>27</v>
      </c>
      <c r="D29" s="2">
        <f>IF('Paste Run 1'!AO28="?","xxx",'Paste Run 1'!AO28)</f>
        <v>0</v>
      </c>
    </row>
    <row r="30" spans="1:4" x14ac:dyDescent="0.2">
      <c r="A30" s="4">
        <v>0.02</v>
      </c>
      <c r="B30" s="1" t="s">
        <v>173</v>
      </c>
      <c r="C30" s="2">
        <v>28</v>
      </c>
      <c r="D30" s="2">
        <f>IF('Paste Run 1'!AO29="?","xxx",'Paste Run 1'!AO29)</f>
        <v>10</v>
      </c>
    </row>
    <row r="31" spans="1:4" x14ac:dyDescent="0.2">
      <c r="A31" s="6">
        <v>70</v>
      </c>
      <c r="B31" s="1" t="s">
        <v>175</v>
      </c>
      <c r="C31" s="2">
        <v>29</v>
      </c>
      <c r="D31" s="2">
        <f>IF('Paste Run 1'!AO30="?","xxx",'Paste Run 1'!AO30)</f>
        <v>0</v>
      </c>
    </row>
    <row r="32" spans="1:4" x14ac:dyDescent="0.2">
      <c r="A32" s="5">
        <v>15</v>
      </c>
      <c r="B32" s="1" t="s">
        <v>167</v>
      </c>
      <c r="C32" s="2">
        <v>30</v>
      </c>
      <c r="D32" s="2">
        <f>IF('Paste Run 1'!AO31="?","xxx",'Paste Run 1'!AO31)</f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41"/>
  <sheetViews>
    <sheetView tabSelected="1" workbookViewId="0">
      <selection activeCell="F7" sqref="F7"/>
    </sheetView>
  </sheetViews>
  <sheetFormatPr baseColWidth="10" defaultColWidth="12.6640625" defaultRowHeight="15.75" customHeight="1" x14ac:dyDescent="0.15"/>
  <sheetData>
    <row r="1" spans="1:6" x14ac:dyDescent="0.2">
      <c r="A1" s="40"/>
      <c r="B1" s="41"/>
      <c r="C1" s="41" t="s">
        <v>155</v>
      </c>
      <c r="D1" s="42"/>
    </row>
    <row r="2" spans="1:6" x14ac:dyDescent="0.2">
      <c r="A2" s="43" t="s">
        <v>37</v>
      </c>
      <c r="B2" s="44" t="s">
        <v>109</v>
      </c>
      <c r="C2" s="44" t="s">
        <v>181</v>
      </c>
      <c r="D2" s="45" t="s">
        <v>182</v>
      </c>
    </row>
    <row r="3" spans="1:6" x14ac:dyDescent="0.2">
      <c r="A3" s="46">
        <v>4</v>
      </c>
      <c r="B3" s="30">
        <v>0</v>
      </c>
      <c r="C3" s="29">
        <f>'R1_Specifics'!D25</f>
        <v>10</v>
      </c>
      <c r="D3" s="47">
        <f>B3*C3</f>
        <v>0</v>
      </c>
    </row>
    <row r="4" spans="1:6" x14ac:dyDescent="0.2">
      <c r="A4" s="48">
        <v>23</v>
      </c>
      <c r="B4" s="31">
        <v>0</v>
      </c>
      <c r="C4" s="28">
        <f>'R1_Specifics'!D6</f>
        <v>10</v>
      </c>
      <c r="D4" s="49">
        <f>B4*C4</f>
        <v>0</v>
      </c>
    </row>
    <row r="5" spans="1:6" x14ac:dyDescent="0.2">
      <c r="A5" s="48">
        <v>1</v>
      </c>
      <c r="B5" s="31">
        <v>0.01</v>
      </c>
      <c r="C5" s="28">
        <f>'R1_Specifics'!D3</f>
        <v>10</v>
      </c>
      <c r="D5" s="49">
        <f>B5*C5</f>
        <v>0.1</v>
      </c>
      <c r="F5" s="7" t="s">
        <v>183</v>
      </c>
    </row>
    <row r="6" spans="1:6" ht="15.75" customHeight="1" x14ac:dyDescent="0.2">
      <c r="A6" s="48">
        <v>10</v>
      </c>
      <c r="B6" s="31">
        <v>0.01</v>
      </c>
      <c r="C6" s="28">
        <f>'R1_Specifics'!D12</f>
        <v>10</v>
      </c>
      <c r="D6" s="49">
        <f t="shared" ref="D6:D32" si="0">B6*C6</f>
        <v>0.1</v>
      </c>
      <c r="F6">
        <f>MAX(C5:C32)</f>
        <v>10</v>
      </c>
    </row>
    <row r="7" spans="1:6" ht="15.75" customHeight="1" x14ac:dyDescent="0.2">
      <c r="A7" s="48">
        <v>12</v>
      </c>
      <c r="B7" s="31">
        <v>0.02</v>
      </c>
      <c r="C7" s="28">
        <f>'R1_Specifics'!D14</f>
        <v>10</v>
      </c>
      <c r="D7" s="49">
        <f t="shared" si="0"/>
        <v>0.2</v>
      </c>
    </row>
    <row r="8" spans="1:6" ht="15" x14ac:dyDescent="0.2">
      <c r="A8" s="48">
        <v>28</v>
      </c>
      <c r="B8" s="31">
        <v>0.02</v>
      </c>
      <c r="C8" s="28">
        <f>'R1_Specifics'!D30</f>
        <v>10</v>
      </c>
      <c r="D8" s="49">
        <f t="shared" si="0"/>
        <v>0.2</v>
      </c>
    </row>
    <row r="9" spans="1:6" ht="15" x14ac:dyDescent="0.2">
      <c r="A9" s="48">
        <v>26</v>
      </c>
      <c r="B9" s="31">
        <v>0.03</v>
      </c>
      <c r="C9" s="28">
        <f>'R1_Specifics'!D28</f>
        <v>10</v>
      </c>
      <c r="D9" s="49">
        <f t="shared" si="0"/>
        <v>0.3</v>
      </c>
    </row>
    <row r="10" spans="1:6" ht="15" x14ac:dyDescent="0.2">
      <c r="A10" s="48">
        <v>17</v>
      </c>
      <c r="B10" s="31">
        <v>0.04</v>
      </c>
      <c r="C10" s="28">
        <f>'R1_Specifics'!D19</f>
        <v>10</v>
      </c>
      <c r="D10" s="49">
        <f t="shared" si="0"/>
        <v>0.4</v>
      </c>
    </row>
    <row r="11" spans="1:6" ht="15" x14ac:dyDescent="0.2">
      <c r="A11" s="48">
        <v>6</v>
      </c>
      <c r="B11" s="31">
        <v>0.05</v>
      </c>
      <c r="C11" s="28">
        <f>'R1_Specifics'!D8</f>
        <v>10</v>
      </c>
      <c r="D11" s="49">
        <f t="shared" si="0"/>
        <v>0.5</v>
      </c>
    </row>
    <row r="12" spans="1:6" ht="15" x14ac:dyDescent="0.2">
      <c r="A12" s="50">
        <v>14</v>
      </c>
      <c r="B12" s="33">
        <v>0.05</v>
      </c>
      <c r="C12" s="32">
        <f>'R1_Specifics'!D16</f>
        <v>10</v>
      </c>
      <c r="D12" s="51">
        <f t="shared" si="0"/>
        <v>0.5</v>
      </c>
    </row>
    <row r="13" spans="1:6" ht="15" x14ac:dyDescent="0.2">
      <c r="A13" s="46">
        <v>2</v>
      </c>
      <c r="B13" s="34">
        <v>5</v>
      </c>
      <c r="C13" s="29">
        <f>'R1_Specifics'!D4</f>
        <v>10</v>
      </c>
      <c r="D13" s="47">
        <f t="shared" si="0"/>
        <v>50</v>
      </c>
    </row>
    <row r="14" spans="1:6" ht="15" x14ac:dyDescent="0.2">
      <c r="A14" s="48">
        <v>20</v>
      </c>
      <c r="B14" s="35">
        <v>7</v>
      </c>
      <c r="C14" s="28">
        <f>'R1_Specifics'!D22</f>
        <v>8</v>
      </c>
      <c r="D14" s="49">
        <f t="shared" si="0"/>
        <v>56</v>
      </c>
    </row>
    <row r="15" spans="1:6" ht="15" x14ac:dyDescent="0.2">
      <c r="A15" s="48">
        <v>22</v>
      </c>
      <c r="B15" s="35">
        <v>7</v>
      </c>
      <c r="C15" s="28">
        <f>'R1_Specifics'!D24</f>
        <v>8</v>
      </c>
      <c r="D15" s="49">
        <f t="shared" si="0"/>
        <v>56</v>
      </c>
    </row>
    <row r="16" spans="1:6" ht="15" x14ac:dyDescent="0.2">
      <c r="A16" s="48">
        <v>13</v>
      </c>
      <c r="B16" s="35">
        <v>9</v>
      </c>
      <c r="C16" s="28">
        <f>'R1_Specifics'!D15</f>
        <v>8</v>
      </c>
      <c r="D16" s="49">
        <f t="shared" si="0"/>
        <v>72</v>
      </c>
    </row>
    <row r="17" spans="1:4" ht="15" x14ac:dyDescent="0.2">
      <c r="A17" s="48">
        <v>18</v>
      </c>
      <c r="B17" s="35">
        <v>9</v>
      </c>
      <c r="C17" s="28">
        <f>'R1_Specifics'!D20</f>
        <v>8</v>
      </c>
      <c r="D17" s="49">
        <f t="shared" si="0"/>
        <v>72</v>
      </c>
    </row>
    <row r="18" spans="1:4" ht="15" x14ac:dyDescent="0.2">
      <c r="A18" s="48">
        <v>24</v>
      </c>
      <c r="B18" s="35">
        <v>11</v>
      </c>
      <c r="C18" s="28">
        <f>'R1_Specifics'!D26</f>
        <v>7</v>
      </c>
      <c r="D18" s="49">
        <f t="shared" si="0"/>
        <v>77</v>
      </c>
    </row>
    <row r="19" spans="1:4" ht="15" x14ac:dyDescent="0.2">
      <c r="A19" s="48">
        <v>8</v>
      </c>
      <c r="B19" s="35">
        <v>13</v>
      </c>
      <c r="C19" s="28">
        <f>'R1_Specifics'!D10</f>
        <v>6</v>
      </c>
      <c r="D19" s="49">
        <f t="shared" si="0"/>
        <v>78</v>
      </c>
    </row>
    <row r="20" spans="1:4" ht="15" x14ac:dyDescent="0.2">
      <c r="A20" s="48">
        <v>16</v>
      </c>
      <c r="B20" s="35">
        <v>13</v>
      </c>
      <c r="C20" s="28">
        <f>'R1_Specifics'!D18</f>
        <v>6</v>
      </c>
      <c r="D20" s="49">
        <f t="shared" si="0"/>
        <v>78</v>
      </c>
    </row>
    <row r="21" spans="1:4" ht="15" x14ac:dyDescent="0.2">
      <c r="A21" s="48">
        <v>5</v>
      </c>
      <c r="B21" s="35">
        <v>15</v>
      </c>
      <c r="C21" s="28">
        <f>'R1_Specifics'!D7</f>
        <v>5</v>
      </c>
      <c r="D21" s="49">
        <f t="shared" si="0"/>
        <v>75</v>
      </c>
    </row>
    <row r="22" spans="1:4" ht="15" x14ac:dyDescent="0.2">
      <c r="A22" s="50">
        <v>30</v>
      </c>
      <c r="B22" s="36">
        <v>15</v>
      </c>
      <c r="C22" s="32">
        <f>'R1_Specifics'!D32</f>
        <v>5</v>
      </c>
      <c r="D22" s="51">
        <f t="shared" si="0"/>
        <v>75</v>
      </c>
    </row>
    <row r="23" spans="1:4" ht="15" x14ac:dyDescent="0.2">
      <c r="A23" s="46">
        <v>11</v>
      </c>
      <c r="B23" s="37">
        <v>30</v>
      </c>
      <c r="C23" s="29">
        <f>'R1_Specifics'!D13</f>
        <v>2</v>
      </c>
      <c r="D23" s="47">
        <f t="shared" si="0"/>
        <v>60</v>
      </c>
    </row>
    <row r="24" spans="1:4" ht="15" x14ac:dyDescent="0.2">
      <c r="A24" s="48">
        <v>25</v>
      </c>
      <c r="B24" s="38">
        <v>30</v>
      </c>
      <c r="C24" s="28">
        <f>'R1_Specifics'!D27</f>
        <v>2</v>
      </c>
      <c r="D24" s="49">
        <f t="shared" si="0"/>
        <v>60</v>
      </c>
    </row>
    <row r="25" spans="1:4" ht="15" x14ac:dyDescent="0.2">
      <c r="A25" s="48">
        <v>7</v>
      </c>
      <c r="B25" s="38">
        <v>40</v>
      </c>
      <c r="C25" s="28">
        <f>'R1_Specifics'!D9</f>
        <v>2</v>
      </c>
      <c r="D25" s="49">
        <f t="shared" si="0"/>
        <v>80</v>
      </c>
    </row>
    <row r="26" spans="1:4" ht="15" x14ac:dyDescent="0.2">
      <c r="A26" s="48">
        <v>21</v>
      </c>
      <c r="B26" s="38">
        <v>40</v>
      </c>
      <c r="C26" s="28">
        <f>'R1_Specifics'!D23</f>
        <v>2</v>
      </c>
      <c r="D26" s="49">
        <f t="shared" si="0"/>
        <v>80</v>
      </c>
    </row>
    <row r="27" spans="1:4" ht="15" x14ac:dyDescent="0.2">
      <c r="A27" s="48">
        <v>3</v>
      </c>
      <c r="B27" s="38">
        <v>50</v>
      </c>
      <c r="C27" s="28">
        <f>'R1_Specifics'!D5</f>
        <v>1</v>
      </c>
      <c r="D27" s="49">
        <f t="shared" si="0"/>
        <v>50</v>
      </c>
    </row>
    <row r="28" spans="1:4" ht="15" x14ac:dyDescent="0.2">
      <c r="A28" s="48">
        <v>19</v>
      </c>
      <c r="B28" s="38">
        <v>60</v>
      </c>
      <c r="C28" s="28">
        <f>'R1_Specifics'!D21</f>
        <v>1</v>
      </c>
      <c r="D28" s="49">
        <f t="shared" si="0"/>
        <v>60</v>
      </c>
    </row>
    <row r="29" spans="1:4" ht="15" x14ac:dyDescent="0.2">
      <c r="A29" s="48">
        <v>27</v>
      </c>
      <c r="B29" s="38">
        <v>60</v>
      </c>
      <c r="C29" s="28">
        <f>'R1_Specifics'!D29</f>
        <v>0</v>
      </c>
      <c r="D29" s="49">
        <f t="shared" si="0"/>
        <v>0</v>
      </c>
    </row>
    <row r="30" spans="1:4" ht="15" x14ac:dyDescent="0.2">
      <c r="A30" s="48">
        <v>15</v>
      </c>
      <c r="B30" s="38">
        <v>70</v>
      </c>
      <c r="C30" s="28">
        <f>'R1_Specifics'!D17</f>
        <v>0</v>
      </c>
      <c r="D30" s="49">
        <f t="shared" si="0"/>
        <v>0</v>
      </c>
    </row>
    <row r="31" spans="1:4" ht="15" x14ac:dyDescent="0.2">
      <c r="A31" s="48">
        <v>29</v>
      </c>
      <c r="B31" s="38">
        <v>70</v>
      </c>
      <c r="C31" s="28">
        <f>'R1_Specifics'!D31</f>
        <v>0</v>
      </c>
      <c r="D31" s="49">
        <f t="shared" si="0"/>
        <v>0</v>
      </c>
    </row>
    <row r="32" spans="1:4" ht="15" x14ac:dyDescent="0.2">
      <c r="A32" s="50">
        <v>9</v>
      </c>
      <c r="B32" s="39">
        <v>80</v>
      </c>
      <c r="C32" s="32">
        <f>'R1_Specifics'!D11</f>
        <v>0</v>
      </c>
      <c r="D32" s="51">
        <f t="shared" si="0"/>
        <v>0</v>
      </c>
    </row>
    <row r="33" spans="1:4" ht="15" x14ac:dyDescent="0.2">
      <c r="A33" s="1"/>
      <c r="B33" s="1"/>
      <c r="C33" s="1"/>
      <c r="D33" s="1"/>
    </row>
    <row r="34" spans="1:4" ht="15" x14ac:dyDescent="0.2">
      <c r="A34" s="1"/>
      <c r="B34" s="2"/>
      <c r="C34" s="1"/>
      <c r="D34" s="1"/>
    </row>
    <row r="35" spans="1:4" ht="15" x14ac:dyDescent="0.2">
      <c r="A35" s="1"/>
      <c r="B35" s="2"/>
      <c r="C35" s="1"/>
      <c r="D35" s="1"/>
    </row>
    <row r="36" spans="1:4" ht="15" x14ac:dyDescent="0.2">
      <c r="A36" s="1"/>
      <c r="B36" s="2"/>
      <c r="C36" s="1"/>
      <c r="D36" s="1"/>
    </row>
    <row r="37" spans="1:4" ht="15" x14ac:dyDescent="0.2">
      <c r="A37" s="1"/>
      <c r="B37" s="2"/>
      <c r="C37" s="1"/>
      <c r="D37" s="1"/>
    </row>
    <row r="38" spans="1:4" ht="15" x14ac:dyDescent="0.2">
      <c r="A38" s="1"/>
      <c r="B38" s="1"/>
      <c r="C38" s="1"/>
      <c r="D38" s="1"/>
    </row>
    <row r="39" spans="1:4" ht="15" x14ac:dyDescent="0.2">
      <c r="A39" s="1"/>
      <c r="B39" s="2"/>
      <c r="C39" s="1"/>
      <c r="D39" s="1"/>
    </row>
    <row r="40" spans="1:4" ht="13" x14ac:dyDescent="0.15"/>
    <row r="41" spans="1:4" ht="13" x14ac:dyDescent="0.1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E2105F5375BA4E98597A433EB8A4E5" ma:contentTypeVersion="14" ma:contentTypeDescription="Create a new document." ma:contentTypeScope="" ma:versionID="eecd2e9ff7fc12200a09ee19c0367aa7">
  <xsd:schema xmlns:xsd="http://www.w3.org/2001/XMLSchema" xmlns:xs="http://www.w3.org/2001/XMLSchema" xmlns:p="http://schemas.microsoft.com/office/2006/metadata/properties" xmlns:ns2="e6d7e355-f1a5-4f43-80dc-94efb2abc702" xmlns:ns3="62153c83-cde4-4dd4-a6e6-616983e02fdc" targetNamespace="http://schemas.microsoft.com/office/2006/metadata/properties" ma:root="true" ma:fieldsID="d29a378aea118cc9342912be3c9e9e4a" ns2:_="" ns3:_="">
    <xsd:import namespace="e6d7e355-f1a5-4f43-80dc-94efb2abc702"/>
    <xsd:import namespace="62153c83-cde4-4dd4-a6e6-616983e02f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7e355-f1a5-4f43-80dc-94efb2abc7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073764d-e844-48d8-8cbc-d63b9d9528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53c83-cde4-4dd4-a6e6-616983e02fd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164c4a-3bfb-4546-b00d-27ad4003b09b}" ma:internalName="TaxCatchAll" ma:showField="CatchAllData" ma:web="62153c83-cde4-4dd4-a6e6-616983e02f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2153c83-cde4-4dd4-a6e6-616983e02fdc" xsi:nil="true"/>
    <lcf76f155ced4ddcb4097134ff3c332f xmlns="e6d7e355-f1a5-4f43-80dc-94efb2abc7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DB02E5-3F0B-438A-99AE-E6958193A3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752781-8884-4F92-A01D-69D28DA2FD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d7e355-f1a5-4f43-80dc-94efb2abc702"/>
    <ds:schemaRef ds:uri="62153c83-cde4-4dd4-a6e6-616983e02f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1E2306-FF36-4A44-ABAD-6C1514357D01}">
  <ds:schemaRefs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e6d7e355-f1a5-4f43-80dc-94efb2abc702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62153c83-cde4-4dd4-a6e6-616983e02f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Paste Run 1</vt:lpstr>
      <vt:lpstr>Check This Tab!</vt:lpstr>
      <vt:lpstr>R1_Specifics</vt:lpstr>
      <vt:lpstr>R1_Sequential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Carly Wood</cp:lastModifiedBy>
  <cp:revision/>
  <dcterms:created xsi:type="dcterms:W3CDTF">2024-01-19T13:45:48Z</dcterms:created>
  <dcterms:modified xsi:type="dcterms:W3CDTF">2026-09-14T16:10:55Z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0x01010081E2105F5375BA4E98597A433EB8A4E5</vt:lpwstr>
  </property>
  <property fmtid="{D5CDD505-2E9C-101B-9397-08002B2CF9AE}" pid="3" name="MediaServiceImageTags">
    <vt:lpwstr/>
  </property>
</Properties>
</file>